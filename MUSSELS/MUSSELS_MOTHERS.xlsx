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ID_MOLLUSCS\FINAL RESULTS\MUSSELS\"/>
    </mc:Choice>
  </mc:AlternateContent>
  <bookViews>
    <workbookView xWindow="-108" yWindow="-108" windowWidth="29700" windowHeight="16200"/>
  </bookViews>
  <sheets>
    <sheet name="Inbreeding mothers mussels" sheetId="1" r:id="rId1"/>
    <sheet name="Coancestry mothers mussels" sheetId="5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5" l="1"/>
  <c r="F3" i="5"/>
  <c r="H2" i="1" l="1"/>
  <c r="H3" i="1"/>
  <c r="H4" i="1"/>
  <c r="H5" i="1"/>
  <c r="H6" i="1"/>
  <c r="H7" i="1"/>
  <c r="H8" i="1"/>
  <c r="I5" i="1" l="1"/>
  <c r="I6" i="1"/>
  <c r="I7" i="1"/>
  <c r="I4" i="1"/>
  <c r="I3" i="1"/>
  <c r="I8" i="1"/>
  <c r="D29" i="1"/>
  <c r="I14" i="1" l="1"/>
  <c r="C29" i="1" l="1"/>
  <c r="C30" i="1" s="1"/>
  <c r="D30" i="1"/>
  <c r="E29" i="1"/>
  <c r="E30" i="1" s="1"/>
</calcChain>
</file>

<file path=xl/sharedStrings.xml><?xml version="1.0" encoding="utf-8"?>
<sst xmlns="http://schemas.openxmlformats.org/spreadsheetml/2006/main" count="44" uniqueCount="44">
  <si>
    <t>IND</t>
  </si>
  <si>
    <t>Fhom</t>
  </si>
  <si>
    <t>F</t>
  </si>
  <si>
    <t>SUM</t>
  </si>
  <si>
    <t>N</t>
  </si>
  <si>
    <t>pob</t>
  </si>
  <si>
    <t>in1</t>
  </si>
  <si>
    <t>ind2</t>
  </si>
  <si>
    <t>SNP</t>
  </si>
  <si>
    <t>fVR1</t>
  </si>
  <si>
    <t>f=fVR1/2</t>
  </si>
  <si>
    <t>-0.20</t>
  </si>
  <si>
    <t>-0.075</t>
  </si>
  <si>
    <t>-0.025</t>
  </si>
  <si>
    <t>-0.125</t>
  </si>
  <si>
    <t>Fyang</t>
  </si>
  <si>
    <t>Coancestry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</si>
  <si>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</si>
  <si>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</si>
  <si>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</si>
  <si>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</si>
  <si>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</si>
  <si>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</si>
  <si>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</si>
  <si>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</si>
  <si>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</si>
  <si>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</si>
  <si>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</si>
  <si>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</si>
  <si>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</si>
  <si>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</si>
  <si>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</si>
  <si>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</si>
  <si>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</si>
  <si>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</si>
  <si>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</si>
  <si>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</si>
  <si>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</si>
  <si>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</si>
  <si>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</si>
  <si>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</si>
  <si>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F26</t>
  </si>
  <si>
    <t>F28</t>
  </si>
  <si>
    <t>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</si>
</sst>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0.0000"/>
    <numFmt numFmtId="166" formatCode="0.000"/>
    <numFmt numFmtId="167" formatCode="0.0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65" fontId="0" fillId="0" borderId="0" xfId="0" applyNumberFormat="1"/>
    <xf numFmtId="167" fontId="5" fillId="0" borderId="0" xfId="0" applyNumberFormat="1" applyFont="1"/>
    <xf numFmtId="0" fontId="0" fillId="0" borderId="0" xfId="0" quotePrefix="1"/>
    <xf numFmtId="0" fontId="3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164" fontId="1" fillId="0" borderId="0" xfId="0" applyNumberFormat="1" applyFont="1" applyFill="1" applyAlignment="1">
      <alignment horizontal="center"/>
    </xf>
    <xf numFmtId="0" fontId="0" fillId="0" borderId="0" xfId="0" applyFill="1" applyAlignment="1">
      <alignment horizontal="center"/>
    </xf>
    <xf numFmtId="166" fontId="5" fillId="0" borderId="0" xfId="0" applyNumberFormat="1" applyFont="1" applyFill="1" applyAlignment="1">
      <alignment horizontal="center"/>
    </xf>
    <xf numFmtId="165" fontId="5" fillId="0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165" fontId="6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1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 sz="1600" b="1" i="0" u="none" strike="noStrike" baseline="0">
                <a:solidFill>
                  <a:sysClr val="windowText" lastClr="000000"/>
                </a:solidFill>
                <a:effectLst/>
              </a:rPr>
              <a:t>(B) </a:t>
            </a:r>
            <a:r>
              <a:rPr lang="es-ES" sz="1600" b="1" i="1" u="none" strike="noStrike" baseline="0">
                <a:solidFill>
                  <a:sysClr val="windowText" lastClr="000000"/>
                </a:solidFill>
                <a:effectLst/>
              </a:rPr>
              <a:t>Mytillus galloprovincialis</a:t>
            </a:r>
            <a:endParaRPr lang="es-ES" sz="1600" b="1" i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817152230971128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1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21046762904636918"/>
          <c:y val="0.1947914843977836"/>
          <c:w val="0.67977537182852132"/>
          <c:h val="0.52277048702245554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trendline>
            <c:spPr>
              <a:ln w="3175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'Inbreeding mothers mussels'!$D$2:$D$27</c:f>
              <c:numCache>
                <c:formatCode>General</c:formatCode>
                <c:ptCount val="26"/>
                <c:pt idx="0">
                  <c:v>7.5025999999999995E-2</c:v>
                </c:pt>
                <c:pt idx="1">
                  <c:v>3.4667999999999997E-2</c:v>
                </c:pt>
                <c:pt idx="2">
                  <c:v>-0.21105599999999999</c:v>
                </c:pt>
                <c:pt idx="3">
                  <c:v>8.7770000000000001E-3</c:v>
                </c:pt>
                <c:pt idx="4">
                  <c:v>4.8469999999999999E-2</c:v>
                </c:pt>
                <c:pt idx="5">
                  <c:v>7.5398999999999994E-2</c:v>
                </c:pt>
                <c:pt idx="6">
                  <c:v>-4.6455999999999997E-2</c:v>
                </c:pt>
                <c:pt idx="7">
                  <c:v>-5.2576999999999999E-2</c:v>
                </c:pt>
                <c:pt idx="8">
                  <c:v>-8.7790999999999994E-2</c:v>
                </c:pt>
                <c:pt idx="9">
                  <c:v>3.0783999999999999E-2</c:v>
                </c:pt>
                <c:pt idx="10">
                  <c:v>-8.7852E-2</c:v>
                </c:pt>
                <c:pt idx="11">
                  <c:v>1.0184E-2</c:v>
                </c:pt>
                <c:pt idx="12">
                  <c:v>3.1074000000000001E-2</c:v>
                </c:pt>
                <c:pt idx="13">
                  <c:v>-9.1599E-2</c:v>
                </c:pt>
                <c:pt idx="14">
                  <c:v>4.6537000000000002E-2</c:v>
                </c:pt>
                <c:pt idx="15">
                  <c:v>-4.4430999999999998E-2</c:v>
                </c:pt>
                <c:pt idx="16">
                  <c:v>1.6114E-2</c:v>
                </c:pt>
                <c:pt idx="17">
                  <c:v>-7.8186000000000005E-2</c:v>
                </c:pt>
                <c:pt idx="18">
                  <c:v>2.0594000000000001E-2</c:v>
                </c:pt>
                <c:pt idx="19">
                  <c:v>5.2830000000000002E-2</c:v>
                </c:pt>
                <c:pt idx="20">
                  <c:v>-4.4087000000000001E-2</c:v>
                </c:pt>
                <c:pt idx="21">
                  <c:v>-5.2986999999999999E-2</c:v>
                </c:pt>
                <c:pt idx="22">
                  <c:v>-1.0640999999999999E-2</c:v>
                </c:pt>
                <c:pt idx="23">
                  <c:v>1.1453E-2</c:v>
                </c:pt>
                <c:pt idx="24">
                  <c:v>-0.13281000000000001</c:v>
                </c:pt>
                <c:pt idx="25">
                  <c:v>3.5853000000000003E-2</c:v>
                </c:pt>
              </c:numCache>
            </c:numRef>
          </c:xVal>
          <c:yVal>
            <c:numRef>
              <c:f>'Inbreeding mothers mussels'!$C$2:$C$27</c:f>
              <c:numCache>
                <c:formatCode>0.0</c:formatCode>
                <c:ptCount val="26"/>
                <c:pt idx="0">
                  <c:v>73.38</c:v>
                </c:pt>
                <c:pt idx="1">
                  <c:v>66.06</c:v>
                </c:pt>
                <c:pt idx="2">
                  <c:v>85.09</c:v>
                </c:pt>
                <c:pt idx="3">
                  <c:v>86.08</c:v>
                </c:pt>
                <c:pt idx="4">
                  <c:v>74.98</c:v>
                </c:pt>
                <c:pt idx="5">
                  <c:v>73.8</c:v>
                </c:pt>
                <c:pt idx="6">
                  <c:v>76.77</c:v>
                </c:pt>
                <c:pt idx="7">
                  <c:v>77.89</c:v>
                </c:pt>
                <c:pt idx="8">
                  <c:v>84.52</c:v>
                </c:pt>
                <c:pt idx="9">
                  <c:v>69.489999999999995</c:v>
                </c:pt>
                <c:pt idx="10">
                  <c:v>72.989999999999995</c:v>
                </c:pt>
                <c:pt idx="11">
                  <c:v>70.48</c:v>
                </c:pt>
                <c:pt idx="12">
                  <c:v>73.180000000000007</c:v>
                </c:pt>
                <c:pt idx="13">
                  <c:v>96.38</c:v>
                </c:pt>
                <c:pt idx="14">
                  <c:v>65.83</c:v>
                </c:pt>
                <c:pt idx="15">
                  <c:v>76.08</c:v>
                </c:pt>
                <c:pt idx="16">
                  <c:v>83.34</c:v>
                </c:pt>
                <c:pt idx="17">
                  <c:v>69.55</c:v>
                </c:pt>
                <c:pt idx="18">
                  <c:v>78.319999999999993</c:v>
                </c:pt>
                <c:pt idx="19">
                  <c:v>56.22</c:v>
                </c:pt>
                <c:pt idx="20">
                  <c:v>80.97</c:v>
                </c:pt>
                <c:pt idx="21">
                  <c:v>77.75</c:v>
                </c:pt>
                <c:pt idx="22">
                  <c:v>75.17</c:v>
                </c:pt>
                <c:pt idx="23">
                  <c:v>64.64</c:v>
                </c:pt>
                <c:pt idx="24">
                  <c:v>72.010000000000005</c:v>
                </c:pt>
                <c:pt idx="25">
                  <c:v>78.95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B7-4454-B348-F915FA7EA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8062240"/>
        <c:axId val="498062656"/>
      </c:scatterChart>
      <c:valAx>
        <c:axId val="498062240"/>
        <c:scaling>
          <c:orientation val="minMax"/>
          <c:max val="0.15500000000000003"/>
          <c:min val="-0.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800" b="1" i="1" baseline="0">
                    <a:solidFill>
                      <a:sysClr val="windowText" lastClr="000000"/>
                    </a:solidFill>
                  </a:rPr>
                  <a:t>F</a:t>
                </a:r>
                <a:endParaRPr lang="es-ES" sz="1800" b="1" i="1" baseline="-25000">
                  <a:solidFill>
                    <a:sysClr val="windowText" lastClr="000000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98062656"/>
        <c:crossesAt val="-0.25"/>
        <c:crossBetween val="midCat"/>
        <c:majorUnit val="0.1"/>
      </c:valAx>
      <c:valAx>
        <c:axId val="498062656"/>
        <c:scaling>
          <c:orientation val="minMax"/>
          <c:min val="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400" b="1">
                    <a:solidFill>
                      <a:sysClr val="windowText" lastClr="000000"/>
                    </a:solidFill>
                  </a:rPr>
                  <a:t>Length </a:t>
                </a:r>
              </a:p>
            </c:rich>
          </c:tx>
          <c:layout>
            <c:manualLayout>
              <c:xMode val="edge"/>
              <c:yMode val="edge"/>
              <c:x val="3.6111111111111108E-2"/>
              <c:y val="0.351107101195683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98062240"/>
        <c:crossesAt val="-0.25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 sz="1600" b="1" i="0" baseline="0">
                <a:effectLst/>
              </a:rPr>
              <a:t>(B) </a:t>
            </a:r>
            <a:r>
              <a:rPr lang="es-ES" sz="1600" b="1" i="1" baseline="0">
                <a:effectLst/>
              </a:rPr>
              <a:t>Mytillus galloprovincialis</a:t>
            </a:r>
            <a:endParaRPr lang="es-ES" sz="16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21460802524945341"/>
          <c:y val="0.20611111111111111"/>
          <c:w val="0.736175716474747"/>
          <c:h val="0.4888338436862059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'Inbreeding mothers mussels'!$G$3:$G$8</c:f>
              <c:strCache>
                <c:ptCount val="6"/>
                <c:pt idx="0">
                  <c:v>-0.20</c:v>
                </c:pt>
                <c:pt idx="1">
                  <c:v>-0.125</c:v>
                </c:pt>
                <c:pt idx="2">
                  <c:v>-0.075</c:v>
                </c:pt>
                <c:pt idx="3">
                  <c:v>-0.025</c:v>
                </c:pt>
                <c:pt idx="4">
                  <c:v>0.025</c:v>
                </c:pt>
                <c:pt idx="5">
                  <c:v>0.075</c:v>
                </c:pt>
              </c:strCache>
            </c:strRef>
          </c:cat>
          <c:val>
            <c:numRef>
              <c:f>'Inbreeding mothers mussels'!$I$3:$I$8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6</c:v>
                </c:pt>
                <c:pt idx="3">
                  <c:v>4</c:v>
                </c:pt>
                <c:pt idx="4">
                  <c:v>11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AB-4D77-AF5D-E70763FBA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-15"/>
        <c:axId val="1933313424"/>
        <c:axId val="1933308848"/>
      </c:barChart>
      <c:catAx>
        <c:axId val="1933313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800" b="1" i="1">
                    <a:solidFill>
                      <a:sysClr val="windowText" lastClr="000000"/>
                    </a:solidFill>
                  </a:rPr>
                  <a:t>F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33308848"/>
        <c:crosses val="autoZero"/>
        <c:auto val="1"/>
        <c:lblAlgn val="ctr"/>
        <c:lblOffset val="100"/>
        <c:noMultiLvlLbl val="0"/>
      </c:catAx>
      <c:valAx>
        <c:axId val="19333088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400" b="1">
                    <a:solidFill>
                      <a:sysClr val="windowText" lastClr="000000"/>
                    </a:solidFill>
                  </a:rPr>
                  <a:t>Frequency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33313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281940</xdr:colOff>
      <xdr:row>17</xdr:row>
      <xdr:rowOff>53340</xdr:rowOff>
    </xdr:from>
    <xdr:to>
      <xdr:col>15</xdr:col>
      <xdr:colOff>563880</xdr:colOff>
      <xdr:row>32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</xdr:row>
      <xdr:rowOff>0</xdr:rowOff>
    </xdr:from>
    <xdr:to>
      <xdr:col>14</xdr:col>
      <xdr:colOff>784860</xdr:colOff>
      <xdr:row>17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129540</xdr:colOff>
      <xdr:row>4</xdr:row>
      <xdr:rowOff>45720</xdr:rowOff>
    </xdr:from>
    <xdr:to>
      <xdr:col>21</xdr:col>
      <xdr:colOff>343331</xdr:colOff>
      <xdr:row>19</xdr:row>
      <xdr:rowOff>23096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134600" y="777240"/>
          <a:ext cx="4968671" cy="27205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tabSelected="1" workbookViewId="0">
      <pane ySplit="1" topLeftCell="A5" activePane="bottomLeft" state="frozen"/>
      <selection pane="bottomLeft" activeCell="R27" sqref="R27"/>
    </sheetView>
  </sheetViews>
  <sheetFormatPr baseColWidth="10" defaultRowHeight="14.4" x14ac:dyDescent="0.3"/>
  <cols>
    <col min="1" max="1" width="11.5546875" style="14"/>
    <col min="2" max="2" width="8.21875" style="14" customWidth="1"/>
    <col min="3" max="5" width="11.5546875" style="14"/>
    <col min="6" max="6" width="6.6640625" customWidth="1"/>
    <col min="7" max="7" width="10" customWidth="1"/>
    <col min="8" max="8" width="7.21875" customWidth="1"/>
    <col min="9" max="9" width="5" customWidth="1"/>
    <col min="10" max="10" width="4.77734375" customWidth="1"/>
  </cols>
  <sheetData>
    <row r="1" spans="1:9" s="2" customFormat="1" x14ac:dyDescent="0.3">
      <c r="A1" s="3" t="s">
        <v>0</v>
      </c>
      <c r="B1" s="7" t="s">
        <v>5</v>
      </c>
      <c r="C1" s="7" t="s">
        <v>43</v>
      </c>
      <c r="D1" s="7" t="s">
        <v>15</v>
      </c>
      <c r="E1" s="7" t="s">
        <v>1</v>
      </c>
      <c r="G1" s="3" t="s">
        <v>2</v>
      </c>
      <c r="H1" s="3" t="s">
        <v>3</v>
      </c>
      <c r="I1" s="3" t="s">
        <v>4</v>
      </c>
    </row>
    <row r="2" spans="1:9" x14ac:dyDescent="0.3">
      <c r="A2" s="8" t="s">
        <v>17</v>
      </c>
      <c r="B2" s="9">
        <v>4</v>
      </c>
      <c r="C2" s="10">
        <v>73.38</v>
      </c>
      <c r="D2" s="11">
        <v>7.5025999999999995E-2</v>
      </c>
      <c r="E2" s="11">
        <v>0.82570699999999997</v>
      </c>
      <c r="H2">
        <f>COUNTIF(D2:D27,"&gt;-0.25")</f>
        <v>26</v>
      </c>
    </row>
    <row r="3" spans="1:9" x14ac:dyDescent="0.3">
      <c r="A3" s="8" t="s">
        <v>18</v>
      </c>
      <c r="B3" s="9">
        <v>1</v>
      </c>
      <c r="C3" s="10">
        <v>66.06</v>
      </c>
      <c r="D3" s="11">
        <v>3.4667999999999997E-2</v>
      </c>
      <c r="E3" s="11">
        <v>0.82026299999999996</v>
      </c>
      <c r="G3" s="6" t="s">
        <v>11</v>
      </c>
      <c r="H3">
        <f>COUNTIF(D2:D27,"&gt;-0.15")</f>
        <v>25</v>
      </c>
      <c r="I3">
        <f t="shared" ref="I3:I8" si="0">H2-H3</f>
        <v>1</v>
      </c>
    </row>
    <row r="4" spans="1:9" x14ac:dyDescent="0.3">
      <c r="A4" s="8" t="s">
        <v>19</v>
      </c>
      <c r="B4" s="9">
        <v>1</v>
      </c>
      <c r="C4" s="10">
        <v>85.09</v>
      </c>
      <c r="D4" s="11">
        <v>-0.21105599999999999</v>
      </c>
      <c r="E4" s="11">
        <v>0.62252799999999997</v>
      </c>
      <c r="G4" s="6" t="s">
        <v>14</v>
      </c>
      <c r="H4">
        <f>COUNTIF(D2:D27,"&gt;-0.10")</f>
        <v>24</v>
      </c>
      <c r="I4">
        <f t="shared" si="0"/>
        <v>1</v>
      </c>
    </row>
    <row r="5" spans="1:9" x14ac:dyDescent="0.3">
      <c r="A5" s="8" t="s">
        <v>20</v>
      </c>
      <c r="B5" s="9">
        <v>4</v>
      </c>
      <c r="C5" s="10">
        <v>86.08</v>
      </c>
      <c r="D5" s="11">
        <v>8.7770000000000001E-3</v>
      </c>
      <c r="E5" s="11">
        <v>0.78303199999999995</v>
      </c>
      <c r="G5" s="6" t="s">
        <v>12</v>
      </c>
      <c r="H5">
        <f>COUNTIF(D2:D27,"&gt;-0.05")</f>
        <v>18</v>
      </c>
      <c r="I5">
        <f t="shared" si="0"/>
        <v>6</v>
      </c>
    </row>
    <row r="6" spans="1:9" x14ac:dyDescent="0.3">
      <c r="A6" s="8" t="s">
        <v>21</v>
      </c>
      <c r="B6" s="9">
        <v>3</v>
      </c>
      <c r="C6" s="10">
        <v>74.98</v>
      </c>
      <c r="D6" s="11">
        <v>4.8469999999999999E-2</v>
      </c>
      <c r="E6" s="11">
        <v>0.81722300000000003</v>
      </c>
      <c r="G6" s="6" t="s">
        <v>13</v>
      </c>
      <c r="H6">
        <f>COUNTIF(D2:D27,"&gt;-0.00")</f>
        <v>14</v>
      </c>
      <c r="I6">
        <f t="shared" si="0"/>
        <v>4</v>
      </c>
    </row>
    <row r="7" spans="1:9" x14ac:dyDescent="0.3">
      <c r="A7" s="8" t="s">
        <v>22</v>
      </c>
      <c r="B7" s="9">
        <v>3</v>
      </c>
      <c r="C7" s="10">
        <v>73.8</v>
      </c>
      <c r="D7" s="11">
        <v>7.5398999999999994E-2</v>
      </c>
      <c r="E7" s="11">
        <v>0.83182400000000001</v>
      </c>
      <c r="G7">
        <v>2.5000000000000001E-2</v>
      </c>
      <c r="H7">
        <f>COUNTIF(D2:D27,"&gt;0.05")</f>
        <v>3</v>
      </c>
      <c r="I7">
        <f t="shared" si="0"/>
        <v>11</v>
      </c>
    </row>
    <row r="8" spans="1:9" x14ac:dyDescent="0.3">
      <c r="A8" s="8" t="s">
        <v>23</v>
      </c>
      <c r="B8" s="9">
        <v>4</v>
      </c>
      <c r="C8" s="10">
        <v>76.77</v>
      </c>
      <c r="D8" s="11">
        <v>-4.6455999999999997E-2</v>
      </c>
      <c r="E8" s="11">
        <v>0.73785199999999995</v>
      </c>
      <c r="G8">
        <v>7.4999999999999997E-2</v>
      </c>
      <c r="H8">
        <f>COUNTIF(D2:D27,"&gt;0.10")</f>
        <v>0</v>
      </c>
      <c r="I8">
        <f t="shared" si="0"/>
        <v>3</v>
      </c>
    </row>
    <row r="9" spans="1:9" x14ac:dyDescent="0.3">
      <c r="A9" s="8" t="s">
        <v>24</v>
      </c>
      <c r="B9" s="9">
        <v>3</v>
      </c>
      <c r="C9" s="10">
        <v>77.89</v>
      </c>
      <c r="D9" s="11">
        <v>-5.2576999999999999E-2</v>
      </c>
      <c r="E9" s="11">
        <v>0.73656600000000005</v>
      </c>
    </row>
    <row r="10" spans="1:9" x14ac:dyDescent="0.3">
      <c r="A10" s="8" t="s">
        <v>25</v>
      </c>
      <c r="B10" s="9">
        <v>3</v>
      </c>
      <c r="C10" s="10">
        <v>84.52</v>
      </c>
      <c r="D10" s="11">
        <v>-8.7790999999999994E-2</v>
      </c>
      <c r="E10" s="11">
        <v>0.70641399999999999</v>
      </c>
    </row>
    <row r="11" spans="1:9" x14ac:dyDescent="0.3">
      <c r="A11" s="8" t="s">
        <v>26</v>
      </c>
      <c r="B11" s="9">
        <v>1</v>
      </c>
      <c r="C11" s="10">
        <v>69.489999999999995</v>
      </c>
      <c r="D11" s="11">
        <v>3.0783999999999999E-2</v>
      </c>
      <c r="E11" s="11">
        <v>0.78636799999999996</v>
      </c>
    </row>
    <row r="12" spans="1:9" x14ac:dyDescent="0.3">
      <c r="A12" s="8" t="s">
        <v>27</v>
      </c>
      <c r="B12" s="9">
        <v>2</v>
      </c>
      <c r="C12" s="10">
        <v>72.989999999999995</v>
      </c>
      <c r="D12" s="11">
        <v>-8.7852E-2</v>
      </c>
      <c r="E12" s="11">
        <v>0.65950900000000001</v>
      </c>
    </row>
    <row r="13" spans="1:9" x14ac:dyDescent="0.3">
      <c r="A13" s="8" t="s">
        <v>28</v>
      </c>
      <c r="B13" s="9">
        <v>4</v>
      </c>
      <c r="C13" s="10">
        <v>70.48</v>
      </c>
      <c r="D13" s="11">
        <v>1.0184E-2</v>
      </c>
      <c r="E13" s="11">
        <v>0.78651000000000004</v>
      </c>
    </row>
    <row r="14" spans="1:9" x14ac:dyDescent="0.3">
      <c r="A14" s="8" t="s">
        <v>29</v>
      </c>
      <c r="B14" s="9">
        <v>4</v>
      </c>
      <c r="C14" s="10">
        <v>73.180000000000007</v>
      </c>
      <c r="D14" s="11">
        <v>3.1074000000000001E-2</v>
      </c>
      <c r="E14" s="11">
        <v>0.81108999999999998</v>
      </c>
      <c r="I14">
        <f>SUM(I2:I12)</f>
        <v>26</v>
      </c>
    </row>
    <row r="15" spans="1:9" x14ac:dyDescent="0.3">
      <c r="A15" s="8" t="s">
        <v>30</v>
      </c>
      <c r="B15" s="9">
        <v>3</v>
      </c>
      <c r="C15" s="10">
        <v>96.38</v>
      </c>
      <c r="D15" s="11">
        <v>-9.1599E-2</v>
      </c>
      <c r="E15" s="11">
        <v>0.70010399999999995</v>
      </c>
    </row>
    <row r="16" spans="1:9" x14ac:dyDescent="0.3">
      <c r="A16" s="8" t="s">
        <v>31</v>
      </c>
      <c r="B16" s="9">
        <v>4</v>
      </c>
      <c r="C16" s="10">
        <v>65.83</v>
      </c>
      <c r="D16" s="11">
        <v>4.6537000000000002E-2</v>
      </c>
      <c r="E16" s="11">
        <v>0.81573499999999999</v>
      </c>
    </row>
    <row r="17" spans="1:19" x14ac:dyDescent="0.3">
      <c r="A17" s="8" t="s">
        <v>32</v>
      </c>
      <c r="B17" s="9">
        <v>1</v>
      </c>
      <c r="C17" s="10">
        <v>76.08</v>
      </c>
      <c r="D17" s="11">
        <v>-4.4430999999999998E-2</v>
      </c>
      <c r="E17" s="11">
        <v>0.74796300000000004</v>
      </c>
    </row>
    <row r="18" spans="1:19" x14ac:dyDescent="0.3">
      <c r="A18" s="8" t="s">
        <v>33</v>
      </c>
      <c r="B18" s="9">
        <v>3</v>
      </c>
      <c r="C18" s="10">
        <v>83.34</v>
      </c>
      <c r="D18" s="11">
        <v>1.6114E-2</v>
      </c>
      <c r="E18" s="11">
        <v>0.78646899999999997</v>
      </c>
    </row>
    <row r="19" spans="1:19" x14ac:dyDescent="0.3">
      <c r="A19" s="8" t="s">
        <v>34</v>
      </c>
      <c r="B19" s="9">
        <v>1</v>
      </c>
      <c r="C19" s="10">
        <v>69.55</v>
      </c>
      <c r="D19" s="11">
        <v>-7.8186000000000005E-2</v>
      </c>
      <c r="E19" s="11">
        <v>0.68969199999999997</v>
      </c>
    </row>
    <row r="20" spans="1:19" x14ac:dyDescent="0.3">
      <c r="A20" s="8" t="s">
        <v>35</v>
      </c>
      <c r="B20" s="9">
        <v>1</v>
      </c>
      <c r="C20" s="10">
        <v>78.319999999999993</v>
      </c>
      <c r="D20" s="11">
        <v>2.0594000000000001E-2</v>
      </c>
      <c r="E20" s="11">
        <v>0.77682700000000005</v>
      </c>
    </row>
    <row r="21" spans="1:19" ht="15.6" customHeight="1" x14ac:dyDescent="0.35">
      <c r="A21" s="8" t="s">
        <v>36</v>
      </c>
      <c r="B21" s="9">
        <v>1</v>
      </c>
      <c r="C21" s="10">
        <v>56.22</v>
      </c>
      <c r="D21" s="11">
        <v>5.2830000000000002E-2</v>
      </c>
      <c r="E21" s="11">
        <v>0.82076700000000002</v>
      </c>
      <c r="M21" s="1"/>
    </row>
    <row r="22" spans="1:19" x14ac:dyDescent="0.3">
      <c r="A22" s="8" t="s">
        <v>37</v>
      </c>
      <c r="B22" s="9">
        <v>3</v>
      </c>
      <c r="C22" s="10">
        <v>80.97</v>
      </c>
      <c r="D22" s="11">
        <v>-4.4087000000000001E-2</v>
      </c>
      <c r="E22" s="11">
        <v>0.73004599999999997</v>
      </c>
    </row>
    <row r="23" spans="1:19" x14ac:dyDescent="0.3">
      <c r="A23" s="8" t="s">
        <v>38</v>
      </c>
      <c r="B23" s="9">
        <v>4</v>
      </c>
      <c r="C23" s="10">
        <v>77.75</v>
      </c>
      <c r="D23" s="11">
        <v>-5.2986999999999999E-2</v>
      </c>
      <c r="E23" s="11">
        <v>0.74091899999999999</v>
      </c>
    </row>
    <row r="24" spans="1:19" x14ac:dyDescent="0.3">
      <c r="A24" s="8" t="s">
        <v>39</v>
      </c>
      <c r="B24" s="9">
        <v>3</v>
      </c>
      <c r="C24" s="10">
        <v>75.17</v>
      </c>
      <c r="D24" s="11">
        <v>-1.0640999999999999E-2</v>
      </c>
      <c r="E24" s="11">
        <v>0.77832199999999996</v>
      </c>
    </row>
    <row r="25" spans="1:19" x14ac:dyDescent="0.3">
      <c r="A25" s="8" t="s">
        <v>40</v>
      </c>
      <c r="B25" s="9">
        <v>1</v>
      </c>
      <c r="C25" s="10">
        <v>64.64</v>
      </c>
      <c r="D25" s="11">
        <v>1.1453E-2</v>
      </c>
      <c r="E25" s="11">
        <v>0.78235600000000005</v>
      </c>
    </row>
    <row r="26" spans="1:19" x14ac:dyDescent="0.3">
      <c r="A26" s="8" t="s">
        <v>41</v>
      </c>
      <c r="B26" s="9">
        <v>3</v>
      </c>
      <c r="C26" s="10">
        <v>72.010000000000005</v>
      </c>
      <c r="D26" s="11">
        <v>-0.13281000000000001</v>
      </c>
      <c r="E26" s="11">
        <v>0.64066400000000001</v>
      </c>
    </row>
    <row r="27" spans="1:19" x14ac:dyDescent="0.3">
      <c r="A27" s="8" t="s">
        <v>42</v>
      </c>
      <c r="B27" s="9">
        <v>4</v>
      </c>
      <c r="C27" s="10">
        <v>78.95</v>
      </c>
      <c r="D27" s="11">
        <v>3.5853000000000003E-2</v>
      </c>
      <c r="E27" s="11">
        <v>0.793462</v>
      </c>
    </row>
    <row r="28" spans="1:19" x14ac:dyDescent="0.3">
      <c r="A28" s="8"/>
      <c r="B28" s="9"/>
      <c r="C28" s="10"/>
      <c r="D28" s="11"/>
      <c r="E28" s="11"/>
    </row>
    <row r="29" spans="1:19" x14ac:dyDescent="0.3">
      <c r="A29" s="8"/>
      <c r="B29" s="9"/>
      <c r="C29" s="12">
        <f t="shared" ref="C29:E29" si="1">AVERAGE(C2:C27)</f>
        <v>75.381538461538469</v>
      </c>
      <c r="D29" s="13">
        <f>AVERAGE(D2:D27)</f>
        <v>-1.7027307692307696E-2</v>
      </c>
      <c r="E29" s="13">
        <f t="shared" si="1"/>
        <v>0.75877738461538469</v>
      </c>
    </row>
    <row r="30" spans="1:19" x14ac:dyDescent="0.3">
      <c r="B30" s="11"/>
      <c r="C30" s="15">
        <f>SQRT(VAR(C3:C29))</f>
        <v>8.1026151317145683</v>
      </c>
      <c r="D30" s="15">
        <f>SQRT(VAR(D3:D29))</f>
        <v>6.6798574664186025E-2</v>
      </c>
      <c r="E30" s="15">
        <f>SQRT(VAR(E3:E29))</f>
        <v>5.7638295458283126E-2</v>
      </c>
    </row>
    <row r="31" spans="1:19" x14ac:dyDescent="0.3">
      <c r="B31" s="11"/>
      <c r="C31" s="15"/>
      <c r="D31" s="15"/>
      <c r="E31" s="15"/>
    </row>
    <row r="32" spans="1:19" x14ac:dyDescent="0.3">
      <c r="B32" s="11"/>
      <c r="C32" s="11"/>
      <c r="D32" s="11"/>
      <c r="E32" s="11"/>
      <c r="K32" s="2"/>
      <c r="L32" s="4"/>
      <c r="M32" s="4"/>
      <c r="N32" s="4"/>
      <c r="O32" s="4"/>
      <c r="P32" s="4"/>
      <c r="Q32" s="4"/>
      <c r="R32" s="4"/>
      <c r="S32" s="4"/>
    </row>
    <row r="33" spans="2:19" x14ac:dyDescent="0.3">
      <c r="B33" s="11"/>
      <c r="C33" s="11"/>
      <c r="D33" s="11"/>
      <c r="E33" s="11"/>
      <c r="K33" s="2"/>
      <c r="L33" s="4"/>
      <c r="M33" s="4"/>
      <c r="N33" s="4"/>
      <c r="O33" s="4"/>
      <c r="P33" s="4"/>
      <c r="Q33" s="4"/>
      <c r="R33" s="4"/>
      <c r="S33" s="4"/>
    </row>
    <row r="34" spans="2:19" x14ac:dyDescent="0.3">
      <c r="B34" s="11"/>
      <c r="C34" s="11"/>
      <c r="D34" s="11"/>
      <c r="E34" s="11"/>
      <c r="K34" s="2"/>
      <c r="L34" s="4"/>
      <c r="M34" s="4"/>
      <c r="N34" s="4"/>
      <c r="O34" s="4"/>
      <c r="P34" s="4"/>
      <c r="Q34" s="4"/>
      <c r="R34" s="4"/>
      <c r="S34" s="4"/>
    </row>
    <row r="35" spans="2:19" x14ac:dyDescent="0.3">
      <c r="B35" s="11"/>
      <c r="C35" s="11"/>
      <c r="D35" s="11"/>
      <c r="E35" s="11"/>
      <c r="K35" s="2"/>
      <c r="L35" s="4"/>
      <c r="M35" s="4"/>
      <c r="N35" s="4"/>
      <c r="O35" s="4"/>
      <c r="P35" s="4"/>
      <c r="Q35" s="4"/>
      <c r="R35" s="4"/>
      <c r="S35" s="4"/>
    </row>
    <row r="36" spans="2:19" x14ac:dyDescent="0.3">
      <c r="B36" s="11"/>
      <c r="C36" s="11"/>
      <c r="D36" s="11"/>
      <c r="E36" s="11"/>
    </row>
    <row r="37" spans="2:19" x14ac:dyDescent="0.3">
      <c r="B37" s="11"/>
      <c r="C37" s="11"/>
      <c r="D37" s="11"/>
      <c r="E37" s="11"/>
    </row>
    <row r="38" spans="2:19" x14ac:dyDescent="0.3">
      <c r="B38" s="11"/>
      <c r="C38" s="11"/>
      <c r="D38" s="11"/>
      <c r="E38" s="11"/>
    </row>
    <row r="39" spans="2:19" x14ac:dyDescent="0.3">
      <c r="B39" s="11"/>
      <c r="C39" s="11"/>
      <c r="D39" s="11"/>
      <c r="E39" s="11"/>
    </row>
    <row r="40" spans="2:19" x14ac:dyDescent="0.3">
      <c r="B40" s="11"/>
      <c r="C40" s="11"/>
      <c r="D40" s="11"/>
      <c r="E40" s="11"/>
    </row>
    <row r="41" spans="2:19" x14ac:dyDescent="0.3">
      <c r="B41" s="11"/>
      <c r="C41" s="11"/>
      <c r="D41" s="11"/>
      <c r="E41" s="11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2"/>
  <sheetViews>
    <sheetView workbookViewId="0">
      <selection activeCell="J22" sqref="J22"/>
    </sheetView>
  </sheetViews>
  <sheetFormatPr baseColWidth="10" defaultRowHeight="14.4" x14ac:dyDescent="0.3"/>
  <cols>
    <col min="4" max="7" width="11.5546875" style="4"/>
  </cols>
  <sheetData>
    <row r="1" spans="1:6" x14ac:dyDescent="0.3">
      <c r="A1" s="2" t="s">
        <v>6</v>
      </c>
      <c r="B1" s="2" t="s">
        <v>7</v>
      </c>
      <c r="C1" s="2" t="s">
        <v>8</v>
      </c>
      <c r="D1" s="2" t="s">
        <v>9</v>
      </c>
      <c r="E1" s="2" t="s">
        <v>16</v>
      </c>
      <c r="F1" s="2" t="s">
        <v>10</v>
      </c>
    </row>
    <row r="2" spans="1:6" x14ac:dyDescent="0.3">
      <c r="A2">
        <v>1</v>
      </c>
      <c r="B2">
        <v>1</v>
      </c>
      <c r="C2">
        <v>5765</v>
      </c>
      <c r="D2" s="4">
        <v>0.85990180000000005</v>
      </c>
      <c r="E2"/>
      <c r="F2" s="2"/>
    </row>
    <row r="3" spans="1:6" x14ac:dyDescent="0.3">
      <c r="A3">
        <v>2</v>
      </c>
      <c r="B3">
        <v>1</v>
      </c>
      <c r="C3">
        <v>5622</v>
      </c>
      <c r="D3" s="4">
        <v>2.5737119999999999E-2</v>
      </c>
      <c r="E3">
        <v>2.5737119999999999E-2</v>
      </c>
      <c r="F3" s="5">
        <f>AVERAGE(E2:E139878)/2</f>
        <v>-2.0020783423999999E-2</v>
      </c>
    </row>
    <row r="4" spans="1:6" x14ac:dyDescent="0.3">
      <c r="A4">
        <v>2</v>
      </c>
      <c r="B4">
        <v>2</v>
      </c>
      <c r="C4">
        <v>5720</v>
      </c>
      <c r="D4" s="4">
        <v>0.81546240000000003</v>
      </c>
      <c r="E4"/>
      <c r="F4" s="5">
        <f>SQRT(VAR(E2:E139879))/2</f>
        <v>2.0301795146423832E-2</v>
      </c>
    </row>
    <row r="5" spans="1:6" x14ac:dyDescent="0.3">
      <c r="A5">
        <v>3</v>
      </c>
      <c r="B5">
        <v>1</v>
      </c>
      <c r="C5">
        <v>4761</v>
      </c>
      <c r="D5" s="4">
        <v>-0.13051579999999999</v>
      </c>
      <c r="E5">
        <v>-0.13051579999999999</v>
      </c>
      <c r="F5"/>
    </row>
    <row r="6" spans="1:6" x14ac:dyDescent="0.3">
      <c r="A6">
        <v>3</v>
      </c>
      <c r="B6">
        <v>2</v>
      </c>
      <c r="C6">
        <v>4715</v>
      </c>
      <c r="D6" s="4">
        <v>-0.1252713</v>
      </c>
      <c r="E6">
        <v>-0.1252713</v>
      </c>
      <c r="F6"/>
    </row>
    <row r="7" spans="1:6" x14ac:dyDescent="0.3">
      <c r="A7">
        <v>3</v>
      </c>
      <c r="B7">
        <v>3</v>
      </c>
      <c r="C7">
        <v>4849</v>
      </c>
      <c r="D7" s="4">
        <v>1.092479</v>
      </c>
      <c r="E7"/>
      <c r="F7"/>
    </row>
    <row r="8" spans="1:6" x14ac:dyDescent="0.3">
      <c r="A8">
        <v>4</v>
      </c>
      <c r="B8">
        <v>1</v>
      </c>
      <c r="C8">
        <v>5425</v>
      </c>
      <c r="D8" s="4">
        <v>-3.1615699999999997E-2</v>
      </c>
      <c r="E8">
        <v>-3.1615699999999997E-2</v>
      </c>
      <c r="F8"/>
    </row>
    <row r="9" spans="1:6" x14ac:dyDescent="0.3">
      <c r="A9">
        <v>4</v>
      </c>
      <c r="B9">
        <v>2</v>
      </c>
      <c r="C9">
        <v>5378</v>
      </c>
      <c r="D9" s="4">
        <v>-2.3793060000000001E-2</v>
      </c>
      <c r="E9">
        <v>-2.3793060000000001E-2</v>
      </c>
      <c r="F9"/>
    </row>
    <row r="10" spans="1:6" x14ac:dyDescent="0.3">
      <c r="A10">
        <v>4</v>
      </c>
      <c r="B10">
        <v>3</v>
      </c>
      <c r="C10">
        <v>4570</v>
      </c>
      <c r="D10" s="4">
        <v>-5.5072080000000002E-2</v>
      </c>
      <c r="E10" s="4">
        <v>-5.5072080000000002E-2</v>
      </c>
    </row>
    <row r="11" spans="1:6" x14ac:dyDescent="0.3">
      <c r="A11">
        <v>4</v>
      </c>
      <c r="B11">
        <v>4</v>
      </c>
      <c r="C11">
        <v>5519</v>
      </c>
      <c r="D11" s="4">
        <v>0.8493965</v>
      </c>
    </row>
    <row r="12" spans="1:6" x14ac:dyDescent="0.3">
      <c r="A12">
        <v>5</v>
      </c>
      <c r="B12">
        <v>1</v>
      </c>
      <c r="C12">
        <v>5598</v>
      </c>
      <c r="D12" s="4">
        <v>1.6638969999999999E-2</v>
      </c>
      <c r="E12" s="4">
        <v>1.6638969999999999E-2</v>
      </c>
    </row>
    <row r="13" spans="1:6" x14ac:dyDescent="0.3">
      <c r="A13">
        <v>5</v>
      </c>
      <c r="B13">
        <v>2</v>
      </c>
      <c r="C13">
        <v>5556</v>
      </c>
      <c r="D13" s="4">
        <v>2.8370159999999998E-2</v>
      </c>
      <c r="E13" s="4">
        <v>2.8370159999999998E-2</v>
      </c>
    </row>
    <row r="14" spans="1:6" x14ac:dyDescent="0.3">
      <c r="A14">
        <v>5</v>
      </c>
      <c r="B14">
        <v>3</v>
      </c>
      <c r="C14">
        <v>4705</v>
      </c>
      <c r="D14" s="4">
        <v>-0.11828080000000001</v>
      </c>
      <c r="E14" s="4">
        <v>-0.11828080000000001</v>
      </c>
    </row>
    <row r="15" spans="1:6" x14ac:dyDescent="0.3">
      <c r="A15">
        <v>5</v>
      </c>
      <c r="B15">
        <v>4</v>
      </c>
      <c r="C15">
        <v>5361</v>
      </c>
      <c r="D15" s="4">
        <v>-2.981576E-2</v>
      </c>
      <c r="E15" s="4">
        <v>-2.981576E-2</v>
      </c>
    </row>
    <row r="16" spans="1:6" x14ac:dyDescent="0.3">
      <c r="A16">
        <v>5</v>
      </c>
      <c r="B16">
        <v>5</v>
      </c>
      <c r="C16">
        <v>5697</v>
      </c>
      <c r="D16" s="4">
        <v>0.84862660000000001</v>
      </c>
    </row>
    <row r="17" spans="1:5" x14ac:dyDescent="0.3">
      <c r="A17">
        <v>6</v>
      </c>
      <c r="B17">
        <v>1</v>
      </c>
      <c r="C17">
        <v>5696</v>
      </c>
      <c r="D17" s="4">
        <v>1.6157319999999999E-2</v>
      </c>
      <c r="E17" s="4">
        <v>1.6157319999999999E-2</v>
      </c>
    </row>
    <row r="18" spans="1:5" x14ac:dyDescent="0.3">
      <c r="A18">
        <v>6</v>
      </c>
      <c r="B18">
        <v>2</v>
      </c>
      <c r="C18">
        <v>5650</v>
      </c>
      <c r="D18" s="4">
        <v>2.167753E-2</v>
      </c>
      <c r="E18" s="4">
        <v>2.167753E-2</v>
      </c>
    </row>
    <row r="19" spans="1:5" x14ac:dyDescent="0.3">
      <c r="A19">
        <v>6</v>
      </c>
      <c r="B19">
        <v>3</v>
      </c>
      <c r="C19">
        <v>4796</v>
      </c>
      <c r="D19" s="4">
        <v>-0.12592639999999999</v>
      </c>
      <c r="E19" s="4">
        <v>-0.12592639999999999</v>
      </c>
    </row>
    <row r="20" spans="1:5" x14ac:dyDescent="0.3">
      <c r="A20">
        <v>6</v>
      </c>
      <c r="B20">
        <v>4</v>
      </c>
      <c r="C20">
        <v>5452</v>
      </c>
      <c r="D20" s="4">
        <v>-2.0089019999999999E-2</v>
      </c>
      <c r="E20" s="4">
        <v>-2.0089019999999999E-2</v>
      </c>
    </row>
    <row r="21" spans="1:5" x14ac:dyDescent="0.3">
      <c r="A21">
        <v>6</v>
      </c>
      <c r="B21">
        <v>5</v>
      </c>
      <c r="C21">
        <v>5626</v>
      </c>
      <c r="D21" s="4">
        <v>1.5482050000000001E-2</v>
      </c>
      <c r="E21" s="4">
        <v>1.5482050000000001E-2</v>
      </c>
    </row>
    <row r="22" spans="1:5" x14ac:dyDescent="0.3">
      <c r="A22">
        <v>6</v>
      </c>
      <c r="B22">
        <v>6</v>
      </c>
      <c r="C22">
        <v>5798</v>
      </c>
      <c r="D22" s="4">
        <v>0.86824670000000004</v>
      </c>
    </row>
    <row r="23" spans="1:5" x14ac:dyDescent="0.3">
      <c r="A23">
        <v>7</v>
      </c>
      <c r="B23">
        <v>1</v>
      </c>
      <c r="C23">
        <v>5283</v>
      </c>
      <c r="D23" s="4">
        <v>-5.4361520000000003E-2</v>
      </c>
      <c r="E23" s="4">
        <v>-5.4361520000000003E-2</v>
      </c>
    </row>
    <row r="24" spans="1:5" x14ac:dyDescent="0.3">
      <c r="A24">
        <v>7</v>
      </c>
      <c r="B24">
        <v>2</v>
      </c>
      <c r="C24">
        <v>5249</v>
      </c>
      <c r="D24" s="4">
        <v>-6.2435200000000003E-2</v>
      </c>
      <c r="E24" s="4">
        <v>-6.2435200000000003E-2</v>
      </c>
    </row>
    <row r="25" spans="1:5" x14ac:dyDescent="0.3">
      <c r="A25">
        <v>7</v>
      </c>
      <c r="B25">
        <v>3</v>
      </c>
      <c r="C25">
        <v>4484</v>
      </c>
      <c r="D25" s="4">
        <v>-5.6813809999999999E-2</v>
      </c>
      <c r="E25" s="4">
        <v>-5.6813809999999999E-2</v>
      </c>
    </row>
    <row r="26" spans="1:5" x14ac:dyDescent="0.3">
      <c r="A26">
        <v>7</v>
      </c>
      <c r="B26">
        <v>4</v>
      </c>
      <c r="C26">
        <v>5069</v>
      </c>
      <c r="D26" s="4">
        <v>-4.0552249999999998E-2</v>
      </c>
      <c r="E26" s="4">
        <v>-4.0552249999999998E-2</v>
      </c>
    </row>
    <row r="27" spans="1:5" x14ac:dyDescent="0.3">
      <c r="A27">
        <v>7</v>
      </c>
      <c r="B27">
        <v>5</v>
      </c>
      <c r="C27">
        <v>5222</v>
      </c>
      <c r="D27" s="4">
        <v>-6.3935030000000004E-2</v>
      </c>
      <c r="E27" s="4">
        <v>-6.3935030000000004E-2</v>
      </c>
    </row>
    <row r="28" spans="1:5" x14ac:dyDescent="0.3">
      <c r="A28">
        <v>7</v>
      </c>
      <c r="B28">
        <v>6</v>
      </c>
      <c r="C28">
        <v>5312</v>
      </c>
      <c r="D28" s="4">
        <v>-7.1500999999999995E-2</v>
      </c>
      <c r="E28" s="4">
        <v>-7.1500999999999995E-2</v>
      </c>
    </row>
    <row r="29" spans="1:5" x14ac:dyDescent="0.3">
      <c r="A29">
        <v>7</v>
      </c>
      <c r="B29">
        <v>7</v>
      </c>
      <c r="C29">
        <v>5379</v>
      </c>
      <c r="D29" s="4">
        <v>0.87310639999999995</v>
      </c>
    </row>
    <row r="30" spans="1:5" x14ac:dyDescent="0.3">
      <c r="A30">
        <v>8</v>
      </c>
      <c r="B30">
        <v>1</v>
      </c>
      <c r="C30">
        <v>5230</v>
      </c>
      <c r="D30" s="4">
        <v>-6.522828E-2</v>
      </c>
      <c r="E30" s="4">
        <v>-6.522828E-2</v>
      </c>
    </row>
    <row r="31" spans="1:5" x14ac:dyDescent="0.3">
      <c r="A31">
        <v>8</v>
      </c>
      <c r="B31">
        <v>2</v>
      </c>
      <c r="C31">
        <v>5180</v>
      </c>
      <c r="D31" s="4">
        <v>-5.3695819999999998E-2</v>
      </c>
      <c r="E31" s="4">
        <v>-5.3695819999999998E-2</v>
      </c>
    </row>
    <row r="32" spans="1:5" x14ac:dyDescent="0.3">
      <c r="A32">
        <v>8</v>
      </c>
      <c r="B32">
        <v>3</v>
      </c>
      <c r="C32">
        <v>4434</v>
      </c>
      <c r="D32" s="4">
        <v>-3.3777399999999999E-2</v>
      </c>
      <c r="E32" s="4">
        <v>-3.3777399999999999E-2</v>
      </c>
    </row>
    <row r="33" spans="1:5" x14ac:dyDescent="0.3">
      <c r="A33">
        <v>8</v>
      </c>
      <c r="B33">
        <v>4</v>
      </c>
      <c r="C33">
        <v>5012</v>
      </c>
      <c r="D33" s="4">
        <v>-4.2111309999999999E-2</v>
      </c>
      <c r="E33" s="4">
        <v>-4.2111309999999999E-2</v>
      </c>
    </row>
    <row r="34" spans="1:5" x14ac:dyDescent="0.3">
      <c r="A34">
        <v>8</v>
      </c>
      <c r="B34">
        <v>5</v>
      </c>
      <c r="C34">
        <v>5167</v>
      </c>
      <c r="D34" s="4">
        <v>-5.3232260000000003E-2</v>
      </c>
      <c r="E34" s="4">
        <v>-5.3232260000000003E-2</v>
      </c>
    </row>
    <row r="35" spans="1:5" x14ac:dyDescent="0.3">
      <c r="A35">
        <v>8</v>
      </c>
      <c r="B35">
        <v>6</v>
      </c>
      <c r="C35">
        <v>5253</v>
      </c>
      <c r="D35" s="4">
        <v>-7.2212589999999993E-2</v>
      </c>
      <c r="E35" s="4">
        <v>-7.2212589999999993E-2</v>
      </c>
    </row>
    <row r="36" spans="1:5" x14ac:dyDescent="0.3">
      <c r="A36">
        <v>8</v>
      </c>
      <c r="B36">
        <v>7</v>
      </c>
      <c r="C36">
        <v>4912</v>
      </c>
      <c r="D36" s="4">
        <v>8.6938520000000004E-4</v>
      </c>
      <c r="E36" s="4">
        <v>8.6938520000000004E-4</v>
      </c>
    </row>
    <row r="37" spans="1:5" x14ac:dyDescent="0.3">
      <c r="A37">
        <v>8</v>
      </c>
      <c r="B37">
        <v>8</v>
      </c>
      <c r="C37">
        <v>5321</v>
      </c>
      <c r="D37" s="4">
        <v>0.8582246</v>
      </c>
    </row>
    <row r="38" spans="1:5" x14ac:dyDescent="0.3">
      <c r="A38">
        <v>9</v>
      </c>
      <c r="B38">
        <v>1</v>
      </c>
      <c r="C38">
        <v>5013</v>
      </c>
      <c r="D38" s="4">
        <v>-8.1575430000000004E-2</v>
      </c>
      <c r="E38" s="4">
        <v>-8.1575430000000004E-2</v>
      </c>
    </row>
    <row r="39" spans="1:5" x14ac:dyDescent="0.3">
      <c r="A39">
        <v>9</v>
      </c>
      <c r="B39">
        <v>2</v>
      </c>
      <c r="C39">
        <v>4976</v>
      </c>
      <c r="D39" s="4">
        <v>-9.2593910000000001E-2</v>
      </c>
      <c r="E39" s="4">
        <v>-9.2593910000000001E-2</v>
      </c>
    </row>
    <row r="40" spans="1:5" x14ac:dyDescent="0.3">
      <c r="A40">
        <v>9</v>
      </c>
      <c r="B40">
        <v>3</v>
      </c>
      <c r="C40">
        <v>4291</v>
      </c>
      <c r="D40" s="4">
        <v>4.7916500000000001E-2</v>
      </c>
      <c r="E40" s="4">
        <v>4.7916500000000001E-2</v>
      </c>
    </row>
    <row r="41" spans="1:5" x14ac:dyDescent="0.3">
      <c r="A41">
        <v>9</v>
      </c>
      <c r="B41">
        <v>4</v>
      </c>
      <c r="C41">
        <v>4801</v>
      </c>
      <c r="D41" s="4">
        <v>-6.3918950000000002E-2</v>
      </c>
      <c r="E41" s="4">
        <v>-6.3918950000000002E-2</v>
      </c>
    </row>
    <row r="42" spans="1:5" x14ac:dyDescent="0.3">
      <c r="A42">
        <v>9</v>
      </c>
      <c r="B42">
        <v>5</v>
      </c>
      <c r="C42">
        <v>4957</v>
      </c>
      <c r="D42" s="4">
        <v>-7.1286669999999996E-2</v>
      </c>
      <c r="E42" s="4">
        <v>-7.1286669999999996E-2</v>
      </c>
    </row>
    <row r="43" spans="1:5" x14ac:dyDescent="0.3">
      <c r="A43">
        <v>9</v>
      </c>
      <c r="B43">
        <v>6</v>
      </c>
      <c r="C43">
        <v>5044</v>
      </c>
      <c r="D43" s="4">
        <v>-8.0752729999999995E-2</v>
      </c>
      <c r="E43" s="4">
        <v>-8.0752729999999995E-2</v>
      </c>
    </row>
    <row r="44" spans="1:5" x14ac:dyDescent="0.3">
      <c r="A44">
        <v>9</v>
      </c>
      <c r="B44">
        <v>7</v>
      </c>
      <c r="C44">
        <v>4707</v>
      </c>
      <c r="D44" s="4">
        <v>-2.2198849999999999E-2</v>
      </c>
      <c r="E44" s="4">
        <v>-2.2198849999999999E-2</v>
      </c>
    </row>
    <row r="45" spans="1:5" x14ac:dyDescent="0.3">
      <c r="A45">
        <v>9</v>
      </c>
      <c r="B45">
        <v>8</v>
      </c>
      <c r="C45">
        <v>4676</v>
      </c>
      <c r="D45" s="4">
        <v>2.285956E-3</v>
      </c>
      <c r="E45" s="4">
        <v>2.285956E-3</v>
      </c>
    </row>
    <row r="46" spans="1:5" x14ac:dyDescent="0.3">
      <c r="A46">
        <v>9</v>
      </c>
      <c r="B46">
        <v>9</v>
      </c>
      <c r="C46">
        <v>5108</v>
      </c>
      <c r="D46" s="4">
        <v>0.89700250000000004</v>
      </c>
    </row>
    <row r="47" spans="1:5" x14ac:dyDescent="0.3">
      <c r="A47">
        <v>10</v>
      </c>
      <c r="B47">
        <v>1</v>
      </c>
      <c r="C47">
        <v>5411</v>
      </c>
      <c r="D47" s="4">
        <v>-2.349795E-2</v>
      </c>
      <c r="E47" s="4">
        <v>-2.349795E-2</v>
      </c>
    </row>
    <row r="48" spans="1:5" x14ac:dyDescent="0.3">
      <c r="A48">
        <v>10</v>
      </c>
      <c r="B48">
        <v>2</v>
      </c>
      <c r="C48">
        <v>5374</v>
      </c>
      <c r="D48" s="4">
        <v>-2.1565040000000001E-2</v>
      </c>
      <c r="E48" s="4">
        <v>-2.1565040000000001E-2</v>
      </c>
    </row>
    <row r="49" spans="1:5" x14ac:dyDescent="0.3">
      <c r="A49">
        <v>10</v>
      </c>
      <c r="B49">
        <v>3</v>
      </c>
      <c r="C49">
        <v>4568</v>
      </c>
      <c r="D49" s="4">
        <v>-5.4259830000000002E-2</v>
      </c>
      <c r="E49" s="4">
        <v>-5.4259830000000002E-2</v>
      </c>
    </row>
    <row r="50" spans="1:5" x14ac:dyDescent="0.3">
      <c r="A50">
        <v>10</v>
      </c>
      <c r="B50">
        <v>4</v>
      </c>
      <c r="C50">
        <v>5199</v>
      </c>
      <c r="D50" s="4">
        <v>-2.837458E-2</v>
      </c>
      <c r="E50" s="4">
        <v>-2.837458E-2</v>
      </c>
    </row>
    <row r="51" spans="1:5" x14ac:dyDescent="0.3">
      <c r="A51">
        <v>10</v>
      </c>
      <c r="B51">
        <v>5</v>
      </c>
      <c r="C51">
        <v>5348</v>
      </c>
      <c r="D51" s="4">
        <v>-3.4647440000000002E-2</v>
      </c>
      <c r="E51" s="4">
        <v>-3.4647440000000002E-2</v>
      </c>
    </row>
    <row r="52" spans="1:5" x14ac:dyDescent="0.3">
      <c r="A52">
        <v>10</v>
      </c>
      <c r="B52">
        <v>6</v>
      </c>
      <c r="C52">
        <v>5448</v>
      </c>
      <c r="D52" s="4">
        <v>-3.6880160000000002E-2</v>
      </c>
      <c r="E52" s="4">
        <v>-3.6880160000000002E-2</v>
      </c>
    </row>
    <row r="53" spans="1:5" x14ac:dyDescent="0.3">
      <c r="A53">
        <v>10</v>
      </c>
      <c r="B53">
        <v>7</v>
      </c>
      <c r="C53">
        <v>5063</v>
      </c>
      <c r="D53" s="4">
        <v>-4.202914E-2</v>
      </c>
      <c r="E53" s="4">
        <v>-4.202914E-2</v>
      </c>
    </row>
    <row r="54" spans="1:5" x14ac:dyDescent="0.3">
      <c r="A54">
        <v>10</v>
      </c>
      <c r="B54">
        <v>8</v>
      </c>
      <c r="C54">
        <v>5003</v>
      </c>
      <c r="D54" s="4">
        <v>-5.4357469999999998E-2</v>
      </c>
      <c r="E54" s="4">
        <v>-5.4357469999999998E-2</v>
      </c>
    </row>
    <row r="55" spans="1:5" x14ac:dyDescent="0.3">
      <c r="A55">
        <v>10</v>
      </c>
      <c r="B55">
        <v>9</v>
      </c>
      <c r="C55">
        <v>4799</v>
      </c>
      <c r="D55" s="4">
        <v>-3.35465E-2</v>
      </c>
      <c r="E55" s="4">
        <v>-3.35465E-2</v>
      </c>
    </row>
    <row r="56" spans="1:5" x14ac:dyDescent="0.3">
      <c r="A56">
        <v>10</v>
      </c>
      <c r="B56">
        <v>10</v>
      </c>
      <c r="C56">
        <v>5513</v>
      </c>
      <c r="D56" s="4">
        <v>0.90427489999999999</v>
      </c>
    </row>
    <row r="57" spans="1:5" x14ac:dyDescent="0.3">
      <c r="A57">
        <v>11</v>
      </c>
      <c r="B57">
        <v>1</v>
      </c>
      <c r="C57">
        <v>4752</v>
      </c>
      <c r="D57" s="4">
        <v>-9.5336370000000004E-2</v>
      </c>
      <c r="E57" s="4">
        <v>-9.5336370000000004E-2</v>
      </c>
    </row>
    <row r="58" spans="1:5" x14ac:dyDescent="0.3">
      <c r="A58">
        <v>11</v>
      </c>
      <c r="B58">
        <v>2</v>
      </c>
      <c r="C58">
        <v>4720</v>
      </c>
      <c r="D58" s="4">
        <v>-0.13643379999999999</v>
      </c>
      <c r="E58" s="4">
        <v>-0.13643379999999999</v>
      </c>
    </row>
    <row r="59" spans="1:5" x14ac:dyDescent="0.3">
      <c r="A59">
        <v>11</v>
      </c>
      <c r="B59">
        <v>3</v>
      </c>
      <c r="C59">
        <v>4099</v>
      </c>
      <c r="D59" s="4">
        <v>9.4414310000000001E-2</v>
      </c>
      <c r="E59" s="4">
        <v>9.4414310000000001E-2</v>
      </c>
    </row>
    <row r="60" spans="1:5" x14ac:dyDescent="0.3">
      <c r="A60">
        <v>11</v>
      </c>
      <c r="B60">
        <v>4</v>
      </c>
      <c r="C60">
        <v>4559</v>
      </c>
      <c r="D60" s="4">
        <v>-5.5704579999999997E-2</v>
      </c>
      <c r="E60" s="4">
        <v>-5.5704579999999997E-2</v>
      </c>
    </row>
    <row r="61" spans="1:5" x14ac:dyDescent="0.3">
      <c r="A61">
        <v>11</v>
      </c>
      <c r="B61">
        <v>5</v>
      </c>
      <c r="C61">
        <v>4698</v>
      </c>
      <c r="D61" s="4">
        <v>-0.1081955</v>
      </c>
      <c r="E61" s="4">
        <v>-0.1081955</v>
      </c>
    </row>
    <row r="62" spans="1:5" x14ac:dyDescent="0.3">
      <c r="A62">
        <v>11</v>
      </c>
      <c r="B62">
        <v>6</v>
      </c>
      <c r="C62">
        <v>4783</v>
      </c>
      <c r="D62" s="4">
        <v>-0.11206430000000001</v>
      </c>
      <c r="E62" s="4">
        <v>-0.11206430000000001</v>
      </c>
    </row>
    <row r="63" spans="1:5" x14ac:dyDescent="0.3">
      <c r="A63">
        <v>11</v>
      </c>
      <c r="B63">
        <v>7</v>
      </c>
      <c r="C63">
        <v>4480</v>
      </c>
      <c r="D63" s="4">
        <v>-4.6378410000000002E-2</v>
      </c>
      <c r="E63" s="4">
        <v>-4.6378410000000002E-2</v>
      </c>
    </row>
    <row r="64" spans="1:5" x14ac:dyDescent="0.3">
      <c r="A64">
        <v>11</v>
      </c>
      <c r="B64">
        <v>8</v>
      </c>
      <c r="C64">
        <v>4420</v>
      </c>
      <c r="D64" s="4">
        <v>-2.8175160000000001E-2</v>
      </c>
      <c r="E64" s="4">
        <v>-2.8175160000000001E-2</v>
      </c>
    </row>
    <row r="65" spans="1:5" x14ac:dyDescent="0.3">
      <c r="A65">
        <v>11</v>
      </c>
      <c r="B65">
        <v>9</v>
      </c>
      <c r="C65">
        <v>4287</v>
      </c>
      <c r="D65" s="4">
        <v>1.6856029999999999E-3</v>
      </c>
      <c r="E65" s="4">
        <v>1.6856029999999999E-3</v>
      </c>
    </row>
    <row r="66" spans="1:5" x14ac:dyDescent="0.3">
      <c r="A66">
        <v>11</v>
      </c>
      <c r="B66">
        <v>10</v>
      </c>
      <c r="C66">
        <v>4559</v>
      </c>
      <c r="D66" s="4">
        <v>-5.1392390000000003E-2</v>
      </c>
      <c r="E66" s="4">
        <v>-5.1392390000000003E-2</v>
      </c>
    </row>
    <row r="67" spans="1:5" x14ac:dyDescent="0.3">
      <c r="A67">
        <v>11</v>
      </c>
      <c r="B67">
        <v>11</v>
      </c>
      <c r="C67">
        <v>4844</v>
      </c>
      <c r="D67" s="4">
        <v>1.3171809999999999</v>
      </c>
    </row>
    <row r="68" spans="1:5" x14ac:dyDescent="0.3">
      <c r="A68">
        <v>12</v>
      </c>
      <c r="B68">
        <v>1</v>
      </c>
      <c r="C68">
        <v>5397</v>
      </c>
      <c r="D68" s="4">
        <v>-1.7892809999999999E-2</v>
      </c>
      <c r="E68" s="4">
        <v>-1.7892809999999999E-2</v>
      </c>
    </row>
    <row r="69" spans="1:5" x14ac:dyDescent="0.3">
      <c r="A69">
        <v>12</v>
      </c>
      <c r="B69">
        <v>2</v>
      </c>
      <c r="C69">
        <v>5348</v>
      </c>
      <c r="D69" s="4">
        <v>-3.0398919999999999E-2</v>
      </c>
      <c r="E69" s="4">
        <v>-3.0398919999999999E-2</v>
      </c>
    </row>
    <row r="70" spans="1:5" x14ac:dyDescent="0.3">
      <c r="A70">
        <v>12</v>
      </c>
      <c r="B70">
        <v>3</v>
      </c>
      <c r="C70">
        <v>4566</v>
      </c>
      <c r="D70" s="4">
        <v>-5.3436869999999997E-2</v>
      </c>
      <c r="E70" s="4">
        <v>-5.3436869999999997E-2</v>
      </c>
    </row>
    <row r="71" spans="1:5" x14ac:dyDescent="0.3">
      <c r="A71">
        <v>12</v>
      </c>
      <c r="B71">
        <v>4</v>
      </c>
      <c r="C71">
        <v>5173</v>
      </c>
      <c r="D71" s="4">
        <v>-2.7313690000000002E-2</v>
      </c>
      <c r="E71" s="4">
        <v>-2.7313690000000002E-2</v>
      </c>
    </row>
    <row r="72" spans="1:5" x14ac:dyDescent="0.3">
      <c r="A72">
        <v>12</v>
      </c>
      <c r="B72">
        <v>5</v>
      </c>
      <c r="C72">
        <v>5337</v>
      </c>
      <c r="D72" s="4">
        <v>-3.4959709999999998E-2</v>
      </c>
      <c r="E72" s="4">
        <v>-3.4959709999999998E-2</v>
      </c>
    </row>
    <row r="73" spans="1:5" x14ac:dyDescent="0.3">
      <c r="A73">
        <v>12</v>
      </c>
      <c r="B73">
        <v>6</v>
      </c>
      <c r="C73">
        <v>5423</v>
      </c>
      <c r="D73" s="4">
        <v>-4.1416840000000003E-2</v>
      </c>
      <c r="E73" s="4">
        <v>-4.1416840000000003E-2</v>
      </c>
    </row>
    <row r="74" spans="1:5" x14ac:dyDescent="0.3">
      <c r="A74">
        <v>12</v>
      </c>
      <c r="B74">
        <v>7</v>
      </c>
      <c r="C74">
        <v>5045</v>
      </c>
      <c r="D74" s="4">
        <v>-3.0802369999999999E-2</v>
      </c>
      <c r="E74" s="4">
        <v>-3.0802369999999999E-2</v>
      </c>
    </row>
    <row r="75" spans="1:5" x14ac:dyDescent="0.3">
      <c r="A75">
        <v>12</v>
      </c>
      <c r="B75">
        <v>8</v>
      </c>
      <c r="C75">
        <v>4988</v>
      </c>
      <c r="D75" s="4">
        <v>-5.7378869999999998E-2</v>
      </c>
      <c r="E75" s="4">
        <v>-5.7378869999999998E-2</v>
      </c>
    </row>
    <row r="76" spans="1:5" x14ac:dyDescent="0.3">
      <c r="A76">
        <v>12</v>
      </c>
      <c r="B76">
        <v>9</v>
      </c>
      <c r="C76">
        <v>4793</v>
      </c>
      <c r="D76" s="4">
        <v>-2.9807130000000001E-2</v>
      </c>
      <c r="E76" s="4">
        <v>-2.9807130000000001E-2</v>
      </c>
    </row>
    <row r="77" spans="1:5" x14ac:dyDescent="0.3">
      <c r="A77">
        <v>12</v>
      </c>
      <c r="B77">
        <v>10</v>
      </c>
      <c r="C77">
        <v>5169</v>
      </c>
      <c r="D77" s="4">
        <v>-3.9107169999999997E-2</v>
      </c>
      <c r="E77" s="4">
        <v>-3.9107169999999997E-2</v>
      </c>
    </row>
    <row r="78" spans="1:5" x14ac:dyDescent="0.3">
      <c r="A78">
        <v>12</v>
      </c>
      <c r="B78">
        <v>11</v>
      </c>
      <c r="C78">
        <v>4558</v>
      </c>
      <c r="D78" s="4">
        <v>-5.2588389999999999E-2</v>
      </c>
      <c r="E78" s="4">
        <v>-5.2588389999999999E-2</v>
      </c>
    </row>
    <row r="79" spans="1:5" x14ac:dyDescent="0.3">
      <c r="A79">
        <v>12</v>
      </c>
      <c r="B79">
        <v>12</v>
      </c>
      <c r="C79">
        <v>5493</v>
      </c>
      <c r="D79" s="4">
        <v>0.8389934</v>
      </c>
    </row>
    <row r="80" spans="1:5" x14ac:dyDescent="0.3">
      <c r="A80">
        <v>13</v>
      </c>
      <c r="B80">
        <v>1</v>
      </c>
      <c r="C80">
        <v>5607</v>
      </c>
      <c r="D80" s="4">
        <v>1.4943390000000001E-2</v>
      </c>
      <c r="E80" s="4">
        <v>1.4943390000000001E-2</v>
      </c>
    </row>
    <row r="81" spans="1:5" x14ac:dyDescent="0.3">
      <c r="A81">
        <v>13</v>
      </c>
      <c r="B81">
        <v>2</v>
      </c>
      <c r="C81">
        <v>5569</v>
      </c>
      <c r="D81" s="4">
        <v>2.483672E-2</v>
      </c>
      <c r="E81" s="4">
        <v>2.483672E-2</v>
      </c>
    </row>
    <row r="82" spans="1:5" x14ac:dyDescent="0.3">
      <c r="A82">
        <v>13</v>
      </c>
      <c r="B82">
        <v>3</v>
      </c>
      <c r="C82">
        <v>4701</v>
      </c>
      <c r="D82" s="4">
        <v>-0.13920640000000001</v>
      </c>
      <c r="E82" s="4">
        <v>-0.13920640000000001</v>
      </c>
    </row>
    <row r="83" spans="1:5" x14ac:dyDescent="0.3">
      <c r="A83">
        <v>13</v>
      </c>
      <c r="B83">
        <v>4</v>
      </c>
      <c r="C83">
        <v>5371</v>
      </c>
      <c r="D83" s="4">
        <v>-2.1704830000000001E-2</v>
      </c>
      <c r="E83" s="4">
        <v>-2.1704830000000001E-2</v>
      </c>
    </row>
    <row r="84" spans="1:5" x14ac:dyDescent="0.3">
      <c r="A84">
        <v>13</v>
      </c>
      <c r="B84">
        <v>5</v>
      </c>
      <c r="C84">
        <v>5546</v>
      </c>
      <c r="D84" s="4">
        <v>1.382887E-2</v>
      </c>
      <c r="E84" s="4">
        <v>1.382887E-2</v>
      </c>
    </row>
    <row r="85" spans="1:5" x14ac:dyDescent="0.3">
      <c r="A85">
        <v>13</v>
      </c>
      <c r="B85">
        <v>6</v>
      </c>
      <c r="C85">
        <v>5637</v>
      </c>
      <c r="D85" s="4">
        <v>1.9257650000000001E-2</v>
      </c>
      <c r="E85" s="4">
        <v>1.9257650000000001E-2</v>
      </c>
    </row>
    <row r="86" spans="1:5" x14ac:dyDescent="0.3">
      <c r="A86">
        <v>13</v>
      </c>
      <c r="B86">
        <v>7</v>
      </c>
      <c r="C86">
        <v>5224</v>
      </c>
      <c r="D86" s="4">
        <v>-4.3182440000000002E-2</v>
      </c>
      <c r="E86" s="4">
        <v>-4.3182440000000002E-2</v>
      </c>
    </row>
    <row r="87" spans="1:5" x14ac:dyDescent="0.3">
      <c r="A87">
        <v>13</v>
      </c>
      <c r="B87">
        <v>8</v>
      </c>
      <c r="C87">
        <v>5172</v>
      </c>
      <c r="D87" s="4">
        <v>-6.3891429999999999E-2</v>
      </c>
      <c r="E87" s="4">
        <v>-6.3891429999999999E-2</v>
      </c>
    </row>
    <row r="88" spans="1:5" x14ac:dyDescent="0.3">
      <c r="A88">
        <v>13</v>
      </c>
      <c r="B88">
        <v>9</v>
      </c>
      <c r="C88">
        <v>4963</v>
      </c>
      <c r="D88" s="4">
        <v>-8.7208229999999998E-2</v>
      </c>
      <c r="E88" s="4">
        <v>-8.7208229999999998E-2</v>
      </c>
    </row>
    <row r="89" spans="1:5" x14ac:dyDescent="0.3">
      <c r="A89">
        <v>13</v>
      </c>
      <c r="B89">
        <v>10</v>
      </c>
      <c r="C89">
        <v>5365</v>
      </c>
      <c r="D89" s="4">
        <v>-2.7128599999999999E-2</v>
      </c>
      <c r="E89" s="4">
        <v>-2.7128599999999999E-2</v>
      </c>
    </row>
    <row r="90" spans="1:5" x14ac:dyDescent="0.3">
      <c r="A90">
        <v>13</v>
      </c>
      <c r="B90">
        <v>11</v>
      </c>
      <c r="C90">
        <v>4706</v>
      </c>
      <c r="D90" s="4">
        <v>-0.11479159999999999</v>
      </c>
      <c r="E90" s="4">
        <v>-0.11479159999999999</v>
      </c>
    </row>
    <row r="91" spans="1:5" x14ac:dyDescent="0.3">
      <c r="A91">
        <v>13</v>
      </c>
      <c r="B91">
        <v>12</v>
      </c>
      <c r="C91">
        <v>5342</v>
      </c>
      <c r="D91" s="4">
        <v>-2.9557150000000001E-2</v>
      </c>
      <c r="E91" s="4">
        <v>-2.9557150000000001E-2</v>
      </c>
    </row>
    <row r="92" spans="1:5" x14ac:dyDescent="0.3">
      <c r="A92">
        <v>13</v>
      </c>
      <c r="B92">
        <v>13</v>
      </c>
      <c r="C92">
        <v>5707</v>
      </c>
      <c r="D92" s="4">
        <v>0.83959119999999998</v>
      </c>
    </row>
    <row r="93" spans="1:5" x14ac:dyDescent="0.3">
      <c r="A93">
        <v>14</v>
      </c>
      <c r="B93">
        <v>1</v>
      </c>
      <c r="C93">
        <v>5058</v>
      </c>
      <c r="D93" s="4">
        <v>-9.6291379999999996E-2</v>
      </c>
      <c r="E93" s="4">
        <v>-9.6291379999999996E-2</v>
      </c>
    </row>
    <row r="94" spans="1:5" x14ac:dyDescent="0.3">
      <c r="A94">
        <v>14</v>
      </c>
      <c r="B94">
        <v>2</v>
      </c>
      <c r="C94">
        <v>5012</v>
      </c>
      <c r="D94" s="4">
        <v>-7.6168440000000004E-2</v>
      </c>
      <c r="E94" s="4">
        <v>-7.6168440000000004E-2</v>
      </c>
    </row>
    <row r="95" spans="1:5" x14ac:dyDescent="0.3">
      <c r="A95">
        <v>14</v>
      </c>
      <c r="B95">
        <v>3</v>
      </c>
      <c r="C95">
        <v>4311</v>
      </c>
      <c r="D95" s="4">
        <v>4.7374890000000003E-2</v>
      </c>
      <c r="E95" s="4">
        <v>4.7374890000000003E-2</v>
      </c>
    </row>
    <row r="96" spans="1:5" x14ac:dyDescent="0.3">
      <c r="A96">
        <v>14</v>
      </c>
      <c r="B96">
        <v>4</v>
      </c>
      <c r="C96">
        <v>4858</v>
      </c>
      <c r="D96" s="4">
        <v>-3.2367470000000002E-2</v>
      </c>
      <c r="E96" s="4">
        <v>-3.2367470000000002E-2</v>
      </c>
    </row>
    <row r="97" spans="1:5" x14ac:dyDescent="0.3">
      <c r="A97">
        <v>14</v>
      </c>
      <c r="B97">
        <v>5</v>
      </c>
      <c r="C97">
        <v>4998</v>
      </c>
      <c r="D97" s="4">
        <v>-8.0888940000000006E-2</v>
      </c>
      <c r="E97" s="4">
        <v>-8.0888940000000006E-2</v>
      </c>
    </row>
    <row r="98" spans="1:5" x14ac:dyDescent="0.3">
      <c r="A98">
        <v>14</v>
      </c>
      <c r="B98">
        <v>6</v>
      </c>
      <c r="C98">
        <v>5092</v>
      </c>
      <c r="D98" s="4">
        <v>-8.0342739999999996E-2</v>
      </c>
      <c r="E98" s="4">
        <v>-8.0342739999999996E-2</v>
      </c>
    </row>
    <row r="99" spans="1:5" x14ac:dyDescent="0.3">
      <c r="A99">
        <v>14</v>
      </c>
      <c r="B99">
        <v>7</v>
      </c>
      <c r="C99">
        <v>4749</v>
      </c>
      <c r="D99" s="4">
        <v>-3.5392239999999998E-2</v>
      </c>
      <c r="E99" s="4">
        <v>-3.5392239999999998E-2</v>
      </c>
    </row>
    <row r="100" spans="1:5" x14ac:dyDescent="0.3">
      <c r="A100">
        <v>14</v>
      </c>
      <c r="B100">
        <v>8</v>
      </c>
      <c r="C100">
        <v>4695</v>
      </c>
      <c r="D100" s="4">
        <v>-2.8405679999999999E-3</v>
      </c>
      <c r="E100" s="4">
        <v>-2.8405679999999999E-3</v>
      </c>
    </row>
    <row r="101" spans="1:5" x14ac:dyDescent="0.3">
      <c r="A101">
        <v>14</v>
      </c>
      <c r="B101">
        <v>9</v>
      </c>
      <c r="C101">
        <v>4540</v>
      </c>
      <c r="D101" s="4">
        <v>-2.8325669999999998E-3</v>
      </c>
      <c r="E101" s="4">
        <v>-2.8325669999999998E-3</v>
      </c>
    </row>
    <row r="102" spans="1:5" x14ac:dyDescent="0.3">
      <c r="A102">
        <v>14</v>
      </c>
      <c r="B102">
        <v>10</v>
      </c>
      <c r="C102">
        <v>4861</v>
      </c>
      <c r="D102" s="4">
        <v>-3.8116440000000001E-2</v>
      </c>
      <c r="E102" s="4">
        <v>-3.8116440000000001E-2</v>
      </c>
    </row>
    <row r="103" spans="1:5" x14ac:dyDescent="0.3">
      <c r="A103">
        <v>14</v>
      </c>
      <c r="B103">
        <v>11</v>
      </c>
      <c r="C103">
        <v>4297</v>
      </c>
      <c r="D103" s="4">
        <v>9.4083299999999995E-3</v>
      </c>
      <c r="E103" s="4">
        <v>9.4083299999999995E-3</v>
      </c>
    </row>
    <row r="104" spans="1:5" x14ac:dyDescent="0.3">
      <c r="A104">
        <v>14</v>
      </c>
      <c r="B104">
        <v>12</v>
      </c>
      <c r="C104">
        <v>4836</v>
      </c>
      <c r="D104" s="4">
        <v>-4.4841270000000003E-2</v>
      </c>
      <c r="E104" s="4">
        <v>-4.4841270000000003E-2</v>
      </c>
    </row>
    <row r="105" spans="1:5" x14ac:dyDescent="0.3">
      <c r="A105">
        <v>14</v>
      </c>
      <c r="B105">
        <v>13</v>
      </c>
      <c r="C105">
        <v>5009</v>
      </c>
      <c r="D105" s="4">
        <v>-7.8522519999999998E-2</v>
      </c>
      <c r="E105" s="4">
        <v>-7.8522519999999998E-2</v>
      </c>
    </row>
    <row r="106" spans="1:5" x14ac:dyDescent="0.3">
      <c r="A106">
        <v>14</v>
      </c>
      <c r="B106">
        <v>14</v>
      </c>
      <c r="C106">
        <v>5152</v>
      </c>
      <c r="D106" s="4">
        <v>0.97456529999999997</v>
      </c>
    </row>
    <row r="107" spans="1:5" x14ac:dyDescent="0.3">
      <c r="A107">
        <v>15</v>
      </c>
      <c r="B107">
        <v>1</v>
      </c>
      <c r="C107">
        <v>5642</v>
      </c>
      <c r="D107" s="4">
        <v>7.4782870000000001E-3</v>
      </c>
      <c r="E107" s="4">
        <v>7.4782870000000001E-3</v>
      </c>
    </row>
    <row r="108" spans="1:5" x14ac:dyDescent="0.3">
      <c r="A108">
        <v>15</v>
      </c>
      <c r="B108">
        <v>2</v>
      </c>
      <c r="C108">
        <v>5598</v>
      </c>
      <c r="D108" s="4">
        <v>2.8552080000000001E-2</v>
      </c>
      <c r="E108" s="4">
        <v>2.8552080000000001E-2</v>
      </c>
    </row>
    <row r="109" spans="1:5" x14ac:dyDescent="0.3">
      <c r="A109">
        <v>15</v>
      </c>
      <c r="B109">
        <v>3</v>
      </c>
      <c r="C109">
        <v>4737</v>
      </c>
      <c r="D109" s="4">
        <v>-0.1289554</v>
      </c>
      <c r="E109" s="4">
        <v>-0.1289554</v>
      </c>
    </row>
    <row r="110" spans="1:5" x14ac:dyDescent="0.3">
      <c r="A110">
        <v>15</v>
      </c>
      <c r="B110">
        <v>4</v>
      </c>
      <c r="C110">
        <v>5403</v>
      </c>
      <c r="D110" s="4">
        <v>-1.164866E-2</v>
      </c>
      <c r="E110" s="4">
        <v>-1.164866E-2</v>
      </c>
    </row>
    <row r="111" spans="1:5" x14ac:dyDescent="0.3">
      <c r="A111">
        <v>15</v>
      </c>
      <c r="B111">
        <v>5</v>
      </c>
      <c r="C111">
        <v>5582</v>
      </c>
      <c r="D111" s="4">
        <v>1.3158990000000001E-2</v>
      </c>
      <c r="E111" s="4">
        <v>1.3158990000000001E-2</v>
      </c>
    </row>
    <row r="112" spans="1:5" x14ac:dyDescent="0.3">
      <c r="A112">
        <v>15</v>
      </c>
      <c r="B112">
        <v>6</v>
      </c>
      <c r="C112">
        <v>5673</v>
      </c>
      <c r="D112" s="4">
        <v>1.2965569999999999E-2</v>
      </c>
      <c r="E112" s="4">
        <v>1.2965569999999999E-2</v>
      </c>
    </row>
    <row r="113" spans="1:5" x14ac:dyDescent="0.3">
      <c r="A113">
        <v>15</v>
      </c>
      <c r="B113">
        <v>7</v>
      </c>
      <c r="C113">
        <v>5265</v>
      </c>
      <c r="D113" s="4">
        <v>-3.3107079999999997E-2</v>
      </c>
      <c r="E113" s="4">
        <v>-3.3107079999999997E-2</v>
      </c>
    </row>
    <row r="114" spans="1:5" x14ac:dyDescent="0.3">
      <c r="A114">
        <v>15</v>
      </c>
      <c r="B114">
        <v>8</v>
      </c>
      <c r="C114">
        <v>5207</v>
      </c>
      <c r="D114" s="4">
        <v>-4.7317699999999997E-2</v>
      </c>
      <c r="E114" s="4">
        <v>-4.7317699999999997E-2</v>
      </c>
    </row>
    <row r="115" spans="1:5" x14ac:dyDescent="0.3">
      <c r="A115">
        <v>15</v>
      </c>
      <c r="B115">
        <v>9</v>
      </c>
      <c r="C115">
        <v>4998</v>
      </c>
      <c r="D115" s="4">
        <v>-8.1829830000000006E-2</v>
      </c>
      <c r="E115" s="4">
        <v>-8.1829830000000006E-2</v>
      </c>
    </row>
    <row r="116" spans="1:5" x14ac:dyDescent="0.3">
      <c r="A116">
        <v>15</v>
      </c>
      <c r="B116">
        <v>10</v>
      </c>
      <c r="C116">
        <v>5398</v>
      </c>
      <c r="D116" s="4">
        <v>-2.5533759999999999E-2</v>
      </c>
      <c r="E116" s="4">
        <v>-2.5533759999999999E-2</v>
      </c>
    </row>
    <row r="117" spans="1:5" x14ac:dyDescent="0.3">
      <c r="A117">
        <v>15</v>
      </c>
      <c r="B117">
        <v>11</v>
      </c>
      <c r="C117">
        <v>4732</v>
      </c>
      <c r="D117" s="4">
        <v>-0.1133198</v>
      </c>
      <c r="E117" s="4">
        <v>-0.1133198</v>
      </c>
    </row>
    <row r="118" spans="1:5" x14ac:dyDescent="0.3">
      <c r="A118">
        <v>15</v>
      </c>
      <c r="B118">
        <v>12</v>
      </c>
      <c r="C118">
        <v>5379</v>
      </c>
      <c r="D118" s="4">
        <v>-3.3632710000000003E-2</v>
      </c>
      <c r="E118" s="4">
        <v>-3.3632710000000003E-2</v>
      </c>
    </row>
    <row r="119" spans="1:5" x14ac:dyDescent="0.3">
      <c r="A119">
        <v>15</v>
      </c>
      <c r="B119">
        <v>13</v>
      </c>
      <c r="C119">
        <v>5590</v>
      </c>
      <c r="D119" s="4">
        <v>9.2148270000000001E-3</v>
      </c>
      <c r="E119" s="4">
        <v>9.2148270000000001E-3</v>
      </c>
    </row>
    <row r="120" spans="1:5" x14ac:dyDescent="0.3">
      <c r="A120">
        <v>15</v>
      </c>
      <c r="B120">
        <v>14</v>
      </c>
      <c r="C120">
        <v>5038</v>
      </c>
      <c r="D120" s="4">
        <v>-8.0515080000000003E-2</v>
      </c>
      <c r="E120" s="4">
        <v>-8.0515080000000003E-2</v>
      </c>
    </row>
    <row r="121" spans="1:5" x14ac:dyDescent="0.3">
      <c r="A121">
        <v>15</v>
      </c>
      <c r="B121">
        <v>15</v>
      </c>
      <c r="C121">
        <v>5744</v>
      </c>
      <c r="D121" s="4">
        <v>0.85431270000000004</v>
      </c>
    </row>
    <row r="122" spans="1:5" x14ac:dyDescent="0.3">
      <c r="A122">
        <v>16</v>
      </c>
      <c r="B122">
        <v>1</v>
      </c>
      <c r="C122">
        <v>5305</v>
      </c>
      <c r="D122" s="4">
        <v>-6.9845160000000003E-2</v>
      </c>
      <c r="E122" s="4">
        <v>-6.9845160000000003E-2</v>
      </c>
    </row>
    <row r="123" spans="1:5" x14ac:dyDescent="0.3">
      <c r="A123">
        <v>16</v>
      </c>
      <c r="B123">
        <v>2</v>
      </c>
      <c r="C123">
        <v>5271</v>
      </c>
      <c r="D123" s="4">
        <v>-2.2255629999999998E-2</v>
      </c>
      <c r="E123" s="4">
        <v>-2.2255629999999998E-2</v>
      </c>
    </row>
    <row r="124" spans="1:5" x14ac:dyDescent="0.3">
      <c r="A124">
        <v>16</v>
      </c>
      <c r="B124">
        <v>3</v>
      </c>
      <c r="C124">
        <v>4497</v>
      </c>
      <c r="D124" s="4">
        <v>6.2150940000000004E-4</v>
      </c>
      <c r="E124" s="4">
        <v>6.2150940000000004E-4</v>
      </c>
    </row>
    <row r="125" spans="1:5" x14ac:dyDescent="0.3">
      <c r="A125">
        <v>16</v>
      </c>
      <c r="B125">
        <v>4</v>
      </c>
      <c r="C125">
        <v>5095</v>
      </c>
      <c r="D125" s="4">
        <v>-1.662812E-2</v>
      </c>
      <c r="E125" s="4">
        <v>-1.662812E-2</v>
      </c>
    </row>
    <row r="126" spans="1:5" x14ac:dyDescent="0.3">
      <c r="A126">
        <v>16</v>
      </c>
      <c r="B126">
        <v>5</v>
      </c>
      <c r="C126">
        <v>5245</v>
      </c>
      <c r="D126" s="4">
        <v>-2.3532109999999998E-2</v>
      </c>
      <c r="E126" s="4">
        <v>-2.3532109999999998E-2</v>
      </c>
    </row>
    <row r="127" spans="1:5" x14ac:dyDescent="0.3">
      <c r="A127">
        <v>16</v>
      </c>
      <c r="B127">
        <v>6</v>
      </c>
      <c r="C127">
        <v>5340</v>
      </c>
      <c r="D127" s="4">
        <v>-5.8844609999999999E-2</v>
      </c>
      <c r="E127" s="4">
        <v>-5.8844609999999999E-2</v>
      </c>
    </row>
    <row r="128" spans="1:5" x14ac:dyDescent="0.3">
      <c r="A128">
        <v>16</v>
      </c>
      <c r="B128">
        <v>7</v>
      </c>
      <c r="C128">
        <v>4978</v>
      </c>
      <c r="D128" s="4">
        <v>-1.3100860000000001E-2</v>
      </c>
      <c r="E128" s="4">
        <v>-1.3100860000000001E-2</v>
      </c>
    </row>
    <row r="129" spans="1:5" x14ac:dyDescent="0.3">
      <c r="A129">
        <v>16</v>
      </c>
      <c r="B129">
        <v>8</v>
      </c>
      <c r="C129">
        <v>4925</v>
      </c>
      <c r="D129" s="4">
        <v>-2.980145E-2</v>
      </c>
      <c r="E129" s="4">
        <v>-2.980145E-2</v>
      </c>
    </row>
    <row r="130" spans="1:5" x14ac:dyDescent="0.3">
      <c r="A130">
        <v>16</v>
      </c>
      <c r="B130">
        <v>9</v>
      </c>
      <c r="C130">
        <v>4726</v>
      </c>
      <c r="D130" s="4">
        <v>-6.6880560000000004E-3</v>
      </c>
      <c r="E130" s="4">
        <v>-6.6880560000000004E-3</v>
      </c>
    </row>
    <row r="131" spans="1:5" x14ac:dyDescent="0.3">
      <c r="A131">
        <v>16</v>
      </c>
      <c r="B131">
        <v>10</v>
      </c>
      <c r="C131">
        <v>5079</v>
      </c>
      <c r="D131" s="4">
        <v>-7.0884630000000004E-2</v>
      </c>
      <c r="E131" s="4">
        <v>-7.0884630000000004E-2</v>
      </c>
    </row>
    <row r="132" spans="1:5" x14ac:dyDescent="0.3">
      <c r="A132">
        <v>16</v>
      </c>
      <c r="B132">
        <v>11</v>
      </c>
      <c r="C132">
        <v>4489</v>
      </c>
      <c r="D132" s="4">
        <v>-4.3154570000000003E-2</v>
      </c>
      <c r="E132" s="4">
        <v>-4.3154570000000003E-2</v>
      </c>
    </row>
    <row r="133" spans="1:5" x14ac:dyDescent="0.3">
      <c r="A133">
        <v>16</v>
      </c>
      <c r="B133">
        <v>12</v>
      </c>
      <c r="C133">
        <v>5068</v>
      </c>
      <c r="D133" s="4">
        <v>-2.6404440000000001E-2</v>
      </c>
      <c r="E133" s="4">
        <v>-2.6404440000000001E-2</v>
      </c>
    </row>
    <row r="134" spans="1:5" x14ac:dyDescent="0.3">
      <c r="A134">
        <v>16</v>
      </c>
      <c r="B134">
        <v>13</v>
      </c>
      <c r="C134">
        <v>5255</v>
      </c>
      <c r="D134" s="4">
        <v>-5.0320629999999998E-2</v>
      </c>
      <c r="E134" s="4">
        <v>-5.0320629999999998E-2</v>
      </c>
    </row>
    <row r="135" spans="1:5" x14ac:dyDescent="0.3">
      <c r="A135">
        <v>16</v>
      </c>
      <c r="B135">
        <v>14</v>
      </c>
      <c r="C135">
        <v>4758</v>
      </c>
      <c r="D135" s="4">
        <v>-3.1598040000000001E-2</v>
      </c>
      <c r="E135" s="4">
        <v>-3.1598040000000001E-2</v>
      </c>
    </row>
    <row r="136" spans="1:5" x14ac:dyDescent="0.3">
      <c r="A136">
        <v>16</v>
      </c>
      <c r="B136">
        <v>15</v>
      </c>
      <c r="C136">
        <v>5293</v>
      </c>
      <c r="D136" s="4">
        <v>-6.4315300000000006E-2</v>
      </c>
      <c r="E136" s="4">
        <v>-6.4315300000000006E-2</v>
      </c>
    </row>
    <row r="137" spans="1:5" x14ac:dyDescent="0.3">
      <c r="A137">
        <v>16</v>
      </c>
      <c r="B137">
        <v>16</v>
      </c>
      <c r="C137">
        <v>5406</v>
      </c>
      <c r="D137" s="4">
        <v>0.86787630000000004</v>
      </c>
    </row>
    <row r="138" spans="1:5" x14ac:dyDescent="0.3">
      <c r="A138">
        <v>17</v>
      </c>
      <c r="B138">
        <v>1</v>
      </c>
      <c r="C138">
        <v>5400</v>
      </c>
      <c r="D138" s="4">
        <v>-1.6623800000000001E-2</v>
      </c>
      <c r="E138" s="4">
        <v>-1.6623800000000001E-2</v>
      </c>
    </row>
    <row r="139" spans="1:5" x14ac:dyDescent="0.3">
      <c r="A139">
        <v>17</v>
      </c>
      <c r="B139">
        <v>2</v>
      </c>
      <c r="C139">
        <v>5368</v>
      </c>
      <c r="D139" s="4">
        <v>-2.0061229999999999E-2</v>
      </c>
      <c r="E139" s="4">
        <v>-2.0061229999999999E-2</v>
      </c>
    </row>
    <row r="140" spans="1:5" x14ac:dyDescent="0.3">
      <c r="A140">
        <v>17</v>
      </c>
      <c r="B140">
        <v>3</v>
      </c>
      <c r="C140">
        <v>4549</v>
      </c>
      <c r="D140" s="4">
        <v>-7.2888439999999999E-2</v>
      </c>
      <c r="E140" s="4">
        <v>-7.2888439999999999E-2</v>
      </c>
    </row>
    <row r="141" spans="1:5" x14ac:dyDescent="0.3">
      <c r="A141">
        <v>17</v>
      </c>
      <c r="B141">
        <v>4</v>
      </c>
      <c r="C141">
        <v>5172</v>
      </c>
      <c r="D141" s="4">
        <v>-4.640354E-2</v>
      </c>
      <c r="E141" s="4">
        <v>-4.640354E-2</v>
      </c>
    </row>
    <row r="142" spans="1:5" x14ac:dyDescent="0.3">
      <c r="A142">
        <v>17</v>
      </c>
      <c r="B142">
        <v>5</v>
      </c>
      <c r="C142">
        <v>5343</v>
      </c>
      <c r="D142" s="4">
        <v>-1.491048E-2</v>
      </c>
      <c r="E142" s="4">
        <v>-1.491048E-2</v>
      </c>
    </row>
    <row r="143" spans="1:5" x14ac:dyDescent="0.3">
      <c r="A143">
        <v>17</v>
      </c>
      <c r="B143">
        <v>6</v>
      </c>
      <c r="C143">
        <v>5428</v>
      </c>
      <c r="D143" s="4">
        <v>2.382665E-3</v>
      </c>
      <c r="E143" s="4">
        <v>2.382665E-3</v>
      </c>
    </row>
    <row r="144" spans="1:5" x14ac:dyDescent="0.3">
      <c r="A144">
        <v>17</v>
      </c>
      <c r="B144">
        <v>7</v>
      </c>
      <c r="C144">
        <v>5043</v>
      </c>
      <c r="D144" s="4">
        <v>-3.2138819999999999E-2</v>
      </c>
      <c r="E144" s="4">
        <v>-3.2138819999999999E-2</v>
      </c>
    </row>
    <row r="145" spans="1:5" x14ac:dyDescent="0.3">
      <c r="A145">
        <v>17</v>
      </c>
      <c r="B145">
        <v>8</v>
      </c>
      <c r="C145">
        <v>5003</v>
      </c>
      <c r="D145" s="4">
        <v>-1.983008E-2</v>
      </c>
      <c r="E145" s="4">
        <v>-1.983008E-2</v>
      </c>
    </row>
    <row r="146" spans="1:5" x14ac:dyDescent="0.3">
      <c r="A146">
        <v>17</v>
      </c>
      <c r="B146">
        <v>9</v>
      </c>
      <c r="C146">
        <v>4800</v>
      </c>
      <c r="D146" s="4">
        <v>-3.0942919999999999E-2</v>
      </c>
      <c r="E146" s="4">
        <v>-3.0942919999999999E-2</v>
      </c>
    </row>
    <row r="147" spans="1:5" x14ac:dyDescent="0.3">
      <c r="A147">
        <v>17</v>
      </c>
      <c r="B147">
        <v>10</v>
      </c>
      <c r="C147">
        <v>5161</v>
      </c>
      <c r="D147" s="4">
        <v>-3.122718E-2</v>
      </c>
      <c r="E147" s="4">
        <v>-3.122718E-2</v>
      </c>
    </row>
    <row r="148" spans="1:5" x14ac:dyDescent="0.3">
      <c r="A148">
        <v>17</v>
      </c>
      <c r="B148">
        <v>11</v>
      </c>
      <c r="C148">
        <v>4542</v>
      </c>
      <c r="D148" s="4">
        <v>-9.9788340000000003E-2</v>
      </c>
      <c r="E148" s="4">
        <v>-9.9788340000000003E-2</v>
      </c>
    </row>
    <row r="149" spans="1:5" x14ac:dyDescent="0.3">
      <c r="A149">
        <v>17</v>
      </c>
      <c r="B149">
        <v>12</v>
      </c>
      <c r="C149">
        <v>5156</v>
      </c>
      <c r="D149" s="4">
        <v>-4.6778519999999997E-2</v>
      </c>
      <c r="E149" s="4">
        <v>-4.6778519999999997E-2</v>
      </c>
    </row>
    <row r="150" spans="1:5" x14ac:dyDescent="0.3">
      <c r="A150">
        <v>17</v>
      </c>
      <c r="B150">
        <v>13</v>
      </c>
      <c r="C150">
        <v>5347</v>
      </c>
      <c r="D150" s="4">
        <v>1.9269090000000001E-3</v>
      </c>
      <c r="E150" s="4">
        <v>1.9269090000000001E-3</v>
      </c>
    </row>
    <row r="151" spans="1:5" x14ac:dyDescent="0.3">
      <c r="A151">
        <v>17</v>
      </c>
      <c r="B151">
        <v>14</v>
      </c>
      <c r="C151">
        <v>4832</v>
      </c>
      <c r="D151" s="4">
        <v>-7.8742530000000005E-2</v>
      </c>
      <c r="E151" s="4">
        <v>-7.8742530000000005E-2</v>
      </c>
    </row>
    <row r="152" spans="1:5" x14ac:dyDescent="0.3">
      <c r="A152">
        <v>17</v>
      </c>
      <c r="B152">
        <v>15</v>
      </c>
      <c r="C152">
        <v>5390</v>
      </c>
      <c r="D152" s="4">
        <v>-2.192614E-2</v>
      </c>
      <c r="E152" s="4">
        <v>-2.192614E-2</v>
      </c>
    </row>
    <row r="153" spans="1:5" x14ac:dyDescent="0.3">
      <c r="A153">
        <v>17</v>
      </c>
      <c r="B153">
        <v>16</v>
      </c>
      <c r="C153">
        <v>5074</v>
      </c>
      <c r="D153" s="4">
        <v>-4.0439490000000002E-2</v>
      </c>
      <c r="E153" s="4">
        <v>-4.0439490000000002E-2</v>
      </c>
    </row>
    <row r="154" spans="1:5" x14ac:dyDescent="0.3">
      <c r="A154">
        <v>17</v>
      </c>
      <c r="B154">
        <v>17</v>
      </c>
      <c r="C154">
        <v>5496</v>
      </c>
      <c r="D154" s="4">
        <v>0.82641710000000002</v>
      </c>
    </row>
    <row r="155" spans="1:5" x14ac:dyDescent="0.3">
      <c r="A155">
        <v>18</v>
      </c>
      <c r="B155">
        <v>1</v>
      </c>
      <c r="C155">
        <v>5003</v>
      </c>
      <c r="D155" s="4">
        <v>-9.6464030000000006E-2</v>
      </c>
      <c r="E155" s="4">
        <v>-9.6464030000000006E-2</v>
      </c>
    </row>
    <row r="156" spans="1:5" x14ac:dyDescent="0.3">
      <c r="A156">
        <v>18</v>
      </c>
      <c r="B156">
        <v>2</v>
      </c>
      <c r="C156">
        <v>4965</v>
      </c>
      <c r="D156" s="4">
        <v>-0.10346420000000001</v>
      </c>
      <c r="E156" s="4">
        <v>-0.10346420000000001</v>
      </c>
    </row>
    <row r="157" spans="1:5" x14ac:dyDescent="0.3">
      <c r="A157">
        <v>18</v>
      </c>
      <c r="B157">
        <v>3</v>
      </c>
      <c r="C157">
        <v>4288</v>
      </c>
      <c r="D157" s="4">
        <v>7.4090429999999999E-2</v>
      </c>
      <c r="E157" s="4">
        <v>7.4090429999999999E-2</v>
      </c>
    </row>
    <row r="158" spans="1:5" x14ac:dyDescent="0.3">
      <c r="A158">
        <v>18</v>
      </c>
      <c r="B158">
        <v>4</v>
      </c>
      <c r="C158">
        <v>4800</v>
      </c>
      <c r="D158" s="4">
        <v>-4.6399089999999997E-2</v>
      </c>
      <c r="E158" s="4">
        <v>-4.6399089999999997E-2</v>
      </c>
    </row>
    <row r="159" spans="1:5" x14ac:dyDescent="0.3">
      <c r="A159">
        <v>18</v>
      </c>
      <c r="B159">
        <v>5</v>
      </c>
      <c r="C159">
        <v>4940</v>
      </c>
      <c r="D159" s="4">
        <v>-0.10939690000000001</v>
      </c>
      <c r="E159" s="4">
        <v>-0.10939690000000001</v>
      </c>
    </row>
    <row r="160" spans="1:5" x14ac:dyDescent="0.3">
      <c r="A160">
        <v>18</v>
      </c>
      <c r="B160">
        <v>6</v>
      </c>
      <c r="C160">
        <v>5027</v>
      </c>
      <c r="D160" s="4">
        <v>-8.3553730000000007E-2</v>
      </c>
      <c r="E160" s="4">
        <v>-8.3553730000000007E-2</v>
      </c>
    </row>
    <row r="161" spans="1:5" x14ac:dyDescent="0.3">
      <c r="A161">
        <v>18</v>
      </c>
      <c r="B161">
        <v>7</v>
      </c>
      <c r="C161">
        <v>4684</v>
      </c>
      <c r="D161" s="4">
        <v>-2.050948E-2</v>
      </c>
      <c r="E161" s="4">
        <v>-2.050948E-2</v>
      </c>
    </row>
    <row r="162" spans="1:5" x14ac:dyDescent="0.3">
      <c r="A162">
        <v>18</v>
      </c>
      <c r="B162">
        <v>8</v>
      </c>
      <c r="C162">
        <v>4642</v>
      </c>
      <c r="D162" s="4">
        <v>-9.5914169999999997E-3</v>
      </c>
      <c r="E162" s="4">
        <v>-9.5914169999999997E-3</v>
      </c>
    </row>
    <row r="163" spans="1:5" x14ac:dyDescent="0.3">
      <c r="A163">
        <v>18</v>
      </c>
      <c r="B163">
        <v>9</v>
      </c>
      <c r="C163">
        <v>4491</v>
      </c>
      <c r="D163" s="4">
        <v>2.1963949999999999E-3</v>
      </c>
      <c r="E163" s="4">
        <v>2.1963949999999999E-3</v>
      </c>
    </row>
    <row r="164" spans="1:5" x14ac:dyDescent="0.3">
      <c r="A164">
        <v>18</v>
      </c>
      <c r="B164">
        <v>10</v>
      </c>
      <c r="C164">
        <v>4796</v>
      </c>
      <c r="D164" s="4">
        <v>-3.997129E-2</v>
      </c>
      <c r="E164" s="4">
        <v>-3.997129E-2</v>
      </c>
    </row>
    <row r="165" spans="1:5" x14ac:dyDescent="0.3">
      <c r="A165">
        <v>18</v>
      </c>
      <c r="B165">
        <v>11</v>
      </c>
      <c r="C165">
        <v>4265</v>
      </c>
      <c r="D165" s="4">
        <v>-3.6615879999999999E-3</v>
      </c>
      <c r="E165" s="4">
        <v>-3.6615879999999999E-3</v>
      </c>
    </row>
    <row r="166" spans="1:5" x14ac:dyDescent="0.3">
      <c r="A166">
        <v>18</v>
      </c>
      <c r="B166">
        <v>12</v>
      </c>
      <c r="C166">
        <v>4786</v>
      </c>
      <c r="D166" s="4">
        <v>-3.7625430000000001E-2</v>
      </c>
      <c r="E166" s="4">
        <v>-3.7625430000000001E-2</v>
      </c>
    </row>
    <row r="167" spans="1:5" x14ac:dyDescent="0.3">
      <c r="A167">
        <v>18</v>
      </c>
      <c r="B167">
        <v>13</v>
      </c>
      <c r="C167">
        <v>4955</v>
      </c>
      <c r="D167" s="4">
        <v>-0.1058101</v>
      </c>
      <c r="E167" s="4">
        <v>-0.1058101</v>
      </c>
    </row>
    <row r="168" spans="1:5" x14ac:dyDescent="0.3">
      <c r="A168">
        <v>18</v>
      </c>
      <c r="B168">
        <v>14</v>
      </c>
      <c r="C168">
        <v>4522</v>
      </c>
      <c r="D168" s="4">
        <v>1.3554689999999999E-2</v>
      </c>
      <c r="E168" s="4">
        <v>1.3554689999999999E-2</v>
      </c>
    </row>
    <row r="169" spans="1:5" x14ac:dyDescent="0.3">
      <c r="A169">
        <v>18</v>
      </c>
      <c r="B169">
        <v>15</v>
      </c>
      <c r="C169">
        <v>4981</v>
      </c>
      <c r="D169" s="4">
        <v>-0.1120068</v>
      </c>
      <c r="E169" s="4">
        <v>-0.1120068</v>
      </c>
    </row>
    <row r="170" spans="1:5" x14ac:dyDescent="0.3">
      <c r="A170">
        <v>18</v>
      </c>
      <c r="B170">
        <v>16</v>
      </c>
      <c r="C170">
        <v>4709</v>
      </c>
      <c r="D170" s="4">
        <v>-4.258634E-2</v>
      </c>
      <c r="E170" s="4">
        <v>-4.258634E-2</v>
      </c>
    </row>
    <row r="171" spans="1:5" x14ac:dyDescent="0.3">
      <c r="A171">
        <v>18</v>
      </c>
      <c r="B171">
        <v>17</v>
      </c>
      <c r="C171">
        <v>4790</v>
      </c>
      <c r="D171" s="4">
        <v>-7.5286759999999994E-2</v>
      </c>
      <c r="E171" s="4">
        <v>-7.5286759999999994E-2</v>
      </c>
    </row>
    <row r="172" spans="1:5" x14ac:dyDescent="0.3">
      <c r="A172">
        <v>18</v>
      </c>
      <c r="B172">
        <v>18</v>
      </c>
      <c r="C172">
        <v>5094</v>
      </c>
      <c r="D172" s="4">
        <v>1.0980780000000001</v>
      </c>
    </row>
    <row r="173" spans="1:5" x14ac:dyDescent="0.3">
      <c r="A173">
        <v>19</v>
      </c>
      <c r="B173">
        <v>1</v>
      </c>
      <c r="C173">
        <v>5426</v>
      </c>
      <c r="D173" s="4">
        <v>-2.45942E-2</v>
      </c>
      <c r="E173" s="4">
        <v>-2.45942E-2</v>
      </c>
    </row>
    <row r="174" spans="1:5" x14ac:dyDescent="0.3">
      <c r="A174">
        <v>19</v>
      </c>
      <c r="B174">
        <v>2</v>
      </c>
      <c r="C174">
        <v>5383</v>
      </c>
      <c r="D174" s="4">
        <v>-2.9877770000000001E-2</v>
      </c>
      <c r="E174" s="4">
        <v>-2.9877770000000001E-2</v>
      </c>
    </row>
    <row r="175" spans="1:5" x14ac:dyDescent="0.3">
      <c r="A175">
        <v>19</v>
      </c>
      <c r="B175">
        <v>3</v>
      </c>
      <c r="C175">
        <v>4571</v>
      </c>
      <c r="D175" s="4">
        <v>-8.3480410000000005E-2</v>
      </c>
      <c r="E175" s="4">
        <v>-8.3480410000000005E-2</v>
      </c>
    </row>
    <row r="176" spans="1:5" x14ac:dyDescent="0.3">
      <c r="A176">
        <v>19</v>
      </c>
      <c r="B176">
        <v>4</v>
      </c>
      <c r="C176">
        <v>5197</v>
      </c>
      <c r="D176" s="4">
        <v>-2.549274E-2</v>
      </c>
      <c r="E176" s="4">
        <v>-2.549274E-2</v>
      </c>
    </row>
    <row r="177" spans="1:5" x14ac:dyDescent="0.3">
      <c r="A177">
        <v>19</v>
      </c>
      <c r="B177">
        <v>5</v>
      </c>
      <c r="C177">
        <v>5369</v>
      </c>
      <c r="D177" s="4">
        <v>-1.9514719999999999E-2</v>
      </c>
      <c r="E177" s="4">
        <v>-1.9514719999999999E-2</v>
      </c>
    </row>
    <row r="178" spans="1:5" x14ac:dyDescent="0.3">
      <c r="A178">
        <v>19</v>
      </c>
      <c r="B178">
        <v>6</v>
      </c>
      <c r="C178">
        <v>5457</v>
      </c>
      <c r="D178" s="4">
        <v>-1.3912239999999999E-2</v>
      </c>
      <c r="E178" s="4">
        <v>-1.3912239999999999E-2</v>
      </c>
    </row>
    <row r="179" spans="1:5" x14ac:dyDescent="0.3">
      <c r="A179">
        <v>19</v>
      </c>
      <c r="B179">
        <v>7</v>
      </c>
      <c r="C179">
        <v>5070</v>
      </c>
      <c r="D179" s="4">
        <v>-4.4357710000000002E-2</v>
      </c>
      <c r="E179" s="4">
        <v>-4.4357710000000002E-2</v>
      </c>
    </row>
    <row r="180" spans="1:5" x14ac:dyDescent="0.3">
      <c r="A180">
        <v>19</v>
      </c>
      <c r="B180">
        <v>8</v>
      </c>
      <c r="C180">
        <v>5001</v>
      </c>
      <c r="D180" s="4">
        <v>-7.4021799999999999E-2</v>
      </c>
      <c r="E180" s="4">
        <v>-7.4021799999999999E-2</v>
      </c>
    </row>
    <row r="181" spans="1:5" x14ac:dyDescent="0.3">
      <c r="A181">
        <v>19</v>
      </c>
      <c r="B181">
        <v>9</v>
      </c>
      <c r="C181">
        <v>4809</v>
      </c>
      <c r="D181" s="4">
        <v>-6.9317599999999993E-2</v>
      </c>
      <c r="E181" s="4">
        <v>-6.9317599999999993E-2</v>
      </c>
    </row>
    <row r="182" spans="1:5" x14ac:dyDescent="0.3">
      <c r="A182">
        <v>19</v>
      </c>
      <c r="B182">
        <v>10</v>
      </c>
      <c r="C182">
        <v>5194</v>
      </c>
      <c r="D182" s="4">
        <v>-3.2183349999999999E-2</v>
      </c>
      <c r="E182" s="4">
        <v>-3.2183349999999999E-2</v>
      </c>
    </row>
    <row r="183" spans="1:5" x14ac:dyDescent="0.3">
      <c r="A183">
        <v>19</v>
      </c>
      <c r="B183">
        <v>11</v>
      </c>
      <c r="C183">
        <v>4566</v>
      </c>
      <c r="D183" s="4">
        <v>-7.8246159999999995E-2</v>
      </c>
      <c r="E183" s="4">
        <v>-7.8246159999999995E-2</v>
      </c>
    </row>
    <row r="184" spans="1:5" x14ac:dyDescent="0.3">
      <c r="A184">
        <v>19</v>
      </c>
      <c r="B184">
        <v>12</v>
      </c>
      <c r="C184">
        <v>5166</v>
      </c>
      <c r="D184" s="4">
        <v>-1.6660700000000001E-2</v>
      </c>
      <c r="E184" s="4">
        <v>-1.6660700000000001E-2</v>
      </c>
    </row>
    <row r="185" spans="1:5" x14ac:dyDescent="0.3">
      <c r="A185">
        <v>19</v>
      </c>
      <c r="B185">
        <v>13</v>
      </c>
      <c r="C185">
        <v>5375</v>
      </c>
      <c r="D185" s="4">
        <v>-9.764254E-3</v>
      </c>
      <c r="E185" s="4">
        <v>-9.764254E-3</v>
      </c>
    </row>
    <row r="186" spans="1:5" x14ac:dyDescent="0.3">
      <c r="A186">
        <v>19</v>
      </c>
      <c r="B186">
        <v>14</v>
      </c>
      <c r="C186">
        <v>4853</v>
      </c>
      <c r="D186" s="4">
        <v>-7.3246350000000002E-2</v>
      </c>
      <c r="E186" s="4">
        <v>-7.3246350000000002E-2</v>
      </c>
    </row>
    <row r="187" spans="1:5" x14ac:dyDescent="0.3">
      <c r="A187">
        <v>19</v>
      </c>
      <c r="B187">
        <v>15</v>
      </c>
      <c r="C187">
        <v>5408</v>
      </c>
      <c r="D187" s="4">
        <v>-1.27262E-2</v>
      </c>
      <c r="E187" s="4">
        <v>-1.27262E-2</v>
      </c>
    </row>
    <row r="188" spans="1:5" x14ac:dyDescent="0.3">
      <c r="A188">
        <v>19</v>
      </c>
      <c r="B188">
        <v>16</v>
      </c>
      <c r="C188">
        <v>5084</v>
      </c>
      <c r="D188" s="4">
        <v>-4.6524320000000001E-2</v>
      </c>
      <c r="E188" s="4">
        <v>-4.6524320000000001E-2</v>
      </c>
    </row>
    <row r="189" spans="1:5" x14ac:dyDescent="0.3">
      <c r="A189">
        <v>19</v>
      </c>
      <c r="B189">
        <v>17</v>
      </c>
      <c r="C189">
        <v>5178</v>
      </c>
      <c r="D189" s="4">
        <v>-3.6516479999999997E-2</v>
      </c>
      <c r="E189" s="4">
        <v>-3.6516479999999997E-2</v>
      </c>
    </row>
    <row r="190" spans="1:5" x14ac:dyDescent="0.3">
      <c r="A190">
        <v>19</v>
      </c>
      <c r="B190">
        <v>18</v>
      </c>
      <c r="C190">
        <v>4797</v>
      </c>
      <c r="D190" s="4">
        <v>-7.3985410000000001E-2</v>
      </c>
      <c r="E190" s="4">
        <v>-7.3985410000000001E-2</v>
      </c>
    </row>
    <row r="191" spans="1:5" x14ac:dyDescent="0.3">
      <c r="A191">
        <v>19</v>
      </c>
      <c r="B191">
        <v>19</v>
      </c>
      <c r="C191">
        <v>5522</v>
      </c>
      <c r="D191" s="4">
        <v>0.97134299999999996</v>
      </c>
    </row>
    <row r="192" spans="1:5" x14ac:dyDescent="0.3">
      <c r="A192">
        <v>20</v>
      </c>
      <c r="B192">
        <v>1</v>
      </c>
      <c r="C192">
        <v>5638</v>
      </c>
      <c r="D192" s="4">
        <v>1.365443E-2</v>
      </c>
      <c r="E192" s="4">
        <v>1.365443E-2</v>
      </c>
    </row>
    <row r="193" spans="1:5" x14ac:dyDescent="0.3">
      <c r="A193">
        <v>20</v>
      </c>
      <c r="B193">
        <v>2</v>
      </c>
      <c r="C193">
        <v>5592</v>
      </c>
      <c r="D193" s="4">
        <v>1.182008E-2</v>
      </c>
      <c r="E193" s="4">
        <v>1.182008E-2</v>
      </c>
    </row>
    <row r="194" spans="1:5" x14ac:dyDescent="0.3">
      <c r="A194">
        <v>20</v>
      </c>
      <c r="B194">
        <v>3</v>
      </c>
      <c r="C194">
        <v>4735</v>
      </c>
      <c r="D194" s="4">
        <v>-0.118992</v>
      </c>
      <c r="E194" s="4">
        <v>-0.118992</v>
      </c>
    </row>
    <row r="195" spans="1:5" x14ac:dyDescent="0.3">
      <c r="A195">
        <v>20</v>
      </c>
      <c r="B195">
        <v>4</v>
      </c>
      <c r="C195">
        <v>5391</v>
      </c>
      <c r="D195" s="4">
        <v>-3.0398830000000002E-2</v>
      </c>
      <c r="E195" s="4">
        <v>-3.0398830000000002E-2</v>
      </c>
    </row>
    <row r="196" spans="1:5" x14ac:dyDescent="0.3">
      <c r="A196">
        <v>20</v>
      </c>
      <c r="B196">
        <v>5</v>
      </c>
      <c r="C196">
        <v>5572</v>
      </c>
      <c r="D196" s="4">
        <v>8.9719329999999996E-3</v>
      </c>
      <c r="E196" s="4">
        <v>8.9719329999999996E-3</v>
      </c>
    </row>
    <row r="197" spans="1:5" x14ac:dyDescent="0.3">
      <c r="A197">
        <v>20</v>
      </c>
      <c r="B197">
        <v>6</v>
      </c>
      <c r="C197">
        <v>5662</v>
      </c>
      <c r="D197" s="4">
        <v>1.7880529999999999E-2</v>
      </c>
      <c r="E197" s="4">
        <v>1.7880529999999999E-2</v>
      </c>
    </row>
    <row r="198" spans="1:5" x14ac:dyDescent="0.3">
      <c r="A198">
        <v>20</v>
      </c>
      <c r="B198">
        <v>7</v>
      </c>
      <c r="C198">
        <v>5254</v>
      </c>
      <c r="D198" s="4">
        <v>-4.269237E-2</v>
      </c>
      <c r="E198" s="4">
        <v>-4.269237E-2</v>
      </c>
    </row>
    <row r="199" spans="1:5" x14ac:dyDescent="0.3">
      <c r="A199">
        <v>20</v>
      </c>
      <c r="B199">
        <v>8</v>
      </c>
      <c r="C199">
        <v>5198</v>
      </c>
      <c r="D199" s="4">
        <v>-5.8843670000000001E-2</v>
      </c>
      <c r="E199" s="4">
        <v>-5.8843670000000001E-2</v>
      </c>
    </row>
    <row r="200" spans="1:5" x14ac:dyDescent="0.3">
      <c r="A200">
        <v>20</v>
      </c>
      <c r="B200">
        <v>9</v>
      </c>
      <c r="C200">
        <v>4986</v>
      </c>
      <c r="D200" s="4">
        <v>-7.1015659999999994E-2</v>
      </c>
      <c r="E200" s="4">
        <v>-7.1015659999999994E-2</v>
      </c>
    </row>
    <row r="201" spans="1:5" x14ac:dyDescent="0.3">
      <c r="A201">
        <v>20</v>
      </c>
      <c r="B201">
        <v>10</v>
      </c>
      <c r="C201">
        <v>5388</v>
      </c>
      <c r="D201" s="4">
        <v>-3.6462710000000002E-2</v>
      </c>
      <c r="E201" s="4">
        <v>-3.6462710000000002E-2</v>
      </c>
    </row>
    <row r="202" spans="1:5" x14ac:dyDescent="0.3">
      <c r="A202">
        <v>20</v>
      </c>
      <c r="B202">
        <v>11</v>
      </c>
      <c r="C202">
        <v>4721</v>
      </c>
      <c r="D202" s="4">
        <v>-9.7990060000000004E-2</v>
      </c>
      <c r="E202" s="4">
        <v>-9.7990060000000004E-2</v>
      </c>
    </row>
    <row r="203" spans="1:5" x14ac:dyDescent="0.3">
      <c r="A203">
        <v>20</v>
      </c>
      <c r="B203">
        <v>12</v>
      </c>
      <c r="C203">
        <v>5365</v>
      </c>
      <c r="D203" s="4">
        <v>-1.9403770000000001E-2</v>
      </c>
      <c r="E203" s="4">
        <v>-1.9403770000000001E-2</v>
      </c>
    </row>
    <row r="204" spans="1:5" x14ac:dyDescent="0.3">
      <c r="A204">
        <v>20</v>
      </c>
      <c r="B204">
        <v>13</v>
      </c>
      <c r="C204">
        <v>5578</v>
      </c>
      <c r="D204" s="4">
        <v>1.136584E-2</v>
      </c>
      <c r="E204" s="4">
        <v>1.136584E-2</v>
      </c>
    </row>
    <row r="205" spans="1:5" x14ac:dyDescent="0.3">
      <c r="A205">
        <v>20</v>
      </c>
      <c r="B205">
        <v>14</v>
      </c>
      <c r="C205">
        <v>5027</v>
      </c>
      <c r="D205" s="4">
        <v>-8.0588069999999998E-2</v>
      </c>
      <c r="E205" s="4">
        <v>-8.0588069999999998E-2</v>
      </c>
    </row>
    <row r="206" spans="1:5" x14ac:dyDescent="0.3">
      <c r="A206">
        <v>20</v>
      </c>
      <c r="B206">
        <v>15</v>
      </c>
      <c r="C206">
        <v>5616</v>
      </c>
      <c r="D206" s="4">
        <v>2.2133150000000001E-2</v>
      </c>
      <c r="E206" s="4">
        <v>2.2133150000000001E-2</v>
      </c>
    </row>
    <row r="207" spans="1:5" x14ac:dyDescent="0.3">
      <c r="A207">
        <v>20</v>
      </c>
      <c r="B207">
        <v>16</v>
      </c>
      <c r="C207">
        <v>5274</v>
      </c>
      <c r="D207" s="4">
        <v>-4.3695299999999999E-2</v>
      </c>
      <c r="E207" s="4">
        <v>-4.3695299999999999E-2</v>
      </c>
    </row>
    <row r="208" spans="1:5" x14ac:dyDescent="0.3">
      <c r="A208">
        <v>20</v>
      </c>
      <c r="B208">
        <v>17</v>
      </c>
      <c r="C208">
        <v>5375</v>
      </c>
      <c r="D208" s="4">
        <v>-6.0529319999999996E-3</v>
      </c>
      <c r="E208" s="4">
        <v>-6.0529319999999996E-3</v>
      </c>
    </row>
    <row r="209" spans="1:5" x14ac:dyDescent="0.3">
      <c r="A209">
        <v>20</v>
      </c>
      <c r="B209">
        <v>18</v>
      </c>
      <c r="C209">
        <v>4971</v>
      </c>
      <c r="D209" s="4">
        <v>-8.2897509999999994E-2</v>
      </c>
      <c r="E209" s="4">
        <v>-8.2897509999999994E-2</v>
      </c>
    </row>
    <row r="210" spans="1:5" x14ac:dyDescent="0.3">
      <c r="A210">
        <v>20</v>
      </c>
      <c r="B210">
        <v>19</v>
      </c>
      <c r="C210">
        <v>5396</v>
      </c>
      <c r="D210" s="4">
        <v>-2.8706300000000001E-2</v>
      </c>
      <c r="E210" s="4">
        <v>-2.8706300000000001E-2</v>
      </c>
    </row>
    <row r="211" spans="1:5" x14ac:dyDescent="0.3">
      <c r="A211">
        <v>20</v>
      </c>
      <c r="B211">
        <v>20</v>
      </c>
      <c r="C211">
        <v>5733</v>
      </c>
      <c r="D211" s="4">
        <v>0.81023809999999996</v>
      </c>
    </row>
    <row r="212" spans="1:5" x14ac:dyDescent="0.3">
      <c r="A212">
        <v>21</v>
      </c>
      <c r="B212">
        <v>1</v>
      </c>
      <c r="C212">
        <v>5236</v>
      </c>
      <c r="D212" s="4">
        <v>-6.0824780000000002E-2</v>
      </c>
      <c r="E212" s="4">
        <v>-6.0824780000000002E-2</v>
      </c>
    </row>
    <row r="213" spans="1:5" x14ac:dyDescent="0.3">
      <c r="A213">
        <v>21</v>
      </c>
      <c r="B213">
        <v>2</v>
      </c>
      <c r="C213">
        <v>5190</v>
      </c>
      <c r="D213" s="4">
        <v>-4.935428E-2</v>
      </c>
      <c r="E213" s="4">
        <v>-4.935428E-2</v>
      </c>
    </row>
    <row r="214" spans="1:5" x14ac:dyDescent="0.3">
      <c r="A214">
        <v>21</v>
      </c>
      <c r="B214">
        <v>3</v>
      </c>
      <c r="C214">
        <v>4428</v>
      </c>
      <c r="D214" s="4">
        <v>2.8323109999999999E-2</v>
      </c>
      <c r="E214" s="4">
        <v>2.8323109999999999E-2</v>
      </c>
    </row>
    <row r="215" spans="1:5" x14ac:dyDescent="0.3">
      <c r="A215">
        <v>21</v>
      </c>
      <c r="B215">
        <v>4</v>
      </c>
      <c r="C215">
        <v>5016</v>
      </c>
      <c r="D215" s="4">
        <v>-5.2477040000000003E-2</v>
      </c>
      <c r="E215" s="4">
        <v>-5.2477040000000003E-2</v>
      </c>
    </row>
    <row r="216" spans="1:5" x14ac:dyDescent="0.3">
      <c r="A216">
        <v>21</v>
      </c>
      <c r="B216">
        <v>5</v>
      </c>
      <c r="C216">
        <v>5165</v>
      </c>
      <c r="D216" s="4">
        <v>-4.4952310000000002E-2</v>
      </c>
      <c r="E216" s="4">
        <v>-4.4952310000000002E-2</v>
      </c>
    </row>
    <row r="217" spans="1:5" x14ac:dyDescent="0.3">
      <c r="A217">
        <v>21</v>
      </c>
      <c r="B217">
        <v>6</v>
      </c>
      <c r="C217">
        <v>5260</v>
      </c>
      <c r="D217" s="4">
        <v>-6.6700670000000004E-2</v>
      </c>
      <c r="E217" s="4">
        <v>-6.6700670000000004E-2</v>
      </c>
    </row>
    <row r="218" spans="1:5" x14ac:dyDescent="0.3">
      <c r="A218">
        <v>21</v>
      </c>
      <c r="B218">
        <v>7</v>
      </c>
      <c r="C218">
        <v>4902</v>
      </c>
      <c r="D218" s="4">
        <v>-4.2420619999999999E-2</v>
      </c>
      <c r="E218" s="4">
        <v>-4.2420619999999999E-2</v>
      </c>
    </row>
    <row r="219" spans="1:5" x14ac:dyDescent="0.3">
      <c r="A219">
        <v>21</v>
      </c>
      <c r="B219">
        <v>8</v>
      </c>
      <c r="C219">
        <v>4847</v>
      </c>
      <c r="D219" s="4">
        <v>-2.969277E-2</v>
      </c>
      <c r="E219" s="4">
        <v>-2.969277E-2</v>
      </c>
    </row>
    <row r="220" spans="1:5" x14ac:dyDescent="0.3">
      <c r="A220">
        <v>21</v>
      </c>
      <c r="B220">
        <v>9</v>
      </c>
      <c r="C220">
        <v>4666</v>
      </c>
      <c r="D220" s="4">
        <v>-2.3084940000000002E-2</v>
      </c>
      <c r="E220" s="4">
        <v>-2.3084940000000002E-2</v>
      </c>
    </row>
    <row r="221" spans="1:5" x14ac:dyDescent="0.3">
      <c r="A221">
        <v>21</v>
      </c>
      <c r="B221">
        <v>10</v>
      </c>
      <c r="C221">
        <v>5018</v>
      </c>
      <c r="D221" s="4">
        <v>-4.4998999999999997E-2</v>
      </c>
      <c r="E221" s="4">
        <v>-4.4998999999999997E-2</v>
      </c>
    </row>
    <row r="222" spans="1:5" x14ac:dyDescent="0.3">
      <c r="A222">
        <v>21</v>
      </c>
      <c r="B222">
        <v>11</v>
      </c>
      <c r="C222">
        <v>4425</v>
      </c>
      <c r="D222" s="4">
        <v>-2.7725679999999999E-2</v>
      </c>
      <c r="E222" s="4">
        <v>-2.7725679999999999E-2</v>
      </c>
    </row>
    <row r="223" spans="1:5" x14ac:dyDescent="0.3">
      <c r="A223">
        <v>21</v>
      </c>
      <c r="B223">
        <v>12</v>
      </c>
      <c r="C223">
        <v>5000</v>
      </c>
      <c r="D223" s="4">
        <v>-5.14603E-2</v>
      </c>
      <c r="E223" s="4">
        <v>-5.14603E-2</v>
      </c>
    </row>
    <row r="224" spans="1:5" x14ac:dyDescent="0.3">
      <c r="A224">
        <v>21</v>
      </c>
      <c r="B224">
        <v>13</v>
      </c>
      <c r="C224">
        <v>5179</v>
      </c>
      <c r="D224" s="4">
        <v>-5.692755E-2</v>
      </c>
      <c r="E224" s="4">
        <v>-5.692755E-2</v>
      </c>
    </row>
    <row r="225" spans="1:5" x14ac:dyDescent="0.3">
      <c r="A225">
        <v>21</v>
      </c>
      <c r="B225">
        <v>14</v>
      </c>
      <c r="C225">
        <v>4703</v>
      </c>
      <c r="D225" s="4">
        <v>1.1466779999999999E-2</v>
      </c>
      <c r="E225" s="4">
        <v>1.1466779999999999E-2</v>
      </c>
    </row>
    <row r="226" spans="1:5" x14ac:dyDescent="0.3">
      <c r="A226">
        <v>21</v>
      </c>
      <c r="B226">
        <v>15</v>
      </c>
      <c r="C226">
        <v>5210</v>
      </c>
      <c r="D226" s="4">
        <v>-7.4881970000000006E-2</v>
      </c>
      <c r="E226" s="4">
        <v>-7.4881970000000006E-2</v>
      </c>
    </row>
    <row r="227" spans="1:5" x14ac:dyDescent="0.3">
      <c r="A227">
        <v>21</v>
      </c>
      <c r="B227">
        <v>16</v>
      </c>
      <c r="C227">
        <v>4922</v>
      </c>
      <c r="D227" s="4">
        <v>-3.2241779999999998E-2</v>
      </c>
      <c r="E227" s="4">
        <v>-3.2241779999999998E-2</v>
      </c>
    </row>
    <row r="228" spans="1:5" x14ac:dyDescent="0.3">
      <c r="A228">
        <v>21</v>
      </c>
      <c r="B228">
        <v>17</v>
      </c>
      <c r="C228">
        <v>5002</v>
      </c>
      <c r="D228" s="4">
        <v>-5.6522379999999997E-2</v>
      </c>
      <c r="E228" s="4">
        <v>-5.6522379999999997E-2</v>
      </c>
    </row>
    <row r="229" spans="1:5" x14ac:dyDescent="0.3">
      <c r="A229">
        <v>21</v>
      </c>
      <c r="B229">
        <v>18</v>
      </c>
      <c r="C229">
        <v>4668</v>
      </c>
      <c r="D229" s="4">
        <v>-2.5370090000000001E-2</v>
      </c>
      <c r="E229" s="4">
        <v>-2.5370090000000001E-2</v>
      </c>
    </row>
    <row r="230" spans="1:5" x14ac:dyDescent="0.3">
      <c r="A230">
        <v>21</v>
      </c>
      <c r="B230">
        <v>19</v>
      </c>
      <c r="C230">
        <v>5026</v>
      </c>
      <c r="D230" s="4">
        <v>-5.4642000000000003E-2</v>
      </c>
      <c r="E230" s="4">
        <v>-5.4642000000000003E-2</v>
      </c>
    </row>
    <row r="231" spans="1:5" x14ac:dyDescent="0.3">
      <c r="A231">
        <v>21</v>
      </c>
      <c r="B231">
        <v>20</v>
      </c>
      <c r="C231">
        <v>5208</v>
      </c>
      <c r="D231" s="4">
        <v>-7.9251829999999995E-2</v>
      </c>
      <c r="E231" s="4">
        <v>-7.9251829999999995E-2</v>
      </c>
    </row>
    <row r="232" spans="1:5" x14ac:dyDescent="0.3">
      <c r="A232">
        <v>21</v>
      </c>
      <c r="B232">
        <v>21</v>
      </c>
      <c r="C232">
        <v>5326</v>
      </c>
      <c r="D232" s="4">
        <v>0.94021460000000001</v>
      </c>
    </row>
    <row r="233" spans="1:5" x14ac:dyDescent="0.3">
      <c r="A233">
        <v>22</v>
      </c>
      <c r="B233">
        <v>1</v>
      </c>
      <c r="C233">
        <v>5267</v>
      </c>
      <c r="D233" s="4">
        <v>-6.0659699999999997E-2</v>
      </c>
      <c r="E233" s="4">
        <v>-6.0659699999999997E-2</v>
      </c>
    </row>
    <row r="234" spans="1:5" x14ac:dyDescent="0.3">
      <c r="A234">
        <v>22</v>
      </c>
      <c r="B234">
        <v>2</v>
      </c>
      <c r="C234">
        <v>5226</v>
      </c>
      <c r="D234" s="4">
        <v>-6.3494129999999996E-2</v>
      </c>
      <c r="E234" s="4">
        <v>-6.3494129999999996E-2</v>
      </c>
    </row>
    <row r="235" spans="1:5" x14ac:dyDescent="0.3">
      <c r="A235">
        <v>22</v>
      </c>
      <c r="B235">
        <v>3</v>
      </c>
      <c r="C235">
        <v>4464</v>
      </c>
      <c r="D235" s="4">
        <v>-4.0768499999999999E-2</v>
      </c>
      <c r="E235" s="4">
        <v>-4.0768499999999999E-2</v>
      </c>
    </row>
    <row r="236" spans="1:5" x14ac:dyDescent="0.3">
      <c r="A236">
        <v>22</v>
      </c>
      <c r="B236">
        <v>4</v>
      </c>
      <c r="C236">
        <v>5041</v>
      </c>
      <c r="D236" s="4">
        <v>-3.4063099999999999E-2</v>
      </c>
      <c r="E236" s="4">
        <v>-3.4063099999999999E-2</v>
      </c>
    </row>
    <row r="237" spans="1:5" x14ac:dyDescent="0.3">
      <c r="A237">
        <v>22</v>
      </c>
      <c r="B237">
        <v>5</v>
      </c>
      <c r="C237">
        <v>5211</v>
      </c>
      <c r="D237" s="4">
        <v>-8.2779080000000005E-2</v>
      </c>
      <c r="E237" s="4">
        <v>-8.2779080000000005E-2</v>
      </c>
    </row>
    <row r="238" spans="1:5" x14ac:dyDescent="0.3">
      <c r="A238">
        <v>22</v>
      </c>
      <c r="B238">
        <v>6</v>
      </c>
      <c r="C238">
        <v>5293</v>
      </c>
      <c r="D238" s="4">
        <v>-6.097752E-2</v>
      </c>
      <c r="E238" s="4">
        <v>-6.097752E-2</v>
      </c>
    </row>
    <row r="239" spans="1:5" x14ac:dyDescent="0.3">
      <c r="A239">
        <v>22</v>
      </c>
      <c r="B239">
        <v>7</v>
      </c>
      <c r="C239">
        <v>4931</v>
      </c>
      <c r="D239" s="4">
        <v>7.5951200000000003E-3</v>
      </c>
      <c r="E239" s="4">
        <v>7.5951200000000003E-3</v>
      </c>
    </row>
    <row r="240" spans="1:5" x14ac:dyDescent="0.3">
      <c r="A240">
        <v>22</v>
      </c>
      <c r="B240">
        <v>8</v>
      </c>
      <c r="C240">
        <v>4887</v>
      </c>
      <c r="D240" s="4">
        <v>-4.2794670000000003E-3</v>
      </c>
      <c r="E240" s="4">
        <v>-4.2794670000000003E-3</v>
      </c>
    </row>
    <row r="241" spans="1:5" x14ac:dyDescent="0.3">
      <c r="A241">
        <v>22</v>
      </c>
      <c r="B241">
        <v>9</v>
      </c>
      <c r="C241">
        <v>4702</v>
      </c>
      <c r="D241" s="4">
        <v>-1.4336750000000001E-2</v>
      </c>
      <c r="E241" s="4">
        <v>-1.4336750000000001E-2</v>
      </c>
    </row>
    <row r="242" spans="1:5" x14ac:dyDescent="0.3">
      <c r="A242">
        <v>22</v>
      </c>
      <c r="B242">
        <v>10</v>
      </c>
      <c r="C242">
        <v>5050</v>
      </c>
      <c r="D242" s="4">
        <v>-4.6156309999999999E-2</v>
      </c>
      <c r="E242" s="4">
        <v>-4.6156309999999999E-2</v>
      </c>
    </row>
    <row r="243" spans="1:5" x14ac:dyDescent="0.3">
      <c r="A243">
        <v>22</v>
      </c>
      <c r="B243">
        <v>11</v>
      </c>
      <c r="C243">
        <v>4449</v>
      </c>
      <c r="D243" s="4">
        <v>-4.5471539999999998E-2</v>
      </c>
      <c r="E243" s="4">
        <v>-4.5471539999999998E-2</v>
      </c>
    </row>
    <row r="244" spans="1:5" x14ac:dyDescent="0.3">
      <c r="A244">
        <v>22</v>
      </c>
      <c r="B244">
        <v>12</v>
      </c>
      <c r="C244">
        <v>5023</v>
      </c>
      <c r="D244" s="4">
        <v>-3.6797410000000003E-2</v>
      </c>
      <c r="E244" s="4">
        <v>-3.6797410000000003E-2</v>
      </c>
    </row>
    <row r="245" spans="1:5" x14ac:dyDescent="0.3">
      <c r="A245">
        <v>22</v>
      </c>
      <c r="B245">
        <v>13</v>
      </c>
      <c r="C245">
        <v>5212</v>
      </c>
      <c r="D245" s="4">
        <v>-3.726558E-2</v>
      </c>
      <c r="E245" s="4">
        <v>-3.726558E-2</v>
      </c>
    </row>
    <row r="246" spans="1:5" x14ac:dyDescent="0.3">
      <c r="A246">
        <v>22</v>
      </c>
      <c r="B246">
        <v>14</v>
      </c>
      <c r="C246">
        <v>4743</v>
      </c>
      <c r="D246" s="4">
        <v>-1.9603949999999998E-2</v>
      </c>
      <c r="E246" s="4">
        <v>-1.9603949999999998E-2</v>
      </c>
    </row>
    <row r="247" spans="1:5" x14ac:dyDescent="0.3">
      <c r="A247">
        <v>22</v>
      </c>
      <c r="B247">
        <v>15</v>
      </c>
      <c r="C247">
        <v>5249</v>
      </c>
      <c r="D247" s="4">
        <v>-4.5386410000000002E-2</v>
      </c>
      <c r="E247" s="4">
        <v>-4.5386410000000002E-2</v>
      </c>
    </row>
    <row r="248" spans="1:5" x14ac:dyDescent="0.3">
      <c r="A248">
        <v>22</v>
      </c>
      <c r="B248">
        <v>16</v>
      </c>
      <c r="C248">
        <v>4959</v>
      </c>
      <c r="D248" s="4">
        <v>-2.7386009999999999E-2</v>
      </c>
      <c r="E248" s="4">
        <v>-2.7386009999999999E-2</v>
      </c>
    </row>
    <row r="249" spans="1:5" x14ac:dyDescent="0.3">
      <c r="A249">
        <v>22</v>
      </c>
      <c r="B249">
        <v>17</v>
      </c>
      <c r="C249">
        <v>5032</v>
      </c>
      <c r="D249" s="4">
        <v>-3.8590060000000002E-2</v>
      </c>
      <c r="E249" s="4">
        <v>-3.8590060000000002E-2</v>
      </c>
    </row>
    <row r="250" spans="1:5" x14ac:dyDescent="0.3">
      <c r="A250">
        <v>22</v>
      </c>
      <c r="B250">
        <v>18</v>
      </c>
      <c r="C250">
        <v>4680</v>
      </c>
      <c r="D250" s="4">
        <v>-1.3852939999999999E-2</v>
      </c>
      <c r="E250" s="4">
        <v>-1.3852939999999999E-2</v>
      </c>
    </row>
    <row r="251" spans="1:5" x14ac:dyDescent="0.3">
      <c r="A251">
        <v>22</v>
      </c>
      <c r="B251">
        <v>19</v>
      </c>
      <c r="C251">
        <v>5052</v>
      </c>
      <c r="D251" s="4">
        <v>-5.7755710000000002E-2</v>
      </c>
      <c r="E251" s="4">
        <v>-5.7755710000000002E-2</v>
      </c>
    </row>
    <row r="252" spans="1:5" x14ac:dyDescent="0.3">
      <c r="A252">
        <v>22</v>
      </c>
      <c r="B252">
        <v>20</v>
      </c>
      <c r="C252">
        <v>5234</v>
      </c>
      <c r="D252" s="4">
        <v>-3.1461370000000002E-2</v>
      </c>
      <c r="E252" s="4">
        <v>-3.1461370000000002E-2</v>
      </c>
    </row>
    <row r="253" spans="1:5" x14ac:dyDescent="0.3">
      <c r="A253">
        <v>22</v>
      </c>
      <c r="B253">
        <v>21</v>
      </c>
      <c r="C253">
        <v>4888</v>
      </c>
      <c r="D253" s="4">
        <v>-3.1452210000000001E-2</v>
      </c>
      <c r="E253" s="4">
        <v>-3.1452210000000001E-2</v>
      </c>
    </row>
    <row r="254" spans="1:5" x14ac:dyDescent="0.3">
      <c r="A254">
        <v>22</v>
      </c>
      <c r="B254">
        <v>22</v>
      </c>
      <c r="C254">
        <v>5360</v>
      </c>
      <c r="D254" s="4">
        <v>0.86314449999999998</v>
      </c>
    </row>
    <row r="255" spans="1:5" x14ac:dyDescent="0.3">
      <c r="A255">
        <v>23</v>
      </c>
      <c r="B255">
        <v>1</v>
      </c>
      <c r="C255">
        <v>5386</v>
      </c>
      <c r="D255" s="4">
        <v>-8.8072319999999999E-3</v>
      </c>
      <c r="E255" s="4">
        <v>-8.8072319999999999E-3</v>
      </c>
    </row>
    <row r="256" spans="1:5" x14ac:dyDescent="0.3">
      <c r="A256">
        <v>23</v>
      </c>
      <c r="B256">
        <v>2</v>
      </c>
      <c r="C256">
        <v>5344</v>
      </c>
      <c r="D256" s="4">
        <v>-2.5314920000000001E-2</v>
      </c>
      <c r="E256" s="4">
        <v>-2.5314920000000001E-2</v>
      </c>
    </row>
    <row r="257" spans="1:5" x14ac:dyDescent="0.3">
      <c r="A257">
        <v>23</v>
      </c>
      <c r="B257">
        <v>3</v>
      </c>
      <c r="C257">
        <v>4534</v>
      </c>
      <c r="D257" s="4">
        <v>-5.799319E-2</v>
      </c>
      <c r="E257" s="4">
        <v>-5.799319E-2</v>
      </c>
    </row>
    <row r="258" spans="1:5" x14ac:dyDescent="0.3">
      <c r="A258">
        <v>23</v>
      </c>
      <c r="B258">
        <v>4</v>
      </c>
      <c r="C258">
        <v>5158</v>
      </c>
      <c r="D258" s="4">
        <v>-2.2103749999999998E-2</v>
      </c>
      <c r="E258" s="4">
        <v>-2.2103749999999998E-2</v>
      </c>
    </row>
    <row r="259" spans="1:5" x14ac:dyDescent="0.3">
      <c r="A259">
        <v>23</v>
      </c>
      <c r="B259">
        <v>5</v>
      </c>
      <c r="C259">
        <v>5328</v>
      </c>
      <c r="D259" s="4">
        <v>-1.7627150000000001E-2</v>
      </c>
      <c r="E259" s="4">
        <v>-1.7627150000000001E-2</v>
      </c>
    </row>
    <row r="260" spans="1:5" x14ac:dyDescent="0.3">
      <c r="A260">
        <v>23</v>
      </c>
      <c r="B260">
        <v>6</v>
      </c>
      <c r="C260">
        <v>5412</v>
      </c>
      <c r="D260" s="4">
        <v>-2.2938409999999999E-2</v>
      </c>
      <c r="E260" s="4">
        <v>-2.2938409999999999E-2</v>
      </c>
    </row>
    <row r="261" spans="1:5" x14ac:dyDescent="0.3">
      <c r="A261">
        <v>23</v>
      </c>
      <c r="B261">
        <v>7</v>
      </c>
      <c r="C261">
        <v>5038</v>
      </c>
      <c r="D261" s="4">
        <v>-3.4493040000000003E-2</v>
      </c>
      <c r="E261" s="4">
        <v>-3.4493040000000003E-2</v>
      </c>
    </row>
    <row r="262" spans="1:5" x14ac:dyDescent="0.3">
      <c r="A262">
        <v>23</v>
      </c>
      <c r="B262">
        <v>8</v>
      </c>
      <c r="C262">
        <v>4999</v>
      </c>
      <c r="D262" s="4">
        <v>-4.9687530000000001E-2</v>
      </c>
      <c r="E262" s="4">
        <v>-4.9687530000000001E-2</v>
      </c>
    </row>
    <row r="263" spans="1:5" x14ac:dyDescent="0.3">
      <c r="A263">
        <v>23</v>
      </c>
      <c r="B263">
        <v>9</v>
      </c>
      <c r="C263">
        <v>4785</v>
      </c>
      <c r="D263" s="4">
        <v>-5.3416989999999998E-2</v>
      </c>
      <c r="E263" s="4">
        <v>-5.3416989999999998E-2</v>
      </c>
    </row>
    <row r="264" spans="1:5" x14ac:dyDescent="0.3">
      <c r="A264">
        <v>23</v>
      </c>
      <c r="B264">
        <v>10</v>
      </c>
      <c r="C264">
        <v>5160</v>
      </c>
      <c r="D264" s="4">
        <v>-4.1606940000000002E-2</v>
      </c>
      <c r="E264" s="4">
        <v>-4.1606940000000002E-2</v>
      </c>
    </row>
    <row r="265" spans="1:5" x14ac:dyDescent="0.3">
      <c r="A265">
        <v>23</v>
      </c>
      <c r="B265">
        <v>11</v>
      </c>
      <c r="C265">
        <v>4547</v>
      </c>
      <c r="D265" s="4">
        <v>-7.8021789999999994E-2</v>
      </c>
      <c r="E265" s="4">
        <v>-7.8021789999999994E-2</v>
      </c>
    </row>
    <row r="266" spans="1:5" x14ac:dyDescent="0.3">
      <c r="A266">
        <v>23</v>
      </c>
      <c r="B266">
        <v>12</v>
      </c>
      <c r="C266">
        <v>5154</v>
      </c>
      <c r="D266" s="4">
        <v>-2.690619E-2</v>
      </c>
      <c r="E266" s="4">
        <v>-2.690619E-2</v>
      </c>
    </row>
    <row r="267" spans="1:5" x14ac:dyDescent="0.3">
      <c r="A267">
        <v>23</v>
      </c>
      <c r="B267">
        <v>13</v>
      </c>
      <c r="C267">
        <v>5338</v>
      </c>
      <c r="D267" s="4">
        <v>-5.8538960000000001E-2</v>
      </c>
      <c r="E267" s="4">
        <v>-5.8538960000000001E-2</v>
      </c>
    </row>
    <row r="268" spans="1:5" x14ac:dyDescent="0.3">
      <c r="A268">
        <v>23</v>
      </c>
      <c r="B268">
        <v>14</v>
      </c>
      <c r="C268">
        <v>4825</v>
      </c>
      <c r="D268" s="4">
        <v>-7.6691620000000002E-2</v>
      </c>
      <c r="E268" s="4">
        <v>-7.6691620000000002E-2</v>
      </c>
    </row>
    <row r="269" spans="1:5" x14ac:dyDescent="0.3">
      <c r="A269">
        <v>23</v>
      </c>
      <c r="B269">
        <v>15</v>
      </c>
      <c r="C269">
        <v>5369</v>
      </c>
      <c r="D269" s="4">
        <v>-2.5687999999999999E-2</v>
      </c>
      <c r="E269" s="4">
        <v>-2.5687999999999999E-2</v>
      </c>
    </row>
    <row r="270" spans="1:5" x14ac:dyDescent="0.3">
      <c r="A270">
        <v>23</v>
      </c>
      <c r="B270">
        <v>16</v>
      </c>
      <c r="C270">
        <v>5065</v>
      </c>
      <c r="D270" s="4">
        <v>-3.2087060000000001E-2</v>
      </c>
      <c r="E270" s="4">
        <v>-3.2087060000000001E-2</v>
      </c>
    </row>
    <row r="271" spans="1:5" x14ac:dyDescent="0.3">
      <c r="A271">
        <v>23</v>
      </c>
      <c r="B271">
        <v>17</v>
      </c>
      <c r="C271">
        <v>5144</v>
      </c>
      <c r="D271" s="4">
        <v>-1.5853869999999999E-2</v>
      </c>
      <c r="E271" s="4">
        <v>-1.5853869999999999E-2</v>
      </c>
    </row>
    <row r="272" spans="1:5" x14ac:dyDescent="0.3">
      <c r="A272">
        <v>23</v>
      </c>
      <c r="B272">
        <v>18</v>
      </c>
      <c r="C272">
        <v>4772</v>
      </c>
      <c r="D272" s="4">
        <v>-5.4734400000000002E-2</v>
      </c>
      <c r="E272" s="4">
        <v>-5.4734400000000002E-2</v>
      </c>
    </row>
    <row r="273" spans="1:5" x14ac:dyDescent="0.3">
      <c r="A273">
        <v>23</v>
      </c>
      <c r="B273">
        <v>19</v>
      </c>
      <c r="C273">
        <v>5160</v>
      </c>
      <c r="D273" s="4">
        <v>-2.9550340000000001E-2</v>
      </c>
      <c r="E273" s="4">
        <v>-2.9550340000000001E-2</v>
      </c>
    </row>
    <row r="274" spans="1:5" x14ac:dyDescent="0.3">
      <c r="A274">
        <v>23</v>
      </c>
      <c r="B274">
        <v>20</v>
      </c>
      <c r="C274">
        <v>5361</v>
      </c>
      <c r="D274" s="4">
        <v>-6.9576530000000003E-3</v>
      </c>
      <c r="E274" s="4">
        <v>-6.9576530000000003E-3</v>
      </c>
    </row>
    <row r="275" spans="1:5" x14ac:dyDescent="0.3">
      <c r="A275">
        <v>23</v>
      </c>
      <c r="B275">
        <v>21</v>
      </c>
      <c r="C275">
        <v>4983</v>
      </c>
      <c r="D275" s="4">
        <v>-3.6425970000000002E-2</v>
      </c>
      <c r="E275" s="4">
        <v>-3.6425970000000002E-2</v>
      </c>
    </row>
    <row r="276" spans="1:5" x14ac:dyDescent="0.3">
      <c r="A276">
        <v>23</v>
      </c>
      <c r="B276">
        <v>22</v>
      </c>
      <c r="C276">
        <v>5016</v>
      </c>
      <c r="D276" s="4">
        <v>-2.3877010000000001E-2</v>
      </c>
      <c r="E276" s="4">
        <v>-2.3877010000000001E-2</v>
      </c>
    </row>
    <row r="277" spans="1:5" x14ac:dyDescent="0.3">
      <c r="A277">
        <v>23</v>
      </c>
      <c r="B277">
        <v>23</v>
      </c>
      <c r="C277">
        <v>5483</v>
      </c>
      <c r="D277" s="4">
        <v>0.83709920000000004</v>
      </c>
    </row>
    <row r="278" spans="1:5" x14ac:dyDescent="0.3">
      <c r="A278">
        <v>24</v>
      </c>
      <c r="B278">
        <v>1</v>
      </c>
      <c r="C278">
        <v>5450</v>
      </c>
      <c r="D278" s="4">
        <v>-3.4264469999999998E-2</v>
      </c>
      <c r="E278" s="4">
        <v>-3.4264469999999998E-2</v>
      </c>
    </row>
    <row r="279" spans="1:5" x14ac:dyDescent="0.3">
      <c r="A279">
        <v>24</v>
      </c>
      <c r="B279">
        <v>2</v>
      </c>
      <c r="C279">
        <v>5404</v>
      </c>
      <c r="D279" s="4">
        <v>-2.0873260000000001E-2</v>
      </c>
      <c r="E279" s="4">
        <v>-2.0873260000000001E-2</v>
      </c>
    </row>
    <row r="280" spans="1:5" x14ac:dyDescent="0.3">
      <c r="A280">
        <v>24</v>
      </c>
      <c r="B280">
        <v>3</v>
      </c>
      <c r="C280">
        <v>4578</v>
      </c>
      <c r="D280" s="4">
        <v>-9.1877529999999999E-2</v>
      </c>
      <c r="E280" s="4">
        <v>-9.1877529999999999E-2</v>
      </c>
    </row>
    <row r="281" spans="1:5" x14ac:dyDescent="0.3">
      <c r="A281">
        <v>24</v>
      </c>
      <c r="B281">
        <v>4</v>
      </c>
      <c r="C281">
        <v>5230</v>
      </c>
      <c r="D281" s="4">
        <v>-5.4701560000000003E-2</v>
      </c>
      <c r="E281" s="4">
        <v>-5.4701560000000003E-2</v>
      </c>
    </row>
    <row r="282" spans="1:5" x14ac:dyDescent="0.3">
      <c r="A282">
        <v>24</v>
      </c>
      <c r="B282">
        <v>5</v>
      </c>
      <c r="C282">
        <v>5391</v>
      </c>
      <c r="D282" s="4">
        <v>-2.1725890000000001E-2</v>
      </c>
      <c r="E282" s="4">
        <v>-2.1725890000000001E-2</v>
      </c>
    </row>
    <row r="283" spans="1:5" x14ac:dyDescent="0.3">
      <c r="A283">
        <v>24</v>
      </c>
      <c r="B283">
        <v>6</v>
      </c>
      <c r="C283">
        <v>5478</v>
      </c>
      <c r="D283" s="4">
        <v>-1.7458620000000001E-2</v>
      </c>
      <c r="E283" s="4">
        <v>-1.7458620000000001E-2</v>
      </c>
    </row>
    <row r="284" spans="1:5" x14ac:dyDescent="0.3">
      <c r="A284">
        <v>24</v>
      </c>
      <c r="B284">
        <v>7</v>
      </c>
      <c r="C284">
        <v>5103</v>
      </c>
      <c r="D284" s="4">
        <v>-2.783476E-2</v>
      </c>
      <c r="E284" s="4">
        <v>-2.783476E-2</v>
      </c>
    </row>
    <row r="285" spans="1:5" x14ac:dyDescent="0.3">
      <c r="A285">
        <v>24</v>
      </c>
      <c r="B285">
        <v>8</v>
      </c>
      <c r="C285">
        <v>5046</v>
      </c>
      <c r="D285" s="4">
        <v>-4.2386319999999998E-4</v>
      </c>
      <c r="E285" s="4">
        <v>-4.2386319999999998E-4</v>
      </c>
    </row>
    <row r="286" spans="1:5" x14ac:dyDescent="0.3">
      <c r="A286">
        <v>24</v>
      </c>
      <c r="B286">
        <v>9</v>
      </c>
      <c r="C286">
        <v>4839</v>
      </c>
      <c r="D286" s="4">
        <v>-4.9882679999999999E-2</v>
      </c>
      <c r="E286" s="4">
        <v>-4.9882679999999999E-2</v>
      </c>
    </row>
    <row r="287" spans="1:5" x14ac:dyDescent="0.3">
      <c r="A287">
        <v>24</v>
      </c>
      <c r="B287">
        <v>10</v>
      </c>
      <c r="C287">
        <v>5222</v>
      </c>
      <c r="D287" s="4">
        <v>-4.0581190000000003E-2</v>
      </c>
      <c r="E287" s="4">
        <v>-4.0581190000000003E-2</v>
      </c>
    </row>
    <row r="288" spans="1:5" x14ac:dyDescent="0.3">
      <c r="A288">
        <v>24</v>
      </c>
      <c r="B288">
        <v>11</v>
      </c>
      <c r="C288">
        <v>4591</v>
      </c>
      <c r="D288" s="4">
        <v>-0.1037904</v>
      </c>
      <c r="E288" s="4">
        <v>-0.1037904</v>
      </c>
    </row>
    <row r="289" spans="1:5" x14ac:dyDescent="0.3">
      <c r="A289">
        <v>24</v>
      </c>
      <c r="B289">
        <v>12</v>
      </c>
      <c r="C289">
        <v>5202</v>
      </c>
      <c r="D289" s="4">
        <v>-3.0502910000000001E-2</v>
      </c>
      <c r="E289" s="4">
        <v>-3.0502910000000001E-2</v>
      </c>
    </row>
    <row r="290" spans="1:5" x14ac:dyDescent="0.3">
      <c r="A290">
        <v>24</v>
      </c>
      <c r="B290">
        <v>13</v>
      </c>
      <c r="C290">
        <v>5397</v>
      </c>
      <c r="D290" s="4">
        <v>4.8460639999999998E-3</v>
      </c>
      <c r="E290" s="4">
        <v>4.8460639999999998E-3</v>
      </c>
    </row>
    <row r="291" spans="1:5" x14ac:dyDescent="0.3">
      <c r="A291">
        <v>24</v>
      </c>
      <c r="B291">
        <v>14</v>
      </c>
      <c r="C291">
        <v>4882</v>
      </c>
      <c r="D291" s="4">
        <v>-2.9379220000000001E-2</v>
      </c>
      <c r="E291" s="4">
        <v>-2.9379220000000001E-2</v>
      </c>
    </row>
    <row r="292" spans="1:5" x14ac:dyDescent="0.3">
      <c r="A292">
        <v>24</v>
      </c>
      <c r="B292">
        <v>15</v>
      </c>
      <c r="C292">
        <v>5434</v>
      </c>
      <c r="D292" s="4">
        <v>-2.3083329999999999E-2</v>
      </c>
      <c r="E292" s="4">
        <v>-2.3083329999999999E-2</v>
      </c>
    </row>
    <row r="293" spans="1:5" x14ac:dyDescent="0.3">
      <c r="A293">
        <v>24</v>
      </c>
      <c r="B293">
        <v>16</v>
      </c>
      <c r="C293">
        <v>5133</v>
      </c>
      <c r="D293" s="4">
        <v>-4.4401110000000001E-2</v>
      </c>
      <c r="E293" s="4">
        <v>-4.4401110000000001E-2</v>
      </c>
    </row>
    <row r="294" spans="1:5" x14ac:dyDescent="0.3">
      <c r="A294">
        <v>24</v>
      </c>
      <c r="B294">
        <v>17</v>
      </c>
      <c r="C294">
        <v>5223</v>
      </c>
      <c r="D294" s="4">
        <v>8.8159459999999999E-3</v>
      </c>
      <c r="E294" s="4">
        <v>8.8159459999999999E-3</v>
      </c>
    </row>
    <row r="295" spans="1:5" x14ac:dyDescent="0.3">
      <c r="A295">
        <v>24</v>
      </c>
      <c r="B295">
        <v>18</v>
      </c>
      <c r="C295">
        <v>4830</v>
      </c>
      <c r="D295" s="4">
        <v>-5.9424499999999998E-2</v>
      </c>
      <c r="E295" s="4">
        <v>-5.9424499999999998E-2</v>
      </c>
    </row>
    <row r="296" spans="1:5" x14ac:dyDescent="0.3">
      <c r="A296">
        <v>24</v>
      </c>
      <c r="B296">
        <v>19</v>
      </c>
      <c r="C296">
        <v>5220</v>
      </c>
      <c r="D296" s="4">
        <v>-4.401004E-2</v>
      </c>
      <c r="E296" s="4">
        <v>-4.401004E-2</v>
      </c>
    </row>
    <row r="297" spans="1:5" x14ac:dyDescent="0.3">
      <c r="A297">
        <v>24</v>
      </c>
      <c r="B297">
        <v>20</v>
      </c>
      <c r="C297">
        <v>5423</v>
      </c>
      <c r="D297" s="4">
        <v>-3.0994919999999999E-2</v>
      </c>
      <c r="E297" s="4">
        <v>-3.0994919999999999E-2</v>
      </c>
    </row>
    <row r="298" spans="1:5" x14ac:dyDescent="0.3">
      <c r="A298">
        <v>24</v>
      </c>
      <c r="B298">
        <v>21</v>
      </c>
      <c r="C298">
        <v>5033</v>
      </c>
      <c r="D298" s="4">
        <v>-4.5325030000000002E-2</v>
      </c>
      <c r="E298" s="4">
        <v>-4.5325030000000002E-2</v>
      </c>
    </row>
    <row r="299" spans="1:5" x14ac:dyDescent="0.3">
      <c r="A299">
        <v>24</v>
      </c>
      <c r="B299">
        <v>22</v>
      </c>
      <c r="C299">
        <v>5085</v>
      </c>
      <c r="D299" s="4">
        <v>-2.7102060000000001E-2</v>
      </c>
      <c r="E299" s="4">
        <v>-2.7102060000000001E-2</v>
      </c>
    </row>
    <row r="300" spans="1:5" x14ac:dyDescent="0.3">
      <c r="A300">
        <v>24</v>
      </c>
      <c r="B300">
        <v>23</v>
      </c>
      <c r="C300">
        <v>5191</v>
      </c>
      <c r="D300" s="4">
        <v>-3.4179439999999998E-2</v>
      </c>
      <c r="E300" s="4">
        <v>-3.4179439999999998E-2</v>
      </c>
    </row>
    <row r="301" spans="1:5" x14ac:dyDescent="0.3">
      <c r="A301">
        <v>24</v>
      </c>
      <c r="B301">
        <v>24</v>
      </c>
      <c r="C301">
        <v>5548</v>
      </c>
      <c r="D301" s="4">
        <v>0.84962420000000005</v>
      </c>
    </row>
    <row r="302" spans="1:5" x14ac:dyDescent="0.3">
      <c r="A302">
        <v>25</v>
      </c>
      <c r="B302">
        <v>1</v>
      </c>
      <c r="C302">
        <v>4634</v>
      </c>
      <c r="D302" s="4">
        <v>-0.12020309999999999</v>
      </c>
      <c r="E302" s="4">
        <v>-0.12020309999999999</v>
      </c>
    </row>
    <row r="303" spans="1:5" x14ac:dyDescent="0.3">
      <c r="A303">
        <v>25</v>
      </c>
      <c r="B303">
        <v>2</v>
      </c>
      <c r="C303">
        <v>4594</v>
      </c>
      <c r="D303" s="4">
        <v>-0.11956070000000001</v>
      </c>
      <c r="E303" s="4">
        <v>-0.11956070000000001</v>
      </c>
    </row>
    <row r="304" spans="1:5" x14ac:dyDescent="0.3">
      <c r="A304">
        <v>25</v>
      </c>
      <c r="B304">
        <v>3</v>
      </c>
      <c r="C304">
        <v>3985</v>
      </c>
      <c r="D304" s="4">
        <v>0.139316</v>
      </c>
      <c r="E304" s="4">
        <v>0.139316</v>
      </c>
    </row>
    <row r="305" spans="1:5" x14ac:dyDescent="0.3">
      <c r="A305">
        <v>25</v>
      </c>
      <c r="B305">
        <v>4</v>
      </c>
      <c r="C305">
        <v>4441</v>
      </c>
      <c r="D305" s="4">
        <v>-9.8585759999999995E-2</v>
      </c>
      <c r="E305" s="4">
        <v>-9.8585759999999995E-2</v>
      </c>
    </row>
    <row r="306" spans="1:5" x14ac:dyDescent="0.3">
      <c r="A306">
        <v>25</v>
      </c>
      <c r="B306">
        <v>5</v>
      </c>
      <c r="C306">
        <v>4588</v>
      </c>
      <c r="D306" s="4">
        <v>-0.14145369999999999</v>
      </c>
      <c r="E306" s="4">
        <v>-0.14145369999999999</v>
      </c>
    </row>
    <row r="307" spans="1:5" x14ac:dyDescent="0.3">
      <c r="A307">
        <v>25</v>
      </c>
      <c r="B307">
        <v>6</v>
      </c>
      <c r="C307">
        <v>4659</v>
      </c>
      <c r="D307" s="4">
        <v>-0.1229266</v>
      </c>
      <c r="E307" s="4">
        <v>-0.1229266</v>
      </c>
    </row>
    <row r="308" spans="1:5" x14ac:dyDescent="0.3">
      <c r="A308">
        <v>25</v>
      </c>
      <c r="B308">
        <v>7</v>
      </c>
      <c r="C308">
        <v>4342</v>
      </c>
      <c r="D308" s="4">
        <v>-3.3241050000000001E-2</v>
      </c>
      <c r="E308" s="4">
        <v>-3.3241050000000001E-2</v>
      </c>
    </row>
    <row r="309" spans="1:5" x14ac:dyDescent="0.3">
      <c r="A309">
        <v>25</v>
      </c>
      <c r="B309">
        <v>8</v>
      </c>
      <c r="C309">
        <v>4307</v>
      </c>
      <c r="D309" s="4">
        <v>-1.015477E-2</v>
      </c>
      <c r="E309" s="4">
        <v>-1.015477E-2</v>
      </c>
    </row>
    <row r="310" spans="1:5" x14ac:dyDescent="0.3">
      <c r="A310">
        <v>25</v>
      </c>
      <c r="B310">
        <v>9</v>
      </c>
      <c r="C310">
        <v>4199</v>
      </c>
      <c r="D310" s="4">
        <v>4.8420310000000001E-2</v>
      </c>
      <c r="E310" s="4">
        <v>4.8420310000000001E-2</v>
      </c>
    </row>
    <row r="311" spans="1:5" x14ac:dyDescent="0.3">
      <c r="A311">
        <v>25</v>
      </c>
      <c r="B311">
        <v>10</v>
      </c>
      <c r="C311">
        <v>4447</v>
      </c>
      <c r="D311" s="4">
        <v>-6.5814919999999999E-2</v>
      </c>
      <c r="E311" s="4">
        <v>-6.5814919999999999E-2</v>
      </c>
    </row>
    <row r="312" spans="1:5" x14ac:dyDescent="0.3">
      <c r="A312">
        <v>25</v>
      </c>
      <c r="B312">
        <v>11</v>
      </c>
      <c r="C312">
        <v>3989</v>
      </c>
      <c r="D312" s="4">
        <v>0.1301995</v>
      </c>
      <c r="E312" s="4">
        <v>0.1301995</v>
      </c>
    </row>
    <row r="313" spans="1:5" x14ac:dyDescent="0.3">
      <c r="A313">
        <v>25</v>
      </c>
      <c r="B313">
        <v>12</v>
      </c>
      <c r="C313">
        <v>4430</v>
      </c>
      <c r="D313" s="4">
        <v>-6.6475439999999997E-2</v>
      </c>
      <c r="E313" s="4">
        <v>-6.6475439999999997E-2</v>
      </c>
    </row>
    <row r="314" spans="1:5" x14ac:dyDescent="0.3">
      <c r="A314">
        <v>25</v>
      </c>
      <c r="B314">
        <v>13</v>
      </c>
      <c r="C314">
        <v>4584</v>
      </c>
      <c r="D314" s="4">
        <v>-0.12152540000000001</v>
      </c>
      <c r="E314" s="4">
        <v>-0.12152540000000001</v>
      </c>
    </row>
    <row r="315" spans="1:5" x14ac:dyDescent="0.3">
      <c r="A315">
        <v>25</v>
      </c>
      <c r="B315">
        <v>14</v>
      </c>
      <c r="C315">
        <v>4201</v>
      </c>
      <c r="D315" s="4">
        <v>1.1753649999999999E-2</v>
      </c>
      <c r="E315" s="4">
        <v>1.1753649999999999E-2</v>
      </c>
    </row>
    <row r="316" spans="1:5" x14ac:dyDescent="0.3">
      <c r="A316">
        <v>25</v>
      </c>
      <c r="B316">
        <v>15</v>
      </c>
      <c r="C316">
        <v>4608</v>
      </c>
      <c r="D316" s="4">
        <v>-0.13734170000000001</v>
      </c>
      <c r="E316" s="4">
        <v>-0.13734170000000001</v>
      </c>
    </row>
    <row r="317" spans="1:5" x14ac:dyDescent="0.3">
      <c r="A317">
        <v>25</v>
      </c>
      <c r="B317">
        <v>16</v>
      </c>
      <c r="C317">
        <v>4361</v>
      </c>
      <c r="D317" s="4">
        <v>-5.4974889999999998E-2</v>
      </c>
      <c r="E317" s="4">
        <v>-5.4974889999999998E-2</v>
      </c>
    </row>
    <row r="318" spans="1:5" x14ac:dyDescent="0.3">
      <c r="A318">
        <v>25</v>
      </c>
      <c r="B318">
        <v>17</v>
      </c>
      <c r="C318">
        <v>4419</v>
      </c>
      <c r="D318" s="4">
        <v>-0.1063089</v>
      </c>
      <c r="E318" s="4">
        <v>-0.1063089</v>
      </c>
    </row>
    <row r="319" spans="1:5" x14ac:dyDescent="0.3">
      <c r="A319">
        <v>25</v>
      </c>
      <c r="B319">
        <v>18</v>
      </c>
      <c r="C319">
        <v>4180</v>
      </c>
      <c r="D319" s="4">
        <v>4.180685E-2</v>
      </c>
      <c r="E319" s="4">
        <v>4.180685E-2</v>
      </c>
    </row>
    <row r="320" spans="1:5" x14ac:dyDescent="0.3">
      <c r="A320">
        <v>25</v>
      </c>
      <c r="B320">
        <v>19</v>
      </c>
      <c r="C320">
        <v>4452</v>
      </c>
      <c r="D320" s="4">
        <v>-8.3881960000000005E-2</v>
      </c>
      <c r="E320" s="4">
        <v>-8.3881960000000005E-2</v>
      </c>
    </row>
    <row r="321" spans="1:5" x14ac:dyDescent="0.3">
      <c r="A321">
        <v>25</v>
      </c>
      <c r="B321">
        <v>20</v>
      </c>
      <c r="C321">
        <v>4612</v>
      </c>
      <c r="D321" s="4">
        <v>-0.13575590000000001</v>
      </c>
      <c r="E321" s="4">
        <v>-0.13575590000000001</v>
      </c>
    </row>
    <row r="322" spans="1:5" x14ac:dyDescent="0.3">
      <c r="A322">
        <v>25</v>
      </c>
      <c r="B322">
        <v>21</v>
      </c>
      <c r="C322">
        <v>4340</v>
      </c>
      <c r="D322" s="4">
        <v>2.376698E-2</v>
      </c>
      <c r="E322" s="4">
        <v>2.376698E-2</v>
      </c>
    </row>
    <row r="323" spans="1:5" x14ac:dyDescent="0.3">
      <c r="A323">
        <v>25</v>
      </c>
      <c r="B323">
        <v>22</v>
      </c>
      <c r="C323">
        <v>4353</v>
      </c>
      <c r="D323" s="4">
        <v>-4.235075E-2</v>
      </c>
      <c r="E323" s="4">
        <v>-4.235075E-2</v>
      </c>
    </row>
    <row r="324" spans="1:5" x14ac:dyDescent="0.3">
      <c r="A324">
        <v>25</v>
      </c>
      <c r="B324">
        <v>23</v>
      </c>
      <c r="C324">
        <v>4432</v>
      </c>
      <c r="D324" s="4">
        <v>-6.1359080000000003E-2</v>
      </c>
      <c r="E324" s="4">
        <v>-6.1359080000000003E-2</v>
      </c>
    </row>
    <row r="325" spans="1:5" x14ac:dyDescent="0.3">
      <c r="A325">
        <v>25</v>
      </c>
      <c r="B325">
        <v>24</v>
      </c>
      <c r="C325">
        <v>4459</v>
      </c>
      <c r="D325" s="4">
        <v>-8.3864220000000003E-2</v>
      </c>
      <c r="E325" s="4">
        <v>-8.3864220000000003E-2</v>
      </c>
    </row>
    <row r="326" spans="1:5" x14ac:dyDescent="0.3">
      <c r="A326">
        <v>25</v>
      </c>
      <c r="B326">
        <v>25</v>
      </c>
      <c r="C326">
        <v>4720</v>
      </c>
      <c r="D326" s="4">
        <v>1.300603</v>
      </c>
    </row>
    <row r="327" spans="1:5" x14ac:dyDescent="0.3">
      <c r="A327">
        <v>26</v>
      </c>
      <c r="B327">
        <v>1</v>
      </c>
      <c r="C327">
        <v>5487</v>
      </c>
      <c r="D327" s="4">
        <v>1.699781E-3</v>
      </c>
      <c r="E327" s="4">
        <v>1.699781E-3</v>
      </c>
    </row>
    <row r="328" spans="1:5" x14ac:dyDescent="0.3">
      <c r="A328">
        <v>26</v>
      </c>
      <c r="B328">
        <v>2</v>
      </c>
      <c r="C328">
        <v>5437</v>
      </c>
      <c r="D328" s="4">
        <v>-1.4572669999999999E-2</v>
      </c>
      <c r="E328" s="4">
        <v>-1.4572669999999999E-2</v>
      </c>
    </row>
    <row r="329" spans="1:5" x14ac:dyDescent="0.3">
      <c r="A329">
        <v>26</v>
      </c>
      <c r="B329">
        <v>3</v>
      </c>
      <c r="C329">
        <v>4607</v>
      </c>
      <c r="D329" s="4">
        <v>-3.6338460000000003E-2</v>
      </c>
      <c r="E329" s="4">
        <v>-3.6338460000000003E-2</v>
      </c>
    </row>
    <row r="330" spans="1:5" x14ac:dyDescent="0.3">
      <c r="A330">
        <v>26</v>
      </c>
      <c r="B330">
        <v>4</v>
      </c>
      <c r="C330">
        <v>5254</v>
      </c>
      <c r="D330" s="4">
        <v>-2.8096369999999999E-2</v>
      </c>
      <c r="E330" s="4">
        <v>-2.8096369999999999E-2</v>
      </c>
    </row>
    <row r="331" spans="1:5" x14ac:dyDescent="0.3">
      <c r="A331">
        <v>26</v>
      </c>
      <c r="B331">
        <v>5</v>
      </c>
      <c r="C331">
        <v>5418</v>
      </c>
      <c r="D331" s="4">
        <v>-6.953959E-3</v>
      </c>
      <c r="E331" s="4">
        <v>-6.953959E-3</v>
      </c>
    </row>
    <row r="332" spans="1:5" x14ac:dyDescent="0.3">
      <c r="A332">
        <v>26</v>
      </c>
      <c r="B332">
        <v>6</v>
      </c>
      <c r="C332">
        <v>5511</v>
      </c>
      <c r="D332" s="4">
        <v>-1.9080349999999999E-2</v>
      </c>
      <c r="E332" s="4">
        <v>-1.9080349999999999E-2</v>
      </c>
    </row>
    <row r="333" spans="1:5" x14ac:dyDescent="0.3">
      <c r="A333">
        <v>26</v>
      </c>
      <c r="B333">
        <v>7</v>
      </c>
      <c r="C333">
        <v>5113</v>
      </c>
      <c r="D333" s="4">
        <v>-5.0884190000000003E-2</v>
      </c>
      <c r="E333" s="4">
        <v>-5.0884190000000003E-2</v>
      </c>
    </row>
    <row r="334" spans="1:5" x14ac:dyDescent="0.3">
      <c r="A334">
        <v>26</v>
      </c>
      <c r="B334">
        <v>8</v>
      </c>
      <c r="C334">
        <v>5063</v>
      </c>
      <c r="D334" s="4">
        <v>-4.9092900000000002E-2</v>
      </c>
      <c r="E334" s="4">
        <v>-4.9092900000000002E-2</v>
      </c>
    </row>
    <row r="335" spans="1:5" x14ac:dyDescent="0.3">
      <c r="A335">
        <v>26</v>
      </c>
      <c r="B335">
        <v>9</v>
      </c>
      <c r="C335">
        <v>4853</v>
      </c>
      <c r="D335" s="4">
        <v>-5.7422340000000002E-2</v>
      </c>
      <c r="E335" s="4">
        <v>-5.7422340000000002E-2</v>
      </c>
    </row>
    <row r="336" spans="1:5" x14ac:dyDescent="0.3">
      <c r="A336">
        <v>26</v>
      </c>
      <c r="B336">
        <v>10</v>
      </c>
      <c r="C336">
        <v>5241</v>
      </c>
      <c r="D336" s="4">
        <v>-2.9594860000000001E-2</v>
      </c>
      <c r="E336" s="4">
        <v>-2.9594860000000001E-2</v>
      </c>
    </row>
    <row r="337" spans="1:5" x14ac:dyDescent="0.3">
      <c r="A337">
        <v>26</v>
      </c>
      <c r="B337">
        <v>11</v>
      </c>
      <c r="C337">
        <v>4613</v>
      </c>
      <c r="D337" s="4">
        <v>-9.0553259999999997E-2</v>
      </c>
      <c r="E337" s="4">
        <v>-9.0553259999999997E-2</v>
      </c>
    </row>
    <row r="338" spans="1:5" x14ac:dyDescent="0.3">
      <c r="A338">
        <v>26</v>
      </c>
      <c r="B338">
        <v>12</v>
      </c>
      <c r="C338">
        <v>5218</v>
      </c>
      <c r="D338" s="4">
        <v>-3.6754679999999998E-2</v>
      </c>
      <c r="E338" s="4">
        <v>-3.6754679999999998E-2</v>
      </c>
    </row>
    <row r="339" spans="1:5" x14ac:dyDescent="0.3">
      <c r="A339">
        <v>26</v>
      </c>
      <c r="B339">
        <v>13</v>
      </c>
      <c r="C339">
        <v>5426</v>
      </c>
      <c r="D339" s="4">
        <v>-2.831761E-2</v>
      </c>
      <c r="E339" s="4">
        <v>-2.831761E-2</v>
      </c>
    </row>
    <row r="340" spans="1:5" x14ac:dyDescent="0.3">
      <c r="A340">
        <v>26</v>
      </c>
      <c r="B340">
        <v>14</v>
      </c>
      <c r="C340">
        <v>4895</v>
      </c>
      <c r="D340" s="4">
        <v>-6.0791079999999997E-2</v>
      </c>
      <c r="E340" s="4">
        <v>-6.0791079999999997E-2</v>
      </c>
    </row>
    <row r="341" spans="1:5" x14ac:dyDescent="0.3">
      <c r="A341">
        <v>26</v>
      </c>
      <c r="B341">
        <v>15</v>
      </c>
      <c r="C341">
        <v>5469</v>
      </c>
      <c r="D341" s="4">
        <v>-1.0607119999999999E-2</v>
      </c>
      <c r="E341" s="4">
        <v>-1.0607119999999999E-2</v>
      </c>
    </row>
    <row r="342" spans="1:5" x14ac:dyDescent="0.3">
      <c r="A342">
        <v>26</v>
      </c>
      <c r="B342">
        <v>16</v>
      </c>
      <c r="C342">
        <v>5142</v>
      </c>
      <c r="D342" s="4">
        <v>-3.9007479999999997E-2</v>
      </c>
      <c r="E342" s="4">
        <v>-3.9007479999999997E-2</v>
      </c>
    </row>
    <row r="343" spans="1:5" x14ac:dyDescent="0.3">
      <c r="A343">
        <v>26</v>
      </c>
      <c r="B343">
        <v>17</v>
      </c>
      <c r="C343">
        <v>5233</v>
      </c>
      <c r="D343" s="4">
        <v>-3.4939049999999999E-2</v>
      </c>
      <c r="E343" s="4">
        <v>-3.4939049999999999E-2</v>
      </c>
    </row>
    <row r="344" spans="1:5" x14ac:dyDescent="0.3">
      <c r="A344">
        <v>26</v>
      </c>
      <c r="B344">
        <v>18</v>
      </c>
      <c r="C344">
        <v>4848</v>
      </c>
      <c r="D344" s="4">
        <v>-6.3519619999999999E-2</v>
      </c>
      <c r="E344" s="4">
        <v>-6.3519619999999999E-2</v>
      </c>
    </row>
    <row r="345" spans="1:5" x14ac:dyDescent="0.3">
      <c r="A345">
        <v>26</v>
      </c>
      <c r="B345">
        <v>19</v>
      </c>
      <c r="C345">
        <v>5256</v>
      </c>
      <c r="D345" s="4">
        <v>-1.9315800000000001E-2</v>
      </c>
      <c r="E345" s="4">
        <v>-1.9315800000000001E-2</v>
      </c>
    </row>
    <row r="346" spans="1:5" x14ac:dyDescent="0.3">
      <c r="A346">
        <v>26</v>
      </c>
      <c r="B346">
        <v>20</v>
      </c>
      <c r="C346">
        <v>5457</v>
      </c>
      <c r="D346" s="4">
        <v>-1.9860699999999998E-2</v>
      </c>
      <c r="E346" s="4">
        <v>-1.9860699999999998E-2</v>
      </c>
    </row>
    <row r="347" spans="1:5" x14ac:dyDescent="0.3">
      <c r="A347">
        <v>26</v>
      </c>
      <c r="B347">
        <v>21</v>
      </c>
      <c r="C347">
        <v>5074</v>
      </c>
      <c r="D347" s="4">
        <v>-6.0755099999999999E-2</v>
      </c>
      <c r="E347" s="4">
        <v>-6.0755099999999999E-2</v>
      </c>
    </row>
    <row r="348" spans="1:5" x14ac:dyDescent="0.3">
      <c r="A348">
        <v>26</v>
      </c>
      <c r="B348">
        <v>22</v>
      </c>
      <c r="C348">
        <v>5101</v>
      </c>
      <c r="D348" s="4">
        <v>-4.3879899999999999E-2</v>
      </c>
      <c r="E348" s="4">
        <v>-4.3879899999999999E-2</v>
      </c>
    </row>
    <row r="349" spans="1:5" x14ac:dyDescent="0.3">
      <c r="A349">
        <v>26</v>
      </c>
      <c r="B349">
        <v>23</v>
      </c>
      <c r="C349">
        <v>5217</v>
      </c>
      <c r="D349" s="4">
        <v>-3.0680269999999999E-2</v>
      </c>
      <c r="E349" s="4">
        <v>-3.0680269999999999E-2</v>
      </c>
    </row>
    <row r="350" spans="1:5" x14ac:dyDescent="0.3">
      <c r="A350">
        <v>26</v>
      </c>
      <c r="B350">
        <v>24</v>
      </c>
      <c r="C350">
        <v>5271</v>
      </c>
      <c r="D350" s="4">
        <v>-4.4645879999999999E-2</v>
      </c>
      <c r="E350" s="4">
        <v>-4.4645879999999999E-2</v>
      </c>
    </row>
    <row r="351" spans="1:5" x14ac:dyDescent="0.3">
      <c r="A351">
        <v>26</v>
      </c>
      <c r="B351">
        <v>25</v>
      </c>
      <c r="C351">
        <v>4489</v>
      </c>
      <c r="D351" s="4">
        <v>-0.1055199</v>
      </c>
      <c r="E351" s="4">
        <v>-0.1055199</v>
      </c>
    </row>
    <row r="352" spans="1:5" x14ac:dyDescent="0.3">
      <c r="A352">
        <v>26</v>
      </c>
      <c r="B352">
        <v>26</v>
      </c>
      <c r="C352">
        <v>5578</v>
      </c>
      <c r="D352" s="4">
        <v>0.87691620000000003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Inbreeding mothers mussels</vt:lpstr>
      <vt:lpstr>Coancestry mothers mussels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Caballero</dc:creator>
  <cp:lastModifiedBy>Armando Caballero</cp:lastModifiedBy>
  <dcterms:created xsi:type="dcterms:W3CDTF">2026-02-09T18:36:50Z</dcterms:created>
  <dcterms:modified xsi:type="dcterms:W3CDTF">2026-07-01T14:36:07Z</dcterms:modified>
</cp:coreProperties>
</file>