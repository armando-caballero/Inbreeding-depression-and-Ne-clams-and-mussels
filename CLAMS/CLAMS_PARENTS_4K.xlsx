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D_MOLLUSCS\FINAL RESULTS\CLAMS\"/>
    </mc:Choice>
  </mc:AlternateContent>
  <bookViews>
    <workbookView xWindow="-108" yWindow="-108" windowWidth="29700" windowHeight="16200"/>
  </bookViews>
  <sheets>
    <sheet name="Inbreeding parents clams" sheetId="1" r:id="rId1"/>
    <sheet name="Coancestry parents clams" sheetId="10" r:id="rId2"/>
  </sheets>
  <externalReferences>
    <externalReference r:id="rId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Q10" i="1"/>
  <c r="Q9" i="1"/>
  <c r="Q3" i="1"/>
  <c r="R4" i="1" s="1"/>
  <c r="Q8" i="1"/>
  <c r="Q7" i="1"/>
  <c r="Q6" i="1"/>
  <c r="Q5" i="1"/>
  <c r="Q4" i="1"/>
  <c r="R10" i="1" l="1"/>
  <c r="R9" i="1"/>
  <c r="R8" i="1"/>
  <c r="R7" i="1"/>
  <c r="R6" i="1"/>
  <c r="R5" i="1"/>
  <c r="R13" i="1" l="1"/>
  <c r="F4" i="10" l="1"/>
  <c r="N90" i="1" l="1"/>
  <c r="M90" i="1" l="1"/>
  <c r="M89" i="1"/>
  <c r="E90" i="1" l="1"/>
  <c r="E89" i="1"/>
  <c r="F89" i="1" l="1"/>
  <c r="G89" i="1"/>
  <c r="H89" i="1"/>
  <c r="I89" i="1"/>
  <c r="J89" i="1"/>
  <c r="K89" i="1"/>
  <c r="L89" i="1"/>
  <c r="N89" i="1"/>
  <c r="C89" i="1" l="1"/>
</calcChain>
</file>

<file path=xl/sharedStrings.xml><?xml version="1.0" encoding="utf-8"?>
<sst xmlns="http://schemas.openxmlformats.org/spreadsheetml/2006/main" count="196" uniqueCount="110">
  <si>
    <t>ovos</t>
  </si>
  <si>
    <t>ovosR</t>
  </si>
  <si>
    <t>long</t>
  </si>
  <si>
    <t>longR</t>
  </si>
  <si>
    <t>pesoR</t>
  </si>
  <si>
    <t>pesohum</t>
  </si>
  <si>
    <t>pesohumR</t>
  </si>
  <si>
    <t>pesoseco</t>
  </si>
  <si>
    <t>pesosecoR</t>
  </si>
  <si>
    <t>Fhom</t>
  </si>
  <si>
    <t>IND</t>
  </si>
  <si>
    <t xml:space="preserve">F1 </t>
  </si>
  <si>
    <t xml:space="preserve">F2 </t>
  </si>
  <si>
    <t xml:space="preserve">F3 </t>
  </si>
  <si>
    <t xml:space="preserve">F4 </t>
  </si>
  <si>
    <t xml:space="preserve">F5 </t>
  </si>
  <si>
    <t xml:space="preserve">F6 </t>
  </si>
  <si>
    <t xml:space="preserve">F7 </t>
  </si>
  <si>
    <t xml:space="preserve">F8 </t>
  </si>
  <si>
    <t xml:space="preserve">F9 </t>
  </si>
  <si>
    <t xml:space="preserve">F12 </t>
  </si>
  <si>
    <t xml:space="preserve">F13 </t>
  </si>
  <si>
    <t xml:space="preserve">F16 </t>
  </si>
  <si>
    <t xml:space="preserve">F18 </t>
  </si>
  <si>
    <t xml:space="preserve">F19 </t>
  </si>
  <si>
    <t xml:space="preserve">F20 </t>
  </si>
  <si>
    <t xml:space="preserve">F24 </t>
  </si>
  <si>
    <t xml:space="preserve">F26 </t>
  </si>
  <si>
    <t xml:space="preserve">F27 </t>
  </si>
  <si>
    <t xml:space="preserve">F29 </t>
  </si>
  <si>
    <t xml:space="preserve">F30 </t>
  </si>
  <si>
    <t xml:space="preserve">F33 </t>
  </si>
  <si>
    <t xml:space="preserve">F34 </t>
  </si>
  <si>
    <t xml:space="preserve">F35 </t>
  </si>
  <si>
    <t xml:space="preserve">F36 </t>
  </si>
  <si>
    <t xml:space="preserve">F38 </t>
  </si>
  <si>
    <t xml:space="preserve">F40 </t>
  </si>
  <si>
    <t xml:space="preserve">F41 </t>
  </si>
  <si>
    <t xml:space="preserve">F42 </t>
  </si>
  <si>
    <t xml:space="preserve">F45 </t>
  </si>
  <si>
    <t xml:space="preserve">F46 </t>
  </si>
  <si>
    <t xml:space="preserve">F48 </t>
  </si>
  <si>
    <t xml:space="preserve">F49 </t>
  </si>
  <si>
    <t xml:space="preserve">F50 </t>
  </si>
  <si>
    <t xml:space="preserve">F51 </t>
  </si>
  <si>
    <t xml:space="preserve">F52 </t>
  </si>
  <si>
    <t xml:space="preserve">F54 </t>
  </si>
  <si>
    <t xml:space="preserve">F55 </t>
  </si>
  <si>
    <t xml:space="preserve">F56 </t>
  </si>
  <si>
    <t xml:space="preserve">F58 </t>
  </si>
  <si>
    <t xml:space="preserve">F61 </t>
  </si>
  <si>
    <t xml:space="preserve">F75 </t>
  </si>
  <si>
    <t xml:space="preserve">F76 </t>
  </si>
  <si>
    <t xml:space="preserve">F78 </t>
  </si>
  <si>
    <t xml:space="preserve">F79 </t>
  </si>
  <si>
    <t xml:space="preserve">M3 </t>
  </si>
  <si>
    <t xml:space="preserve">M4 </t>
  </si>
  <si>
    <t xml:space="preserve">M5 </t>
  </si>
  <si>
    <t xml:space="preserve">M6 </t>
  </si>
  <si>
    <t xml:space="preserve">M7 </t>
  </si>
  <si>
    <t xml:space="preserve">M8 </t>
  </si>
  <si>
    <t xml:space="preserve">M10 </t>
  </si>
  <si>
    <t xml:space="preserve">M11 </t>
  </si>
  <si>
    <t xml:space="preserve">M15 </t>
  </si>
  <si>
    <t xml:space="preserve">M17 </t>
  </si>
  <si>
    <t xml:space="preserve">M20 </t>
  </si>
  <si>
    <t xml:space="preserve">M21 </t>
  </si>
  <si>
    <t xml:space="preserve">M23 </t>
  </si>
  <si>
    <t xml:space="preserve">M24 </t>
  </si>
  <si>
    <t xml:space="preserve">M28 </t>
  </si>
  <si>
    <t xml:space="preserve">M30 </t>
  </si>
  <si>
    <t xml:space="preserve">M32 </t>
  </si>
  <si>
    <t xml:space="preserve">M35 </t>
  </si>
  <si>
    <t xml:space="preserve">M36 </t>
  </si>
  <si>
    <t xml:space="preserve">M41 </t>
  </si>
  <si>
    <t xml:space="preserve">M42 </t>
  </si>
  <si>
    <t xml:space="preserve">M43 </t>
  </si>
  <si>
    <t xml:space="preserve">M44 </t>
  </si>
  <si>
    <t xml:space="preserve">M45 </t>
  </si>
  <si>
    <t xml:space="preserve">M46 </t>
  </si>
  <si>
    <t xml:space="preserve">M47 </t>
  </si>
  <si>
    <t xml:space="preserve">M48 </t>
  </si>
  <si>
    <t xml:space="preserve">M49 </t>
  </si>
  <si>
    <t xml:space="preserve">M50 </t>
  </si>
  <si>
    <t xml:space="preserve">M59 </t>
  </si>
  <si>
    <t xml:space="preserve">M60 </t>
  </si>
  <si>
    <t xml:space="preserve">M61 </t>
  </si>
  <si>
    <t xml:space="preserve">M62 </t>
  </si>
  <si>
    <t xml:space="preserve">M63 </t>
  </si>
  <si>
    <t xml:space="preserve">M65 </t>
  </si>
  <si>
    <t xml:space="preserve">M66 </t>
  </si>
  <si>
    <t xml:space="preserve">M67 </t>
  </si>
  <si>
    <t xml:space="preserve">M68 </t>
  </si>
  <si>
    <t xml:space="preserve">M77 </t>
  </si>
  <si>
    <t xml:space="preserve">M80 </t>
  </si>
  <si>
    <t xml:space="preserve">M82 </t>
  </si>
  <si>
    <t xml:space="preserve">M84 </t>
  </si>
  <si>
    <t>pheFC</t>
  </si>
  <si>
    <t>F</t>
  </si>
  <si>
    <t>SUM</t>
  </si>
  <si>
    <t>N</t>
  </si>
  <si>
    <t>SNP</t>
  </si>
  <si>
    <t>fVR1</t>
  </si>
  <si>
    <t>f=fVR1/2</t>
  </si>
  <si>
    <t>in1</t>
  </si>
  <si>
    <t>ind2</t>
  </si>
  <si>
    <t>sex</t>
  </si>
  <si>
    <t>Fyang</t>
  </si>
  <si>
    <t>M</t>
  </si>
  <si>
    <t>-0.05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</si>
</sst>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164" fontId="0" fillId="0" borderId="0" xfId="0" applyNumberFormat="1"/>
    <xf numFmtId="164" fontId="16" fillId="0" borderId="0" xfId="0" applyNumberFormat="1" applyFont="1"/>
    <xf numFmtId="165" fontId="16" fillId="0" borderId="0" xfId="0" applyNumberFormat="1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18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6" fontId="18" fillId="0" borderId="0" xfId="0" applyNumberFormat="1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baseline="0">
                <a:effectLst/>
              </a:rPr>
              <a:t>(A)</a:t>
            </a:r>
            <a:r>
              <a:rPr lang="es-ES" sz="1600" b="1" i="1" baseline="0">
                <a:effectLst/>
              </a:rPr>
              <a:t> Ruditapes philippinarum</a:t>
            </a:r>
            <a:endParaRPr lang="es-ES" sz="16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460802524945341"/>
          <c:y val="0.20611111111111111"/>
          <c:w val="0.736175716474747"/>
          <c:h val="0.488833843686205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'Inbreeding parents clams'!$P$4:$P$10</c:f>
              <c:strCache>
                <c:ptCount val="7"/>
                <c:pt idx="0">
                  <c:v>-0.05</c:v>
                </c:pt>
                <c:pt idx="1">
                  <c:v>-0.025</c:v>
                </c:pt>
                <c:pt idx="2">
                  <c:v>0</c:v>
                </c:pt>
                <c:pt idx="3">
                  <c:v>0.025</c:v>
                </c:pt>
                <c:pt idx="4">
                  <c:v>0.05</c:v>
                </c:pt>
                <c:pt idx="5">
                  <c:v>0.075</c:v>
                </c:pt>
                <c:pt idx="6">
                  <c:v>0.1</c:v>
                </c:pt>
              </c:strCache>
            </c:strRef>
          </c:cat>
          <c:val>
            <c:numRef>
              <c:f>'Inbreeding parents clams'!$R$4:$R$10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15</c:v>
                </c:pt>
                <c:pt idx="4">
                  <c:v>36</c:v>
                </c:pt>
                <c:pt idx="5">
                  <c:v>19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4727-AAC1-1BF36226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15"/>
        <c:axId val="1933313424"/>
        <c:axId val="1933308848"/>
      </c:barChart>
      <c:catAx>
        <c:axId val="193331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>
                    <a:solidFill>
                      <a:sysClr val="windowText" lastClr="000000"/>
                    </a:solidFill>
                  </a:rPr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08848"/>
        <c:crosses val="autoZero"/>
        <c:auto val="1"/>
        <c:lblAlgn val="ctr"/>
        <c:lblOffset val="100"/>
        <c:noMultiLvlLbl val="0"/>
      </c:catAx>
      <c:valAx>
        <c:axId val="193330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solidFill>
                  <a:sysClr val="windowText" lastClr="000000"/>
                </a:solidFill>
                <a:effectLst/>
              </a:rPr>
              <a:t>(A) </a:t>
            </a:r>
            <a:r>
              <a:rPr lang="es-ES" sz="1600" b="1" i="1" u="none" strike="noStrike" baseline="0">
                <a:solidFill>
                  <a:sysClr val="windowText" lastClr="000000"/>
                </a:solidFill>
                <a:effectLst/>
              </a:rPr>
              <a:t>Ruditapes philippinarum</a:t>
            </a:r>
            <a:endParaRPr lang="es-ES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81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046762904636918"/>
          <c:y val="0.1947914843977836"/>
          <c:w val="0.67977537182852132"/>
          <c:h val="0.5227704870224555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'Inbreeding parents clams'!$M$2:$M$87</c:f>
              <c:numCache>
                <c:formatCode>General</c:formatCode>
                <c:ptCount val="86"/>
                <c:pt idx="0">
                  <c:v>-3.506E-3</c:v>
                </c:pt>
                <c:pt idx="1">
                  <c:v>7.3868000000000003E-2</c:v>
                </c:pt>
                <c:pt idx="2">
                  <c:v>5.0209999999999998E-2</c:v>
                </c:pt>
                <c:pt idx="3">
                  <c:v>4.8550000000000003E-2</c:v>
                </c:pt>
                <c:pt idx="4">
                  <c:v>7.6110999999999998E-2</c:v>
                </c:pt>
                <c:pt idx="5">
                  <c:v>-5.0615E-2</c:v>
                </c:pt>
                <c:pt idx="6">
                  <c:v>2.5264999999999999E-2</c:v>
                </c:pt>
                <c:pt idx="7">
                  <c:v>5.7069000000000002E-2</c:v>
                </c:pt>
                <c:pt idx="8">
                  <c:v>7.5239E-2</c:v>
                </c:pt>
                <c:pt idx="9">
                  <c:v>8.1988000000000005E-2</c:v>
                </c:pt>
                <c:pt idx="10">
                  <c:v>3.6008999999999999E-2</c:v>
                </c:pt>
                <c:pt idx="11">
                  <c:v>1.0361E-2</c:v>
                </c:pt>
                <c:pt idx="12">
                  <c:v>3.3397999999999997E-2</c:v>
                </c:pt>
                <c:pt idx="13">
                  <c:v>4.1079999999999997E-3</c:v>
                </c:pt>
                <c:pt idx="14">
                  <c:v>-4.28E-3</c:v>
                </c:pt>
                <c:pt idx="15">
                  <c:v>5.8209999999999998E-2</c:v>
                </c:pt>
                <c:pt idx="16">
                  <c:v>5.9781000000000001E-2</c:v>
                </c:pt>
                <c:pt idx="17">
                  <c:v>4.6309000000000003E-2</c:v>
                </c:pt>
                <c:pt idx="18">
                  <c:v>4.0603E-2</c:v>
                </c:pt>
                <c:pt idx="19">
                  <c:v>4.3715999999999998E-2</c:v>
                </c:pt>
                <c:pt idx="20">
                  <c:v>2.2761E-2</c:v>
                </c:pt>
                <c:pt idx="21">
                  <c:v>9.9270000000000001E-3</c:v>
                </c:pt>
                <c:pt idx="22">
                  <c:v>3.4058999999999999E-2</c:v>
                </c:pt>
                <c:pt idx="23">
                  <c:v>2.8809999999999999E-2</c:v>
                </c:pt>
                <c:pt idx="24">
                  <c:v>4.5182E-2</c:v>
                </c:pt>
                <c:pt idx="25">
                  <c:v>-2.405E-3</c:v>
                </c:pt>
                <c:pt idx="26">
                  <c:v>3.8150999999999997E-2</c:v>
                </c:pt>
                <c:pt idx="27">
                  <c:v>-8.5079999999999999E-3</c:v>
                </c:pt>
                <c:pt idx="28">
                  <c:v>2.845E-2</c:v>
                </c:pt>
                <c:pt idx="29">
                  <c:v>4.1787999999999999E-2</c:v>
                </c:pt>
                <c:pt idx="30">
                  <c:v>-3.4924999999999998E-2</c:v>
                </c:pt>
                <c:pt idx="31">
                  <c:v>6.4011999999999999E-2</c:v>
                </c:pt>
                <c:pt idx="32">
                  <c:v>5.4703000000000002E-2</c:v>
                </c:pt>
                <c:pt idx="33">
                  <c:v>2.5969999999999999E-3</c:v>
                </c:pt>
                <c:pt idx="34">
                  <c:v>6.0472999999999999E-2</c:v>
                </c:pt>
                <c:pt idx="35">
                  <c:v>4.3618999999999998E-2</c:v>
                </c:pt>
                <c:pt idx="36">
                  <c:v>-1.231E-2</c:v>
                </c:pt>
                <c:pt idx="37">
                  <c:v>-2.3195E-2</c:v>
                </c:pt>
                <c:pt idx="38">
                  <c:v>2.2683999999999999E-2</c:v>
                </c:pt>
                <c:pt idx="39">
                  <c:v>2.8518999999999999E-2</c:v>
                </c:pt>
                <c:pt idx="40">
                  <c:v>5.4627000000000002E-2</c:v>
                </c:pt>
                <c:pt idx="41">
                  <c:v>3.2807999999999997E-2</c:v>
                </c:pt>
                <c:pt idx="42">
                  <c:v>4.6455999999999997E-2</c:v>
                </c:pt>
                <c:pt idx="43">
                  <c:v>8.3929999999999994E-3</c:v>
                </c:pt>
                <c:pt idx="44">
                  <c:v>-3.2795999999999999E-2</c:v>
                </c:pt>
                <c:pt idx="45">
                  <c:v>6.5534999999999996E-2</c:v>
                </c:pt>
                <c:pt idx="46">
                  <c:v>4.8725999999999998E-2</c:v>
                </c:pt>
                <c:pt idx="47">
                  <c:v>2.9079000000000001E-2</c:v>
                </c:pt>
                <c:pt idx="48">
                  <c:v>3.6470000000000002E-2</c:v>
                </c:pt>
                <c:pt idx="49">
                  <c:v>-5.241E-3</c:v>
                </c:pt>
                <c:pt idx="50">
                  <c:v>9.4783000000000006E-2</c:v>
                </c:pt>
                <c:pt idx="51">
                  <c:v>4.1978000000000001E-2</c:v>
                </c:pt>
                <c:pt idx="52">
                  <c:v>8.3700999999999998E-2</c:v>
                </c:pt>
                <c:pt idx="53">
                  <c:v>3.9510000000000003E-2</c:v>
                </c:pt>
                <c:pt idx="54">
                  <c:v>3.9649999999999998E-2</c:v>
                </c:pt>
                <c:pt idx="55">
                  <c:v>6.9248000000000004E-2</c:v>
                </c:pt>
                <c:pt idx="56">
                  <c:v>5.3572000000000002E-2</c:v>
                </c:pt>
                <c:pt idx="57">
                  <c:v>3.6739000000000001E-2</c:v>
                </c:pt>
                <c:pt idx="58">
                  <c:v>5.4754999999999998E-2</c:v>
                </c:pt>
                <c:pt idx="59">
                  <c:v>6.7171999999999996E-2</c:v>
                </c:pt>
                <c:pt idx="60">
                  <c:v>1.6004999999999998E-2</c:v>
                </c:pt>
                <c:pt idx="61">
                  <c:v>5.5389000000000001E-2</c:v>
                </c:pt>
                <c:pt idx="62">
                  <c:v>3.2661000000000003E-2</c:v>
                </c:pt>
                <c:pt idx="63">
                  <c:v>5.6009000000000003E-2</c:v>
                </c:pt>
                <c:pt idx="64">
                  <c:v>3.0640000000000001E-2</c:v>
                </c:pt>
                <c:pt idx="65">
                  <c:v>4.4865000000000002E-2</c:v>
                </c:pt>
                <c:pt idx="66">
                  <c:v>4.8495999999999997E-2</c:v>
                </c:pt>
                <c:pt idx="67">
                  <c:v>2.4251000000000002E-2</c:v>
                </c:pt>
                <c:pt idx="68">
                  <c:v>4.2154999999999998E-2</c:v>
                </c:pt>
                <c:pt idx="69">
                  <c:v>6.3949000000000006E-2</c:v>
                </c:pt>
                <c:pt idx="70">
                  <c:v>1.5030999999999999E-2</c:v>
                </c:pt>
                <c:pt idx="71">
                  <c:v>1.8870999999999999E-2</c:v>
                </c:pt>
                <c:pt idx="72">
                  <c:v>1.9241999999999999E-2</c:v>
                </c:pt>
                <c:pt idx="73">
                  <c:v>2.2589999999999999E-2</c:v>
                </c:pt>
                <c:pt idx="74">
                  <c:v>3.1130999999999999E-2</c:v>
                </c:pt>
                <c:pt idx="75">
                  <c:v>3.8386000000000003E-2</c:v>
                </c:pt>
                <c:pt idx="76">
                  <c:v>3.2615999999999999E-2</c:v>
                </c:pt>
                <c:pt idx="77">
                  <c:v>1.0436000000000001E-2</c:v>
                </c:pt>
                <c:pt idx="78">
                  <c:v>4.0391999999999997E-2</c:v>
                </c:pt>
                <c:pt idx="79">
                  <c:v>2.2093000000000002E-2</c:v>
                </c:pt>
                <c:pt idx="80">
                  <c:v>3.1461999999999997E-2</c:v>
                </c:pt>
                <c:pt idx="81">
                  <c:v>3.0511E-2</c:v>
                </c:pt>
                <c:pt idx="82">
                  <c:v>2.6616000000000001E-2</c:v>
                </c:pt>
                <c:pt idx="83">
                  <c:v>6.4321000000000003E-2</c:v>
                </c:pt>
                <c:pt idx="84">
                  <c:v>7.8711000000000003E-2</c:v>
                </c:pt>
                <c:pt idx="85">
                  <c:v>7.0677000000000004E-2</c:v>
                </c:pt>
              </c:numCache>
            </c:numRef>
          </c:xVal>
          <c:yVal>
            <c:numRef>
              <c:f>'Inbreeding parents clams'!$E$2:$E$87</c:f>
              <c:numCache>
                <c:formatCode>General</c:formatCode>
                <c:ptCount val="86"/>
                <c:pt idx="0">
                  <c:v>39.049999999999997</c:v>
                </c:pt>
                <c:pt idx="1">
                  <c:v>35.32</c:v>
                </c:pt>
                <c:pt idx="2">
                  <c:v>40.1</c:v>
                </c:pt>
                <c:pt idx="3">
                  <c:v>35.94</c:v>
                </c:pt>
                <c:pt idx="4">
                  <c:v>39.08</c:v>
                </c:pt>
                <c:pt idx="5">
                  <c:v>38.520000000000003</c:v>
                </c:pt>
                <c:pt idx="6">
                  <c:v>40.39</c:v>
                </c:pt>
                <c:pt idx="7">
                  <c:v>36.85</c:v>
                </c:pt>
                <c:pt idx="8">
                  <c:v>38.74</c:v>
                </c:pt>
                <c:pt idx="9">
                  <c:v>37.28</c:v>
                </c:pt>
                <c:pt idx="10">
                  <c:v>40.06</c:v>
                </c:pt>
                <c:pt idx="11">
                  <c:v>38.64</c:v>
                </c:pt>
                <c:pt idx="12">
                  <c:v>36.56</c:v>
                </c:pt>
                <c:pt idx="13">
                  <c:v>37.659999999999997</c:v>
                </c:pt>
                <c:pt idx="14">
                  <c:v>39.69</c:v>
                </c:pt>
                <c:pt idx="15">
                  <c:v>39.130000000000003</c:v>
                </c:pt>
                <c:pt idx="16">
                  <c:v>39.33</c:v>
                </c:pt>
                <c:pt idx="17">
                  <c:v>36.25</c:v>
                </c:pt>
                <c:pt idx="18">
                  <c:v>37.94</c:v>
                </c:pt>
                <c:pt idx="19">
                  <c:v>37.47</c:v>
                </c:pt>
                <c:pt idx="20">
                  <c:v>35.979999999999997</c:v>
                </c:pt>
                <c:pt idx="21">
                  <c:v>37.75</c:v>
                </c:pt>
                <c:pt idx="22">
                  <c:v>34.35</c:v>
                </c:pt>
                <c:pt idx="23">
                  <c:v>39.549999999999997</c:v>
                </c:pt>
                <c:pt idx="24">
                  <c:v>40.17</c:v>
                </c:pt>
                <c:pt idx="25">
                  <c:v>38.549999999999997</c:v>
                </c:pt>
                <c:pt idx="26">
                  <c:v>40.6</c:v>
                </c:pt>
                <c:pt idx="27">
                  <c:v>44.66</c:v>
                </c:pt>
                <c:pt idx="28">
                  <c:v>39.61</c:v>
                </c:pt>
                <c:pt idx="29">
                  <c:v>41.72</c:v>
                </c:pt>
                <c:pt idx="30">
                  <c:v>38.04</c:v>
                </c:pt>
                <c:pt idx="31">
                  <c:v>39.020000000000003</c:v>
                </c:pt>
                <c:pt idx="32">
                  <c:v>37.06</c:v>
                </c:pt>
                <c:pt idx="33">
                  <c:v>39.08</c:v>
                </c:pt>
                <c:pt idx="34">
                  <c:v>36.57</c:v>
                </c:pt>
                <c:pt idx="35">
                  <c:v>36.21</c:v>
                </c:pt>
                <c:pt idx="36">
                  <c:v>40.44</c:v>
                </c:pt>
                <c:pt idx="37">
                  <c:v>37.49</c:v>
                </c:pt>
                <c:pt idx="38">
                  <c:v>35.79</c:v>
                </c:pt>
                <c:pt idx="39">
                  <c:v>36.81</c:v>
                </c:pt>
                <c:pt idx="40">
                  <c:v>35.61</c:v>
                </c:pt>
                <c:pt idx="41">
                  <c:v>34.46</c:v>
                </c:pt>
                <c:pt idx="42">
                  <c:v>40.56</c:v>
                </c:pt>
                <c:pt idx="43">
                  <c:v>36.86</c:v>
                </c:pt>
                <c:pt idx="44">
                  <c:v>41.3</c:v>
                </c:pt>
                <c:pt idx="45">
                  <c:v>41.22</c:v>
                </c:pt>
                <c:pt idx="46">
                  <c:v>35.130000000000003</c:v>
                </c:pt>
                <c:pt idx="47">
                  <c:v>40.96</c:v>
                </c:pt>
                <c:pt idx="48">
                  <c:v>38.08</c:v>
                </c:pt>
                <c:pt idx="49">
                  <c:v>40.71</c:v>
                </c:pt>
                <c:pt idx="50">
                  <c:v>39.729999999999997</c:v>
                </c:pt>
                <c:pt idx="51">
                  <c:v>36.1</c:v>
                </c:pt>
                <c:pt idx="52">
                  <c:v>38.950000000000003</c:v>
                </c:pt>
                <c:pt idx="53">
                  <c:v>35</c:v>
                </c:pt>
                <c:pt idx="54">
                  <c:v>35.380000000000003</c:v>
                </c:pt>
                <c:pt idx="55">
                  <c:v>38.51</c:v>
                </c:pt>
                <c:pt idx="56">
                  <c:v>33.96</c:v>
                </c:pt>
                <c:pt idx="57">
                  <c:v>35.590000000000003</c:v>
                </c:pt>
                <c:pt idx="58">
                  <c:v>38.82</c:v>
                </c:pt>
                <c:pt idx="59">
                  <c:v>34.26</c:v>
                </c:pt>
                <c:pt idx="60">
                  <c:v>38.86</c:v>
                </c:pt>
                <c:pt idx="61">
                  <c:v>37.840000000000003</c:v>
                </c:pt>
                <c:pt idx="62">
                  <c:v>34.67</c:v>
                </c:pt>
                <c:pt idx="63">
                  <c:v>38.97</c:v>
                </c:pt>
                <c:pt idx="64">
                  <c:v>36.130000000000003</c:v>
                </c:pt>
                <c:pt idx="65">
                  <c:v>35.659999999999997</c:v>
                </c:pt>
                <c:pt idx="66">
                  <c:v>40.68</c:v>
                </c:pt>
                <c:pt idx="67">
                  <c:v>39.6</c:v>
                </c:pt>
                <c:pt idx="68">
                  <c:v>40.61</c:v>
                </c:pt>
                <c:pt idx="69">
                  <c:v>38.22</c:v>
                </c:pt>
                <c:pt idx="70">
                  <c:v>40.19</c:v>
                </c:pt>
                <c:pt idx="71">
                  <c:v>37.29</c:v>
                </c:pt>
                <c:pt idx="72">
                  <c:v>39.85</c:v>
                </c:pt>
                <c:pt idx="73">
                  <c:v>42.54</c:v>
                </c:pt>
                <c:pt idx="74">
                  <c:v>37.479999999999997</c:v>
                </c:pt>
                <c:pt idx="75">
                  <c:v>37.82</c:v>
                </c:pt>
                <c:pt idx="76">
                  <c:v>33.44</c:v>
                </c:pt>
                <c:pt idx="77">
                  <c:v>37.020000000000003</c:v>
                </c:pt>
                <c:pt idx="78">
                  <c:v>38.04</c:v>
                </c:pt>
                <c:pt idx="79">
                  <c:v>37.229999999999997</c:v>
                </c:pt>
                <c:pt idx="80">
                  <c:v>34.86</c:v>
                </c:pt>
                <c:pt idx="81">
                  <c:v>42.07</c:v>
                </c:pt>
                <c:pt idx="82">
                  <c:v>37.700000000000003</c:v>
                </c:pt>
                <c:pt idx="83">
                  <c:v>35.79</c:v>
                </c:pt>
                <c:pt idx="84">
                  <c:v>35.92</c:v>
                </c:pt>
                <c:pt idx="85">
                  <c:v>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5-469D-99C4-193366F7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62240"/>
        <c:axId val="498062656"/>
      </c:scatterChart>
      <c:valAx>
        <c:axId val="498062240"/>
        <c:scaling>
          <c:orientation val="minMax"/>
          <c:max val="0.15000000000000002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 baseline="0">
                    <a:solidFill>
                      <a:sysClr val="windowText" lastClr="000000"/>
                    </a:solidFill>
                  </a:rPr>
                  <a:t>F</a:t>
                </a:r>
                <a:endParaRPr lang="es-ES" sz="1800" b="1" i="1" baseline="-250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656"/>
        <c:crossesAt val="-0.25"/>
        <c:crossBetween val="midCat"/>
        <c:majorUnit val="5.000000000000001E-2"/>
      </c:valAx>
      <c:valAx>
        <c:axId val="498062656"/>
        <c:scaling>
          <c:orientation val="minMax"/>
          <c:max val="45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Length 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5110710119568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240"/>
        <c:crossesAt val="-0.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2000" b="1" i="1" baseline="0">
                <a:solidFill>
                  <a:sysClr val="windowText" lastClr="000000"/>
                </a:solidFill>
                <a:effectLst/>
              </a:rPr>
              <a:t>Ruditapes philippinarum</a:t>
            </a:r>
            <a:endParaRPr lang="es-ES" sz="2000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826465805924079"/>
          <c:y val="0.13740740740740739"/>
          <c:w val="0.69000921392860504"/>
          <c:h val="0.67430057353941864"/>
        </c:manualLayout>
      </c:layout>
      <c:scatterChart>
        <c:scatterStyle val="lineMarker"/>
        <c:varyColors val="0"/>
        <c:ser>
          <c:idx val="0"/>
          <c:order val="0"/>
          <c:tx>
            <c:v>females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888437399546221"/>
                  <c:y val="-0.29343686205890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DATOS!#REF!</c:f>
            </c:numRef>
          </c:xVal>
          <c:yVal>
            <c:numRef>
              <c:f>'Inbreeding parents clams'!$F$2:$F$45</c:f>
            </c:numRef>
          </c:yVal>
          <c:smooth val="0"/>
          <c:extLst>
            <c:ext xmlns:c16="http://schemas.microsoft.com/office/drawing/2014/chart" uri="{C3380CC4-5D6E-409C-BE32-E72D297353CC}">
              <c16:uniqueId val="{00000000-0D3E-4B78-A3C5-261670974DBE}"/>
            </c:ext>
          </c:extLst>
        </c:ser>
        <c:ser>
          <c:idx val="1"/>
          <c:order val="1"/>
          <c:tx>
            <c:v>males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862696265226061"/>
                  <c:y val="-0.33817658209390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DATOS!#REF!</c:f>
            </c:numRef>
          </c:xVal>
          <c:yVal>
            <c:numRef>
              <c:f>'Inbreeding parents clams'!$F$46:$F$87</c:f>
            </c:numRef>
          </c:yVal>
          <c:smooth val="0"/>
          <c:extLst>
            <c:ext xmlns:c16="http://schemas.microsoft.com/office/drawing/2014/chart" uri="{C3380CC4-5D6E-409C-BE32-E72D297353CC}">
              <c16:uniqueId val="{00000001-0D3E-4B78-A3C5-261670974DBE}"/>
            </c:ext>
          </c:extLst>
        </c:ser>
        <c:ser>
          <c:idx val="2"/>
          <c:order val="2"/>
          <c:tx>
            <c:v>Females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3222019991629597E-2"/>
                  <c:y val="-0.38724579566443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'Inbreeding parents clams'!$M$2:$M$45</c:f>
              <c:numCache>
                <c:formatCode>General</c:formatCode>
                <c:ptCount val="44"/>
                <c:pt idx="0">
                  <c:v>-3.506E-3</c:v>
                </c:pt>
                <c:pt idx="1">
                  <c:v>7.3868000000000003E-2</c:v>
                </c:pt>
                <c:pt idx="2">
                  <c:v>5.0209999999999998E-2</c:v>
                </c:pt>
                <c:pt idx="3">
                  <c:v>4.8550000000000003E-2</c:v>
                </c:pt>
                <c:pt idx="4">
                  <c:v>7.6110999999999998E-2</c:v>
                </c:pt>
                <c:pt idx="5">
                  <c:v>-5.0615E-2</c:v>
                </c:pt>
                <c:pt idx="6">
                  <c:v>2.5264999999999999E-2</c:v>
                </c:pt>
                <c:pt idx="7">
                  <c:v>5.7069000000000002E-2</c:v>
                </c:pt>
                <c:pt idx="8">
                  <c:v>7.5239E-2</c:v>
                </c:pt>
                <c:pt idx="9">
                  <c:v>8.1988000000000005E-2</c:v>
                </c:pt>
                <c:pt idx="10">
                  <c:v>3.6008999999999999E-2</c:v>
                </c:pt>
                <c:pt idx="11">
                  <c:v>1.0361E-2</c:v>
                </c:pt>
                <c:pt idx="12">
                  <c:v>3.3397999999999997E-2</c:v>
                </c:pt>
                <c:pt idx="13">
                  <c:v>4.1079999999999997E-3</c:v>
                </c:pt>
                <c:pt idx="14">
                  <c:v>-4.28E-3</c:v>
                </c:pt>
                <c:pt idx="15">
                  <c:v>5.8209999999999998E-2</c:v>
                </c:pt>
                <c:pt idx="16">
                  <c:v>5.9781000000000001E-2</c:v>
                </c:pt>
                <c:pt idx="17">
                  <c:v>4.6309000000000003E-2</c:v>
                </c:pt>
                <c:pt idx="18">
                  <c:v>4.0603E-2</c:v>
                </c:pt>
                <c:pt idx="19">
                  <c:v>4.3715999999999998E-2</c:v>
                </c:pt>
                <c:pt idx="20">
                  <c:v>2.2761E-2</c:v>
                </c:pt>
                <c:pt idx="21">
                  <c:v>9.9270000000000001E-3</c:v>
                </c:pt>
                <c:pt idx="22">
                  <c:v>3.4058999999999999E-2</c:v>
                </c:pt>
                <c:pt idx="23">
                  <c:v>2.8809999999999999E-2</c:v>
                </c:pt>
                <c:pt idx="24">
                  <c:v>4.5182E-2</c:v>
                </c:pt>
                <c:pt idx="25">
                  <c:v>-2.405E-3</c:v>
                </c:pt>
                <c:pt idx="26">
                  <c:v>3.8150999999999997E-2</c:v>
                </c:pt>
                <c:pt idx="27">
                  <c:v>-8.5079999999999999E-3</c:v>
                </c:pt>
                <c:pt idx="28">
                  <c:v>2.845E-2</c:v>
                </c:pt>
                <c:pt idx="29">
                  <c:v>4.1787999999999999E-2</c:v>
                </c:pt>
                <c:pt idx="30">
                  <c:v>-3.4924999999999998E-2</c:v>
                </c:pt>
                <c:pt idx="31">
                  <c:v>6.4011999999999999E-2</c:v>
                </c:pt>
                <c:pt idx="32">
                  <c:v>5.4703000000000002E-2</c:v>
                </c:pt>
                <c:pt idx="33">
                  <c:v>2.5969999999999999E-3</c:v>
                </c:pt>
                <c:pt idx="34">
                  <c:v>6.0472999999999999E-2</c:v>
                </c:pt>
                <c:pt idx="35">
                  <c:v>4.3618999999999998E-2</c:v>
                </c:pt>
                <c:pt idx="36">
                  <c:v>-1.231E-2</c:v>
                </c:pt>
                <c:pt idx="37">
                  <c:v>-2.3195E-2</c:v>
                </c:pt>
                <c:pt idx="38">
                  <c:v>2.2683999999999999E-2</c:v>
                </c:pt>
                <c:pt idx="39">
                  <c:v>2.8518999999999999E-2</c:v>
                </c:pt>
                <c:pt idx="40">
                  <c:v>5.4627000000000002E-2</c:v>
                </c:pt>
                <c:pt idx="41">
                  <c:v>3.2807999999999997E-2</c:v>
                </c:pt>
                <c:pt idx="42">
                  <c:v>4.6455999999999997E-2</c:v>
                </c:pt>
                <c:pt idx="43">
                  <c:v>8.3929999999999994E-3</c:v>
                </c:pt>
              </c:numCache>
            </c:numRef>
          </c:xVal>
          <c:yVal>
            <c:numRef>
              <c:f>'Inbreeding parents clams'!$E$2:$E$79</c:f>
              <c:numCache>
                <c:formatCode>General</c:formatCode>
                <c:ptCount val="78"/>
                <c:pt idx="0">
                  <c:v>39.049999999999997</c:v>
                </c:pt>
                <c:pt idx="1">
                  <c:v>35.32</c:v>
                </c:pt>
                <c:pt idx="2">
                  <c:v>40.1</c:v>
                </c:pt>
                <c:pt idx="3">
                  <c:v>35.94</c:v>
                </c:pt>
                <c:pt idx="4">
                  <c:v>39.08</c:v>
                </c:pt>
                <c:pt idx="5">
                  <c:v>38.520000000000003</c:v>
                </c:pt>
                <c:pt idx="6">
                  <c:v>40.39</c:v>
                </c:pt>
                <c:pt idx="7">
                  <c:v>36.85</c:v>
                </c:pt>
                <c:pt idx="8">
                  <c:v>38.74</c:v>
                </c:pt>
                <c:pt idx="9">
                  <c:v>37.28</c:v>
                </c:pt>
                <c:pt idx="10">
                  <c:v>40.06</c:v>
                </c:pt>
                <c:pt idx="11">
                  <c:v>38.64</c:v>
                </c:pt>
                <c:pt idx="12">
                  <c:v>36.56</c:v>
                </c:pt>
                <c:pt idx="13">
                  <c:v>37.659999999999997</c:v>
                </c:pt>
                <c:pt idx="14">
                  <c:v>39.69</c:v>
                </c:pt>
                <c:pt idx="15">
                  <c:v>39.130000000000003</c:v>
                </c:pt>
                <c:pt idx="16">
                  <c:v>39.33</c:v>
                </c:pt>
                <c:pt idx="17">
                  <c:v>36.25</c:v>
                </c:pt>
                <c:pt idx="18">
                  <c:v>37.94</c:v>
                </c:pt>
                <c:pt idx="19">
                  <c:v>37.47</c:v>
                </c:pt>
                <c:pt idx="20">
                  <c:v>35.979999999999997</c:v>
                </c:pt>
                <c:pt idx="21">
                  <c:v>37.75</c:v>
                </c:pt>
                <c:pt idx="22">
                  <c:v>34.35</c:v>
                </c:pt>
                <c:pt idx="23">
                  <c:v>39.549999999999997</c:v>
                </c:pt>
                <c:pt idx="24">
                  <c:v>40.17</c:v>
                </c:pt>
                <c:pt idx="25">
                  <c:v>38.549999999999997</c:v>
                </c:pt>
                <c:pt idx="26">
                  <c:v>40.6</c:v>
                </c:pt>
                <c:pt idx="27">
                  <c:v>44.66</c:v>
                </c:pt>
                <c:pt idx="28">
                  <c:v>39.61</c:v>
                </c:pt>
                <c:pt idx="29">
                  <c:v>41.72</c:v>
                </c:pt>
                <c:pt idx="30">
                  <c:v>38.04</c:v>
                </c:pt>
                <c:pt idx="31">
                  <c:v>39.020000000000003</c:v>
                </c:pt>
                <c:pt idx="32">
                  <c:v>37.06</c:v>
                </c:pt>
                <c:pt idx="33">
                  <c:v>39.08</c:v>
                </c:pt>
                <c:pt idx="34">
                  <c:v>36.57</c:v>
                </c:pt>
                <c:pt idx="35">
                  <c:v>36.21</c:v>
                </c:pt>
                <c:pt idx="36">
                  <c:v>40.44</c:v>
                </c:pt>
                <c:pt idx="37">
                  <c:v>37.49</c:v>
                </c:pt>
                <c:pt idx="38">
                  <c:v>35.79</c:v>
                </c:pt>
                <c:pt idx="39">
                  <c:v>36.81</c:v>
                </c:pt>
                <c:pt idx="40">
                  <c:v>35.61</c:v>
                </c:pt>
                <c:pt idx="41">
                  <c:v>34.46</c:v>
                </c:pt>
                <c:pt idx="42">
                  <c:v>40.56</c:v>
                </c:pt>
                <c:pt idx="43">
                  <c:v>36.86</c:v>
                </c:pt>
                <c:pt idx="44">
                  <c:v>41.3</c:v>
                </c:pt>
                <c:pt idx="45">
                  <c:v>41.22</c:v>
                </c:pt>
                <c:pt idx="46">
                  <c:v>35.130000000000003</c:v>
                </c:pt>
                <c:pt idx="47">
                  <c:v>40.96</c:v>
                </c:pt>
                <c:pt idx="48">
                  <c:v>38.08</c:v>
                </c:pt>
                <c:pt idx="49">
                  <c:v>40.71</c:v>
                </c:pt>
                <c:pt idx="50">
                  <c:v>39.729999999999997</c:v>
                </c:pt>
                <c:pt idx="51">
                  <c:v>36.1</c:v>
                </c:pt>
                <c:pt idx="52">
                  <c:v>38.950000000000003</c:v>
                </c:pt>
                <c:pt idx="53">
                  <c:v>35</c:v>
                </c:pt>
                <c:pt idx="54">
                  <c:v>35.380000000000003</c:v>
                </c:pt>
                <c:pt idx="55">
                  <c:v>38.51</c:v>
                </c:pt>
                <c:pt idx="56">
                  <c:v>33.96</c:v>
                </c:pt>
                <c:pt idx="57">
                  <c:v>35.590000000000003</c:v>
                </c:pt>
                <c:pt idx="58">
                  <c:v>38.82</c:v>
                </c:pt>
                <c:pt idx="59">
                  <c:v>34.26</c:v>
                </c:pt>
                <c:pt idx="60">
                  <c:v>38.86</c:v>
                </c:pt>
                <c:pt idx="61">
                  <c:v>37.840000000000003</c:v>
                </c:pt>
                <c:pt idx="62">
                  <c:v>34.67</c:v>
                </c:pt>
                <c:pt idx="63">
                  <c:v>38.97</c:v>
                </c:pt>
                <c:pt idx="64">
                  <c:v>36.130000000000003</c:v>
                </c:pt>
                <c:pt idx="65">
                  <c:v>35.659999999999997</c:v>
                </c:pt>
                <c:pt idx="66">
                  <c:v>40.68</c:v>
                </c:pt>
                <c:pt idx="67">
                  <c:v>39.6</c:v>
                </c:pt>
                <c:pt idx="68">
                  <c:v>40.61</c:v>
                </c:pt>
                <c:pt idx="69">
                  <c:v>38.22</c:v>
                </c:pt>
                <c:pt idx="70">
                  <c:v>40.19</c:v>
                </c:pt>
                <c:pt idx="71">
                  <c:v>37.29</c:v>
                </c:pt>
                <c:pt idx="72">
                  <c:v>39.85</c:v>
                </c:pt>
                <c:pt idx="73">
                  <c:v>42.54</c:v>
                </c:pt>
                <c:pt idx="74">
                  <c:v>37.479999999999997</c:v>
                </c:pt>
                <c:pt idx="75">
                  <c:v>37.82</c:v>
                </c:pt>
                <c:pt idx="76">
                  <c:v>33.44</c:v>
                </c:pt>
                <c:pt idx="77">
                  <c:v>37.020000000000003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E-4B78-A3C5-261670974DBE}"/>
            </c:ext>
          </c:extLst>
        </c:ser>
        <c:ser>
          <c:idx val="3"/>
          <c:order val="3"/>
          <c:tx>
            <c:v>Males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853667240915034"/>
                  <c:y val="-0.340127588218139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'Inbreeding parents clams'!$M$46:$M$87</c:f>
              <c:numCache>
                <c:formatCode>General</c:formatCode>
                <c:ptCount val="42"/>
                <c:pt idx="0">
                  <c:v>-3.2795999999999999E-2</c:v>
                </c:pt>
                <c:pt idx="1">
                  <c:v>6.5534999999999996E-2</c:v>
                </c:pt>
                <c:pt idx="2">
                  <c:v>4.8725999999999998E-2</c:v>
                </c:pt>
                <c:pt idx="3">
                  <c:v>2.9079000000000001E-2</c:v>
                </c:pt>
                <c:pt idx="4">
                  <c:v>3.6470000000000002E-2</c:v>
                </c:pt>
                <c:pt idx="5">
                  <c:v>-5.241E-3</c:v>
                </c:pt>
                <c:pt idx="6">
                  <c:v>9.4783000000000006E-2</c:v>
                </c:pt>
                <c:pt idx="7">
                  <c:v>4.1978000000000001E-2</c:v>
                </c:pt>
                <c:pt idx="8">
                  <c:v>8.3700999999999998E-2</c:v>
                </c:pt>
                <c:pt idx="9">
                  <c:v>3.9510000000000003E-2</c:v>
                </c:pt>
                <c:pt idx="10">
                  <c:v>3.9649999999999998E-2</c:v>
                </c:pt>
                <c:pt idx="11">
                  <c:v>6.9248000000000004E-2</c:v>
                </c:pt>
                <c:pt idx="12">
                  <c:v>5.3572000000000002E-2</c:v>
                </c:pt>
                <c:pt idx="13">
                  <c:v>3.6739000000000001E-2</c:v>
                </c:pt>
                <c:pt idx="14">
                  <c:v>5.4754999999999998E-2</c:v>
                </c:pt>
                <c:pt idx="15">
                  <c:v>6.7171999999999996E-2</c:v>
                </c:pt>
                <c:pt idx="16">
                  <c:v>1.6004999999999998E-2</c:v>
                </c:pt>
                <c:pt idx="17">
                  <c:v>5.5389000000000001E-2</c:v>
                </c:pt>
                <c:pt idx="18">
                  <c:v>3.2661000000000003E-2</c:v>
                </c:pt>
                <c:pt idx="19">
                  <c:v>5.6009000000000003E-2</c:v>
                </c:pt>
                <c:pt idx="20">
                  <c:v>3.0640000000000001E-2</c:v>
                </c:pt>
                <c:pt idx="21">
                  <c:v>4.4865000000000002E-2</c:v>
                </c:pt>
                <c:pt idx="22">
                  <c:v>4.8495999999999997E-2</c:v>
                </c:pt>
                <c:pt idx="23">
                  <c:v>2.4251000000000002E-2</c:v>
                </c:pt>
                <c:pt idx="24">
                  <c:v>4.2154999999999998E-2</c:v>
                </c:pt>
                <c:pt idx="25">
                  <c:v>6.3949000000000006E-2</c:v>
                </c:pt>
                <c:pt idx="26">
                  <c:v>1.5030999999999999E-2</c:v>
                </c:pt>
                <c:pt idx="27">
                  <c:v>1.8870999999999999E-2</c:v>
                </c:pt>
                <c:pt idx="28">
                  <c:v>1.9241999999999999E-2</c:v>
                </c:pt>
                <c:pt idx="29">
                  <c:v>2.2589999999999999E-2</c:v>
                </c:pt>
                <c:pt idx="30">
                  <c:v>3.1130999999999999E-2</c:v>
                </c:pt>
                <c:pt idx="31">
                  <c:v>3.8386000000000003E-2</c:v>
                </c:pt>
                <c:pt idx="32">
                  <c:v>3.2615999999999999E-2</c:v>
                </c:pt>
                <c:pt idx="33">
                  <c:v>1.0436000000000001E-2</c:v>
                </c:pt>
                <c:pt idx="34">
                  <c:v>4.0391999999999997E-2</c:v>
                </c:pt>
                <c:pt idx="35">
                  <c:v>2.2093000000000002E-2</c:v>
                </c:pt>
                <c:pt idx="36">
                  <c:v>3.1461999999999997E-2</c:v>
                </c:pt>
                <c:pt idx="37">
                  <c:v>3.0511E-2</c:v>
                </c:pt>
                <c:pt idx="38">
                  <c:v>2.6616000000000001E-2</c:v>
                </c:pt>
                <c:pt idx="39">
                  <c:v>6.4321000000000003E-2</c:v>
                </c:pt>
                <c:pt idx="40">
                  <c:v>7.8711000000000003E-2</c:v>
                </c:pt>
                <c:pt idx="41">
                  <c:v>7.0677000000000004E-2</c:v>
                </c:pt>
              </c:numCache>
            </c:numRef>
          </c:xVal>
          <c:yVal>
            <c:numRef>
              <c:f>'Inbreeding parents clams'!$E$46:$E$87</c:f>
              <c:numCache>
                <c:formatCode>General</c:formatCode>
                <c:ptCount val="42"/>
                <c:pt idx="0">
                  <c:v>41.3</c:v>
                </c:pt>
                <c:pt idx="1">
                  <c:v>41.22</c:v>
                </c:pt>
                <c:pt idx="2">
                  <c:v>35.130000000000003</c:v>
                </c:pt>
                <c:pt idx="3">
                  <c:v>40.96</c:v>
                </c:pt>
                <c:pt idx="4">
                  <c:v>38.08</c:v>
                </c:pt>
                <c:pt idx="5">
                  <c:v>40.71</c:v>
                </c:pt>
                <c:pt idx="6">
                  <c:v>39.729999999999997</c:v>
                </c:pt>
                <c:pt idx="7">
                  <c:v>36.1</c:v>
                </c:pt>
                <c:pt idx="8">
                  <c:v>38.950000000000003</c:v>
                </c:pt>
                <c:pt idx="9">
                  <c:v>35</c:v>
                </c:pt>
                <c:pt idx="10">
                  <c:v>35.380000000000003</c:v>
                </c:pt>
                <c:pt idx="11">
                  <c:v>38.51</c:v>
                </c:pt>
                <c:pt idx="12">
                  <c:v>33.96</c:v>
                </c:pt>
                <c:pt idx="13">
                  <c:v>35.590000000000003</c:v>
                </c:pt>
                <c:pt idx="14">
                  <c:v>38.82</c:v>
                </c:pt>
                <c:pt idx="15">
                  <c:v>34.26</c:v>
                </c:pt>
                <c:pt idx="16">
                  <c:v>38.86</c:v>
                </c:pt>
                <c:pt idx="17">
                  <c:v>37.840000000000003</c:v>
                </c:pt>
                <c:pt idx="18">
                  <c:v>34.67</c:v>
                </c:pt>
                <c:pt idx="19">
                  <c:v>38.97</c:v>
                </c:pt>
                <c:pt idx="20">
                  <c:v>36.130000000000003</c:v>
                </c:pt>
                <c:pt idx="21">
                  <c:v>35.659999999999997</c:v>
                </c:pt>
                <c:pt idx="22">
                  <c:v>40.68</c:v>
                </c:pt>
                <c:pt idx="23">
                  <c:v>39.6</c:v>
                </c:pt>
                <c:pt idx="24">
                  <c:v>40.61</c:v>
                </c:pt>
                <c:pt idx="25">
                  <c:v>38.22</c:v>
                </c:pt>
                <c:pt idx="26">
                  <c:v>40.19</c:v>
                </c:pt>
                <c:pt idx="27">
                  <c:v>37.29</c:v>
                </c:pt>
                <c:pt idx="28">
                  <c:v>39.85</c:v>
                </c:pt>
                <c:pt idx="29">
                  <c:v>42.54</c:v>
                </c:pt>
                <c:pt idx="30">
                  <c:v>37.479999999999997</c:v>
                </c:pt>
                <c:pt idx="31">
                  <c:v>37.82</c:v>
                </c:pt>
                <c:pt idx="32">
                  <c:v>33.44</c:v>
                </c:pt>
                <c:pt idx="33">
                  <c:v>37.020000000000003</c:v>
                </c:pt>
                <c:pt idx="34">
                  <c:v>38.04</c:v>
                </c:pt>
                <c:pt idx="35">
                  <c:v>37.229999999999997</c:v>
                </c:pt>
                <c:pt idx="36">
                  <c:v>34.86</c:v>
                </c:pt>
                <c:pt idx="37">
                  <c:v>42.07</c:v>
                </c:pt>
                <c:pt idx="38">
                  <c:v>37.700000000000003</c:v>
                </c:pt>
                <c:pt idx="39">
                  <c:v>35.79</c:v>
                </c:pt>
                <c:pt idx="40">
                  <c:v>35.92</c:v>
                </c:pt>
                <c:pt idx="41">
                  <c:v>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E-4B78-A3C5-261670974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62240"/>
        <c:axId val="498062656"/>
      </c:scatterChart>
      <c:valAx>
        <c:axId val="498062240"/>
        <c:scaling>
          <c:orientation val="minMax"/>
          <c:max val="0.15000000000000002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2000" b="1" i="1">
                    <a:solidFill>
                      <a:sysClr val="windowText" lastClr="000000"/>
                    </a:solidFill>
                  </a:rPr>
                  <a:t>F</a:t>
                </a:r>
                <a:endParaRPr lang="es-ES" sz="2000" b="1" i="1" baseline="-250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656"/>
        <c:crossesAt val="-0.25"/>
        <c:crossBetween val="midCat"/>
        <c:majorUnit val="5.000000000000001E-2"/>
      </c:valAx>
      <c:valAx>
        <c:axId val="498062656"/>
        <c:scaling>
          <c:orientation val="minMax"/>
          <c:max val="5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>
                    <a:solidFill>
                      <a:sysClr val="windowText" lastClr="000000"/>
                    </a:solidFill>
                  </a:rPr>
                  <a:t>Length </a:t>
                </a:r>
              </a:p>
            </c:rich>
          </c:tx>
          <c:layout>
            <c:manualLayout>
              <c:xMode val="edge"/>
              <c:yMode val="edge"/>
              <c:x val="2.1799445105033691E-2"/>
              <c:y val="0.404511276368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240"/>
        <c:crossesAt val="-0.25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9719737597695222"/>
          <c:y val="0.12571692427335471"/>
          <c:w val="0.17298366836131215"/>
          <c:h val="0.1713283756197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1</xdr:row>
      <xdr:rowOff>91440</xdr:rowOff>
    </xdr:from>
    <xdr:to>
      <xdr:col>24</xdr:col>
      <xdr:colOff>144780</xdr:colOff>
      <xdr:row>16</xdr:row>
      <xdr:rowOff>91440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144780</xdr:colOff>
      <xdr:row>17</xdr:row>
      <xdr:rowOff>53340</xdr:rowOff>
    </xdr:from>
    <xdr:to>
      <xdr:col>24</xdr:col>
      <xdr:colOff>754380</xdr:colOff>
      <xdr:row>32</xdr:row>
      <xdr:rowOff>7620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746760</xdr:colOff>
      <xdr:row>1</xdr:row>
      <xdr:rowOff>129540</xdr:rowOff>
    </xdr:from>
    <xdr:to>
      <xdr:col>32</xdr:col>
      <xdr:colOff>571500</xdr:colOff>
      <xdr:row>23</xdr:row>
      <xdr:rowOff>175260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45720</xdr:colOff>
      <xdr:row>24</xdr:row>
      <xdr:rowOff>45720</xdr:rowOff>
    </xdr:from>
    <xdr:to>
      <xdr:col>31</xdr:col>
      <xdr:colOff>366200</xdr:colOff>
      <xdr:row>39</xdr:row>
      <xdr:rowOff>84065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0940" y="4480560"/>
          <a:ext cx="5075360" cy="2827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"/>
  <sheetViews>
    <sheetView tabSelected="1" topLeftCell="P1" workbookViewId="0">
      <pane ySplit="1" topLeftCell="A2" activePane="bottomLeft" state="frozen"/>
      <selection pane="bottomLeft" activeCell="Q17" sqref="Q17"/>
    </sheetView>
  </sheetViews>
  <sheetFormatPr baseColWidth="10" defaultRowHeight="14.4" x14ac:dyDescent="0.3"/>
  <cols>
    <col min="1" max="2" width="11.5546875" style="8"/>
    <col min="3" max="4" width="0" style="8" hidden="1" customWidth="1"/>
    <col min="5" max="5" width="11.5546875" style="8"/>
    <col min="6" max="6" width="11.5546875" style="8" hidden="1" customWidth="1"/>
    <col min="7" max="7" width="0" style="8" hidden="1" customWidth="1"/>
    <col min="8" max="12" width="11.5546875" style="8" hidden="1" customWidth="1"/>
    <col min="13" max="14" width="11.5546875" style="8"/>
    <col min="16" max="16" width="9.21875" customWidth="1"/>
    <col min="17" max="17" width="6.88671875" customWidth="1"/>
    <col min="18" max="18" width="5" customWidth="1"/>
    <col min="19" max="19" width="4.77734375" customWidth="1"/>
  </cols>
  <sheetData>
    <row r="1" spans="1:31" s="1" customFormat="1" x14ac:dyDescent="0.3">
      <c r="A1" s="3" t="s">
        <v>10</v>
      </c>
      <c r="B1" s="3" t="s">
        <v>106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97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107</v>
      </c>
      <c r="N1" s="3" t="s">
        <v>9</v>
      </c>
      <c r="P1" s="3" t="s">
        <v>98</v>
      </c>
      <c r="Q1" s="3" t="s">
        <v>99</v>
      </c>
      <c r="R1" s="3" t="s">
        <v>100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3">
      <c r="A2" s="8" t="s">
        <v>11</v>
      </c>
      <c r="B2" s="8" t="s">
        <v>98</v>
      </c>
      <c r="C2" s="8">
        <v>384</v>
      </c>
      <c r="D2" s="8">
        <v>0.33718199999999998</v>
      </c>
      <c r="E2" s="8">
        <v>39.049999999999997</v>
      </c>
      <c r="F2" s="8">
        <v>1.026858</v>
      </c>
      <c r="G2" s="8">
        <v>24.165604999999999</v>
      </c>
      <c r="H2" s="8">
        <v>1.13527</v>
      </c>
      <c r="I2" s="8">
        <v>4.55</v>
      </c>
      <c r="J2" s="8">
        <v>1.103753</v>
      </c>
      <c r="K2" s="8">
        <v>1.54</v>
      </c>
      <c r="L2" s="8">
        <v>1.1254090000000001</v>
      </c>
      <c r="M2">
        <v>-3.506E-3</v>
      </c>
      <c r="N2">
        <v>0.60814999999999997</v>
      </c>
    </row>
    <row r="3" spans="1:31" x14ac:dyDescent="0.3">
      <c r="A3" s="8" t="s">
        <v>12</v>
      </c>
      <c r="B3" s="8" t="s">
        <v>98</v>
      </c>
      <c r="C3" s="8">
        <v>680</v>
      </c>
      <c r="D3" s="8">
        <v>0.59709299999999998</v>
      </c>
      <c r="E3" s="8">
        <v>35.32</v>
      </c>
      <c r="F3" s="8">
        <v>0.92877399999999999</v>
      </c>
      <c r="G3" s="8">
        <v>29.277070999999999</v>
      </c>
      <c r="H3" s="8">
        <v>1.017719</v>
      </c>
      <c r="I3" s="8">
        <v>4.1100000000000003</v>
      </c>
      <c r="J3" s="8">
        <v>0.99701700000000004</v>
      </c>
      <c r="K3" s="8">
        <v>1.4</v>
      </c>
      <c r="L3" s="8">
        <v>1.0230999999999999</v>
      </c>
      <c r="M3">
        <v>7.3868000000000003E-2</v>
      </c>
      <c r="N3">
        <v>0.64506200000000002</v>
      </c>
      <c r="P3" s="18"/>
      <c r="Q3">
        <f>COUNTIF(M2:M87,"&gt;-0.10")</f>
        <v>86</v>
      </c>
    </row>
    <row r="4" spans="1:31" x14ac:dyDescent="0.3">
      <c r="A4" s="8" t="s">
        <v>13</v>
      </c>
      <c r="B4" s="8" t="s">
        <v>98</v>
      </c>
      <c r="C4" s="8">
        <v>1399</v>
      </c>
      <c r="D4" s="8">
        <v>1.228432</v>
      </c>
      <c r="E4" s="8">
        <v>40.1</v>
      </c>
      <c r="F4" s="8">
        <v>1.0544690000000001</v>
      </c>
      <c r="G4" s="8">
        <v>26.147155999999999</v>
      </c>
      <c r="H4" s="8">
        <v>1.3301350000000001</v>
      </c>
      <c r="I4" s="8">
        <v>5.19</v>
      </c>
      <c r="J4" s="8">
        <v>1.2590060000000001</v>
      </c>
      <c r="K4" s="8">
        <v>1.72</v>
      </c>
      <c r="L4" s="8">
        <v>1.2569509999999999</v>
      </c>
      <c r="M4">
        <v>5.0209999999999998E-2</v>
      </c>
      <c r="N4">
        <v>0.62349600000000005</v>
      </c>
      <c r="P4" s="19" t="s">
        <v>109</v>
      </c>
      <c r="Q4">
        <f>COUNTIF(M2:M87,"&gt;-0.05")</f>
        <v>85</v>
      </c>
      <c r="R4">
        <f>Q3-Q4</f>
        <v>1</v>
      </c>
    </row>
    <row r="5" spans="1:31" x14ac:dyDescent="0.3">
      <c r="A5" s="8" t="s">
        <v>14</v>
      </c>
      <c r="B5" s="8" t="s">
        <v>98</v>
      </c>
      <c r="C5" s="8">
        <v>1410</v>
      </c>
      <c r="D5" s="8">
        <v>1.2380899999999999</v>
      </c>
      <c r="E5" s="8">
        <v>35.94</v>
      </c>
      <c r="F5" s="8">
        <v>0.94507799999999997</v>
      </c>
      <c r="G5" s="8">
        <v>24.405949</v>
      </c>
      <c r="H5" s="8">
        <v>0.89385700000000001</v>
      </c>
      <c r="I5" s="8">
        <v>3.49</v>
      </c>
      <c r="J5" s="8">
        <v>0.84661500000000001</v>
      </c>
      <c r="K5" s="8">
        <v>1.26</v>
      </c>
      <c r="L5" s="8">
        <v>0.92079</v>
      </c>
      <c r="M5">
        <v>4.8550000000000003E-2</v>
      </c>
      <c r="N5">
        <v>0.607985</v>
      </c>
      <c r="P5" s="19">
        <v>-2.5000000000000001E-2</v>
      </c>
      <c r="Q5">
        <f>COUNTIF(M2:M87,"&gt;-0.025")</f>
        <v>83</v>
      </c>
      <c r="R5">
        <f t="shared" ref="R5:R10" si="0">Q4-Q5</f>
        <v>2</v>
      </c>
    </row>
    <row r="6" spans="1:31" x14ac:dyDescent="0.3">
      <c r="A6" s="8" t="s">
        <v>15</v>
      </c>
      <c r="B6" s="8" t="s">
        <v>98</v>
      </c>
      <c r="C6" s="8">
        <v>1470</v>
      </c>
      <c r="D6" s="8">
        <v>1.290775</v>
      </c>
      <c r="E6" s="8">
        <v>39.08</v>
      </c>
      <c r="F6" s="8">
        <v>1.027647</v>
      </c>
      <c r="G6" s="8">
        <v>23.691127999999999</v>
      </c>
      <c r="H6" s="8">
        <v>1.1155459999999999</v>
      </c>
      <c r="I6" s="8">
        <v>4.72</v>
      </c>
      <c r="J6" s="8">
        <v>1.144992</v>
      </c>
      <c r="K6" s="8">
        <v>1.47</v>
      </c>
      <c r="L6" s="8">
        <v>1.074255</v>
      </c>
      <c r="M6">
        <v>7.6110999999999998E-2</v>
      </c>
      <c r="N6">
        <v>0.62509700000000001</v>
      </c>
      <c r="P6" s="19">
        <v>0</v>
      </c>
      <c r="Q6">
        <f>COUNTIF(M2:M87,"&gt;0.0")</f>
        <v>76</v>
      </c>
      <c r="R6">
        <f t="shared" si="0"/>
        <v>7</v>
      </c>
    </row>
    <row r="7" spans="1:31" x14ac:dyDescent="0.3">
      <c r="A7" s="8" t="s">
        <v>16</v>
      </c>
      <c r="B7" s="8" t="s">
        <v>98</v>
      </c>
      <c r="C7" s="8">
        <v>1890</v>
      </c>
      <c r="D7" s="8">
        <v>1.6595679999999999</v>
      </c>
      <c r="E7" s="8">
        <v>38.520000000000003</v>
      </c>
      <c r="F7" s="8">
        <v>1.012921</v>
      </c>
      <c r="G7" s="8">
        <v>23.322296999999999</v>
      </c>
      <c r="H7" s="8">
        <v>1.0516430000000001</v>
      </c>
      <c r="I7" s="8">
        <v>4.47</v>
      </c>
      <c r="J7" s="8">
        <v>1.084346</v>
      </c>
      <c r="K7" s="8">
        <v>1.54</v>
      </c>
      <c r="L7" s="8">
        <v>1.1254090000000001</v>
      </c>
      <c r="M7">
        <v>-5.0615E-2</v>
      </c>
      <c r="N7">
        <v>0.58260400000000001</v>
      </c>
      <c r="P7" s="19">
        <v>2.5000000000000001E-2</v>
      </c>
      <c r="Q7">
        <f>COUNTIF(M2:M87,"&gt;0.025")</f>
        <v>61</v>
      </c>
      <c r="R7">
        <f t="shared" si="0"/>
        <v>15</v>
      </c>
    </row>
    <row r="8" spans="1:31" x14ac:dyDescent="0.3">
      <c r="A8" s="8" t="s">
        <v>17</v>
      </c>
      <c r="B8" s="8" t="s">
        <v>98</v>
      </c>
      <c r="C8" s="8">
        <v>114</v>
      </c>
      <c r="D8" s="8">
        <v>0.100101</v>
      </c>
      <c r="E8" s="8">
        <v>40.39</v>
      </c>
      <c r="F8" s="8">
        <v>1.062095</v>
      </c>
      <c r="G8" s="8">
        <v>24.039953000000001</v>
      </c>
      <c r="H8" s="8">
        <v>1.2496640000000001</v>
      </c>
      <c r="I8" s="8">
        <v>5.0199999999999996</v>
      </c>
      <c r="J8" s="8">
        <v>1.217767</v>
      </c>
      <c r="K8" s="8">
        <v>1.59</v>
      </c>
      <c r="L8" s="8">
        <v>1.1619489999999999</v>
      </c>
      <c r="M8">
        <v>2.5264999999999999E-2</v>
      </c>
      <c r="N8">
        <v>0.60051900000000002</v>
      </c>
      <c r="P8" s="19">
        <v>0.05</v>
      </c>
      <c r="Q8">
        <f>COUNTIF(M2:M87,"&gt;0.05")</f>
        <v>25</v>
      </c>
      <c r="R8">
        <f t="shared" si="0"/>
        <v>36</v>
      </c>
    </row>
    <row r="9" spans="1:31" x14ac:dyDescent="0.3">
      <c r="A9" s="8" t="s">
        <v>18</v>
      </c>
      <c r="B9" s="8" t="s">
        <v>98</v>
      </c>
      <c r="C9" s="8">
        <v>1579</v>
      </c>
      <c r="D9" s="8">
        <v>1.3864860000000001</v>
      </c>
      <c r="E9" s="8">
        <v>36.85</v>
      </c>
      <c r="F9" s="8">
        <v>0.96900699999999995</v>
      </c>
      <c r="G9" s="8">
        <v>23.241665000000001</v>
      </c>
      <c r="H9" s="8">
        <v>0.91752500000000003</v>
      </c>
      <c r="I9" s="8">
        <v>3.18</v>
      </c>
      <c r="J9" s="8">
        <v>0.77141400000000004</v>
      </c>
      <c r="K9" s="8">
        <v>1.1399999999999999</v>
      </c>
      <c r="L9" s="8">
        <v>0.83309500000000003</v>
      </c>
      <c r="M9">
        <v>5.7069000000000002E-2</v>
      </c>
      <c r="N9">
        <v>0.61611700000000003</v>
      </c>
      <c r="P9" s="19">
        <v>7.4999999999999997E-2</v>
      </c>
      <c r="Q9">
        <f>COUNTIF(M2:M87,"&gt;0.075")</f>
        <v>6</v>
      </c>
      <c r="R9">
        <f t="shared" si="0"/>
        <v>19</v>
      </c>
    </row>
    <row r="10" spans="1:31" x14ac:dyDescent="0.3">
      <c r="A10" s="8" t="s">
        <v>19</v>
      </c>
      <c r="B10" s="8" t="s">
        <v>98</v>
      </c>
      <c r="C10" s="8">
        <v>1560</v>
      </c>
      <c r="D10" s="8">
        <v>1.369802</v>
      </c>
      <c r="E10" s="8">
        <v>38.74</v>
      </c>
      <c r="F10" s="8">
        <v>1.0187059999999999</v>
      </c>
      <c r="G10" s="8">
        <v>22.961614000000001</v>
      </c>
      <c r="H10" s="8">
        <v>1.053221</v>
      </c>
      <c r="I10" s="8">
        <v>4.4400000000000004</v>
      </c>
      <c r="J10" s="8">
        <v>1.0770690000000001</v>
      </c>
      <c r="K10" s="8">
        <v>1.44</v>
      </c>
      <c r="L10" s="8">
        <v>1.0523309999999999</v>
      </c>
      <c r="M10">
        <v>7.5239E-2</v>
      </c>
      <c r="N10">
        <v>0.62522500000000003</v>
      </c>
      <c r="P10" s="19">
        <v>0.1</v>
      </c>
      <c r="Q10">
        <f>COUNTIF(M2:M87,"&gt;0.1")</f>
        <v>0</v>
      </c>
      <c r="R10">
        <f t="shared" si="0"/>
        <v>6</v>
      </c>
    </row>
    <row r="11" spans="1:31" x14ac:dyDescent="0.3">
      <c r="A11" s="8" t="s">
        <v>20</v>
      </c>
      <c r="B11" s="8" t="s">
        <v>98</v>
      </c>
      <c r="C11" s="8">
        <v>420</v>
      </c>
      <c r="D11" s="8">
        <v>0.36879299999999998</v>
      </c>
      <c r="E11" s="8">
        <v>37.28</v>
      </c>
      <c r="F11" s="8">
        <v>0.98031400000000002</v>
      </c>
      <c r="G11" s="8">
        <v>24.473244000000001</v>
      </c>
      <c r="H11" s="8">
        <v>1.0003629999999999</v>
      </c>
      <c r="I11" s="8">
        <v>4.43</v>
      </c>
      <c r="J11" s="8">
        <v>1.074643</v>
      </c>
      <c r="K11" s="8">
        <v>1.45</v>
      </c>
      <c r="L11" s="8">
        <v>1.059639</v>
      </c>
      <c r="M11">
        <v>8.1988000000000005E-2</v>
      </c>
      <c r="N11">
        <v>0.62882099999999996</v>
      </c>
    </row>
    <row r="12" spans="1:31" x14ac:dyDescent="0.3">
      <c r="A12" s="8" t="s">
        <v>21</v>
      </c>
      <c r="B12" s="8" t="s">
        <v>98</v>
      </c>
      <c r="C12" s="8">
        <v>330</v>
      </c>
      <c r="D12" s="8">
        <v>0.28976600000000002</v>
      </c>
      <c r="E12" s="8">
        <v>40.06</v>
      </c>
      <c r="F12" s="8">
        <v>1.053417</v>
      </c>
      <c r="G12" s="8">
        <v>23.861212999999999</v>
      </c>
      <c r="H12" s="8">
        <v>1.210218</v>
      </c>
      <c r="I12" s="8">
        <v>5.27</v>
      </c>
      <c r="J12" s="8">
        <v>1.278413</v>
      </c>
      <c r="K12" s="8">
        <v>1.63</v>
      </c>
      <c r="L12" s="8">
        <v>1.1911799999999999</v>
      </c>
      <c r="M12">
        <v>3.6008999999999999E-2</v>
      </c>
      <c r="N12">
        <v>0.63423399999999996</v>
      </c>
    </row>
    <row r="13" spans="1:31" x14ac:dyDescent="0.3">
      <c r="A13" s="8" t="s">
        <v>22</v>
      </c>
      <c r="B13" s="8" t="s">
        <v>98</v>
      </c>
      <c r="C13" s="8">
        <v>696</v>
      </c>
      <c r="D13" s="8">
        <v>0.61114299999999999</v>
      </c>
      <c r="E13" s="8">
        <v>38.64</v>
      </c>
      <c r="F13" s="8">
        <v>1.0160769999999999</v>
      </c>
      <c r="G13" s="8">
        <v>23.452354</v>
      </c>
      <c r="H13" s="8">
        <v>1.0674220000000001</v>
      </c>
      <c r="I13" s="8">
        <v>4.32</v>
      </c>
      <c r="J13" s="8">
        <v>1.0479590000000001</v>
      </c>
      <c r="K13" s="8">
        <v>1.43</v>
      </c>
      <c r="L13" s="8">
        <v>1.045023</v>
      </c>
      <c r="M13">
        <v>1.0361E-2</v>
      </c>
      <c r="N13">
        <v>0.61960999999999999</v>
      </c>
      <c r="R13" s="2">
        <f>SUM(R2:R11)</f>
        <v>86</v>
      </c>
    </row>
    <row r="14" spans="1:31" x14ac:dyDescent="0.3">
      <c r="A14" s="8" t="s">
        <v>23</v>
      </c>
      <c r="B14" s="8" t="s">
        <v>98</v>
      </c>
      <c r="C14" s="8">
        <v>936</v>
      </c>
      <c r="D14" s="8">
        <v>0.82188099999999997</v>
      </c>
      <c r="E14" s="8">
        <v>36.56</v>
      </c>
      <c r="F14" s="8">
        <v>0.96138100000000004</v>
      </c>
      <c r="G14" s="8">
        <v>29.140125999999999</v>
      </c>
      <c r="H14" s="8">
        <v>1.1234360000000001</v>
      </c>
      <c r="I14" s="8">
        <v>4.34</v>
      </c>
      <c r="J14" s="8">
        <v>1.0528109999999999</v>
      </c>
      <c r="K14" s="8">
        <v>1.36</v>
      </c>
      <c r="L14" s="8">
        <v>0.99386799999999997</v>
      </c>
      <c r="M14">
        <v>3.3397999999999997E-2</v>
      </c>
      <c r="N14">
        <v>0.63687899999999997</v>
      </c>
    </row>
    <row r="15" spans="1:31" x14ac:dyDescent="0.3">
      <c r="A15" s="8" t="s">
        <v>24</v>
      </c>
      <c r="B15" s="8" t="s">
        <v>98</v>
      </c>
      <c r="C15" s="8">
        <v>1464</v>
      </c>
      <c r="D15" s="8">
        <v>1.285507</v>
      </c>
      <c r="E15" s="8">
        <v>37.659999999999997</v>
      </c>
      <c r="F15" s="8">
        <v>0.99030700000000005</v>
      </c>
      <c r="G15" s="8">
        <v>26.211210999999999</v>
      </c>
      <c r="H15" s="8">
        <v>1.104501</v>
      </c>
      <c r="I15" s="8">
        <v>3.73</v>
      </c>
      <c r="J15" s="8">
        <v>0.90483499999999994</v>
      </c>
      <c r="K15" s="8">
        <v>1.39</v>
      </c>
      <c r="L15" s="8">
        <v>1.015792</v>
      </c>
      <c r="M15">
        <v>4.1079999999999997E-3</v>
      </c>
      <c r="N15">
        <v>0.61848199999999998</v>
      </c>
    </row>
    <row r="16" spans="1:31" x14ac:dyDescent="0.3">
      <c r="A16" s="8" t="s">
        <v>25</v>
      </c>
      <c r="B16" s="8" t="s">
        <v>98</v>
      </c>
      <c r="C16" s="8">
        <v>1326</v>
      </c>
      <c r="D16" s="8">
        <v>1.1643319999999999</v>
      </c>
      <c r="E16" s="8">
        <v>39.69</v>
      </c>
      <c r="F16" s="8">
        <v>1.0436879999999999</v>
      </c>
      <c r="G16" s="8">
        <v>22.615496</v>
      </c>
      <c r="H16" s="8">
        <v>1.1155459999999999</v>
      </c>
      <c r="I16" s="8">
        <v>4.05</v>
      </c>
      <c r="J16" s="8">
        <v>0.98246199999999995</v>
      </c>
      <c r="K16" s="8">
        <v>1.37</v>
      </c>
      <c r="L16" s="8">
        <v>1.0011760000000001</v>
      </c>
      <c r="M16">
        <v>-4.28E-3</v>
      </c>
      <c r="N16">
        <v>0.61317600000000005</v>
      </c>
    </row>
    <row r="17" spans="1:22" x14ac:dyDescent="0.3">
      <c r="A17" s="8" t="s">
        <v>26</v>
      </c>
      <c r="B17" s="8" t="s">
        <v>98</v>
      </c>
      <c r="C17" s="8">
        <v>738</v>
      </c>
      <c r="D17" s="8">
        <v>0.64802199999999999</v>
      </c>
      <c r="E17" s="8">
        <v>39.130000000000003</v>
      </c>
      <c r="F17" s="8">
        <v>1.0289619999999999</v>
      </c>
      <c r="G17" s="8">
        <v>25.152647999999999</v>
      </c>
      <c r="H17" s="8">
        <v>1.188917</v>
      </c>
      <c r="I17" s="8">
        <v>4.5999999999999996</v>
      </c>
      <c r="J17" s="8">
        <v>1.115882</v>
      </c>
      <c r="K17" s="8">
        <v>1.47</v>
      </c>
      <c r="L17" s="8">
        <v>1.074255</v>
      </c>
      <c r="M17">
        <v>5.8209999999999998E-2</v>
      </c>
      <c r="N17">
        <v>0.65091699999999997</v>
      </c>
    </row>
    <row r="18" spans="1:22" x14ac:dyDescent="0.3">
      <c r="A18" s="8" t="s">
        <v>27</v>
      </c>
      <c r="B18" s="8" t="s">
        <v>98</v>
      </c>
      <c r="C18" s="8">
        <v>1710</v>
      </c>
      <c r="D18" s="8">
        <v>1.501514</v>
      </c>
      <c r="E18" s="8">
        <v>39.33</v>
      </c>
      <c r="F18" s="8">
        <v>1.0342210000000001</v>
      </c>
      <c r="G18" s="8">
        <v>26.332414</v>
      </c>
      <c r="H18" s="8">
        <v>1.263865</v>
      </c>
      <c r="I18" s="8">
        <v>4.21</v>
      </c>
      <c r="J18" s="8">
        <v>1.0212749999999999</v>
      </c>
      <c r="K18" s="8">
        <v>1.31</v>
      </c>
      <c r="L18" s="8">
        <v>0.95732899999999999</v>
      </c>
      <c r="M18">
        <v>5.9781000000000001E-2</v>
      </c>
      <c r="N18">
        <v>0.64593999999999996</v>
      </c>
    </row>
    <row r="19" spans="1:22" x14ac:dyDescent="0.3">
      <c r="A19" s="8" t="s">
        <v>28</v>
      </c>
      <c r="B19" s="8" t="s">
        <v>98</v>
      </c>
      <c r="C19" s="8">
        <v>1296</v>
      </c>
      <c r="D19" s="8">
        <v>1.1379900000000001</v>
      </c>
      <c r="E19" s="8">
        <v>36.25</v>
      </c>
      <c r="F19" s="8">
        <v>0.95322899999999999</v>
      </c>
      <c r="G19" s="8">
        <v>24.981753999999999</v>
      </c>
      <c r="H19" s="8">
        <v>0.93882600000000005</v>
      </c>
      <c r="I19" s="8">
        <v>3.05</v>
      </c>
      <c r="J19" s="8">
        <v>0.73987800000000004</v>
      </c>
      <c r="K19" s="8">
        <v>1.1200000000000001</v>
      </c>
      <c r="L19" s="8">
        <v>0.81847999999999999</v>
      </c>
      <c r="M19">
        <v>4.6309000000000003E-2</v>
      </c>
      <c r="N19">
        <v>0.63676100000000002</v>
      </c>
    </row>
    <row r="20" spans="1:22" x14ac:dyDescent="0.3">
      <c r="A20" s="8" t="s">
        <v>29</v>
      </c>
      <c r="B20" s="8" t="s">
        <v>98</v>
      </c>
      <c r="C20" s="8">
        <v>1050</v>
      </c>
      <c r="D20" s="8">
        <v>0.92198199999999997</v>
      </c>
      <c r="E20" s="8">
        <v>37.94</v>
      </c>
      <c r="F20" s="8">
        <v>0.99766999999999995</v>
      </c>
      <c r="G20" s="8">
        <v>23.309685999999999</v>
      </c>
      <c r="H20" s="8">
        <v>1.0043070000000001</v>
      </c>
      <c r="I20" s="8">
        <v>4.21</v>
      </c>
      <c r="J20" s="8">
        <v>1.0212749999999999</v>
      </c>
      <c r="K20" s="8">
        <v>1.48</v>
      </c>
      <c r="L20" s="8">
        <v>1.0815619999999999</v>
      </c>
      <c r="M20">
        <v>4.0603E-2</v>
      </c>
      <c r="N20">
        <v>0.63973999999999998</v>
      </c>
    </row>
    <row r="21" spans="1:22" ht="18" x14ac:dyDescent="0.35">
      <c r="A21" s="8" t="s">
        <v>30</v>
      </c>
      <c r="B21" s="8" t="s">
        <v>98</v>
      </c>
      <c r="C21" s="8">
        <v>588</v>
      </c>
      <c r="D21" s="8">
        <v>0.51631000000000005</v>
      </c>
      <c r="E21" s="8">
        <v>37.47</v>
      </c>
      <c r="F21" s="8">
        <v>0.98531100000000005</v>
      </c>
      <c r="G21" s="8">
        <v>22.696204999999999</v>
      </c>
      <c r="H21" s="8">
        <v>0.94198199999999999</v>
      </c>
      <c r="I21" s="8">
        <v>4.3</v>
      </c>
      <c r="J21" s="8">
        <v>1.043107</v>
      </c>
      <c r="K21" s="8">
        <v>1.63</v>
      </c>
      <c r="L21" s="8">
        <v>1.1911799999999999</v>
      </c>
      <c r="M21">
        <v>4.3715999999999998E-2</v>
      </c>
      <c r="N21">
        <v>0.64343099999999998</v>
      </c>
      <c r="V21" s="4"/>
    </row>
    <row r="22" spans="1:22" x14ac:dyDescent="0.3">
      <c r="A22" s="8" t="s">
        <v>31</v>
      </c>
      <c r="B22" s="8" t="s">
        <v>98</v>
      </c>
      <c r="C22" s="8">
        <v>1192</v>
      </c>
      <c r="D22" s="8">
        <v>1.0466690000000001</v>
      </c>
      <c r="E22" s="8">
        <v>35.979999999999997</v>
      </c>
      <c r="F22" s="8">
        <v>0.94613000000000003</v>
      </c>
      <c r="G22" s="8">
        <v>25.462510000000002</v>
      </c>
      <c r="H22" s="8">
        <v>0.93567</v>
      </c>
      <c r="I22" s="8">
        <v>4.03</v>
      </c>
      <c r="J22" s="8">
        <v>0.97760999999999998</v>
      </c>
      <c r="K22" s="8">
        <v>1.36</v>
      </c>
      <c r="L22" s="8">
        <v>0.99386799999999997</v>
      </c>
      <c r="M22">
        <v>2.2761E-2</v>
      </c>
      <c r="N22">
        <v>0.61983699999999997</v>
      </c>
    </row>
    <row r="23" spans="1:22" x14ac:dyDescent="0.3">
      <c r="A23" s="8" t="s">
        <v>32</v>
      </c>
      <c r="B23" s="8" t="s">
        <v>98</v>
      </c>
      <c r="C23" s="8">
        <v>540</v>
      </c>
      <c r="D23" s="8">
        <v>0.47416199999999997</v>
      </c>
      <c r="E23" s="8">
        <v>37.75</v>
      </c>
      <c r="F23" s="8">
        <v>0.99267300000000003</v>
      </c>
      <c r="G23" s="8">
        <v>24.760155000000001</v>
      </c>
      <c r="H23" s="8">
        <v>1.050854</v>
      </c>
      <c r="I23" s="8">
        <v>4.09</v>
      </c>
      <c r="J23" s="8">
        <v>0.99216499999999996</v>
      </c>
      <c r="K23" s="8">
        <v>1.36</v>
      </c>
      <c r="L23" s="8">
        <v>0.99386799999999997</v>
      </c>
      <c r="M23">
        <v>9.9270000000000001E-3</v>
      </c>
      <c r="N23">
        <v>0.61779200000000001</v>
      </c>
    </row>
    <row r="24" spans="1:22" x14ac:dyDescent="0.3">
      <c r="A24" s="8" t="s">
        <v>33</v>
      </c>
      <c r="B24" s="8" t="s">
        <v>98</v>
      </c>
      <c r="C24" s="8">
        <v>390</v>
      </c>
      <c r="D24" s="8">
        <v>0.34245100000000001</v>
      </c>
      <c r="E24" s="8">
        <v>34.35</v>
      </c>
      <c r="F24" s="8">
        <v>0.90326700000000004</v>
      </c>
      <c r="G24" s="8">
        <v>27.140163999999999</v>
      </c>
      <c r="H24" s="8">
        <v>0.86782300000000001</v>
      </c>
      <c r="I24" s="8">
        <v>3.74</v>
      </c>
      <c r="J24" s="8">
        <v>0.90726099999999998</v>
      </c>
      <c r="K24" s="8">
        <v>1.1499999999999999</v>
      </c>
      <c r="L24" s="8">
        <v>0.84040300000000001</v>
      </c>
      <c r="M24">
        <v>3.4058999999999999E-2</v>
      </c>
      <c r="N24">
        <v>0.63406499999999999</v>
      </c>
    </row>
    <row r="25" spans="1:22" x14ac:dyDescent="0.3">
      <c r="A25" s="8" t="s">
        <v>34</v>
      </c>
      <c r="B25" s="8" t="s">
        <v>98</v>
      </c>
      <c r="C25" s="8">
        <v>1093</v>
      </c>
      <c r="D25" s="8">
        <v>0.95974000000000004</v>
      </c>
      <c r="E25" s="8">
        <v>39.549999999999997</v>
      </c>
      <c r="F25" s="8">
        <v>1.040006</v>
      </c>
      <c r="G25" s="8">
        <v>18.896225000000001</v>
      </c>
      <c r="H25" s="8">
        <v>0.92225900000000005</v>
      </c>
      <c r="I25" s="8">
        <v>1.96</v>
      </c>
      <c r="J25" s="8">
        <v>0.47546300000000002</v>
      </c>
      <c r="K25" s="8">
        <v>1.48</v>
      </c>
      <c r="L25" s="8">
        <v>1.0815619999999999</v>
      </c>
      <c r="M25">
        <v>2.8809999999999999E-2</v>
      </c>
      <c r="N25">
        <v>0.63314499999999996</v>
      </c>
    </row>
    <row r="26" spans="1:22" x14ac:dyDescent="0.3">
      <c r="A26" s="8" t="s">
        <v>35</v>
      </c>
      <c r="B26" s="8" t="s">
        <v>98</v>
      </c>
      <c r="C26" s="8">
        <v>375</v>
      </c>
      <c r="D26" s="8">
        <v>0.32927899999999999</v>
      </c>
      <c r="E26" s="8">
        <v>40.17</v>
      </c>
      <c r="F26" s="8">
        <v>1.0563100000000001</v>
      </c>
      <c r="G26" s="8">
        <v>20.780792000000002</v>
      </c>
      <c r="H26" s="8">
        <v>1.0626880000000001</v>
      </c>
      <c r="I26" s="8">
        <v>5.56</v>
      </c>
      <c r="J26" s="8">
        <v>1.348762</v>
      </c>
      <c r="K26" s="8">
        <v>1.77</v>
      </c>
      <c r="L26" s="8">
        <v>1.29349</v>
      </c>
      <c r="M26">
        <v>4.5182E-2</v>
      </c>
      <c r="N26">
        <v>0.63078900000000004</v>
      </c>
    </row>
    <row r="27" spans="1:22" x14ac:dyDescent="0.3">
      <c r="A27" s="8" t="s">
        <v>36</v>
      </c>
      <c r="B27" s="8" t="s">
        <v>98</v>
      </c>
      <c r="C27" s="8">
        <v>337</v>
      </c>
      <c r="D27" s="8">
        <v>0.29591200000000001</v>
      </c>
      <c r="E27" s="8">
        <v>38.549999999999997</v>
      </c>
      <c r="F27" s="8">
        <v>1.0137100000000001</v>
      </c>
      <c r="G27" s="8">
        <v>18.799337999999999</v>
      </c>
      <c r="H27" s="8">
        <v>0.84967700000000002</v>
      </c>
      <c r="I27" s="8">
        <v>3.85</v>
      </c>
      <c r="J27" s="8">
        <v>0.93394500000000003</v>
      </c>
      <c r="K27" s="8">
        <v>1.43</v>
      </c>
      <c r="L27" s="8">
        <v>1.045023</v>
      </c>
      <c r="M27">
        <v>-2.405E-3</v>
      </c>
      <c r="N27">
        <v>0.61239100000000002</v>
      </c>
    </row>
    <row r="28" spans="1:22" x14ac:dyDescent="0.3">
      <c r="A28" s="8" t="s">
        <v>37</v>
      </c>
      <c r="B28" s="8" t="s">
        <v>98</v>
      </c>
      <c r="C28" s="8">
        <v>1512</v>
      </c>
      <c r="D28" s="8">
        <v>1.3276539999999999</v>
      </c>
      <c r="E28" s="8">
        <v>40.6</v>
      </c>
      <c r="F28" s="8">
        <v>1.067617</v>
      </c>
      <c r="G28" s="8">
        <v>17.661978999999999</v>
      </c>
      <c r="H28" s="8">
        <v>0.93251499999999998</v>
      </c>
      <c r="I28" s="8">
        <v>4.29</v>
      </c>
      <c r="J28" s="8">
        <v>1.040681</v>
      </c>
      <c r="K28" s="8">
        <v>1.47</v>
      </c>
      <c r="L28" s="8">
        <v>1.074255</v>
      </c>
      <c r="M28">
        <v>3.8150999999999997E-2</v>
      </c>
      <c r="N28">
        <v>0.63205599999999995</v>
      </c>
    </row>
    <row r="29" spans="1:22" x14ac:dyDescent="0.3">
      <c r="A29" s="8" t="s">
        <v>38</v>
      </c>
      <c r="B29" s="8" t="s">
        <v>98</v>
      </c>
      <c r="C29" s="8">
        <v>4312</v>
      </c>
      <c r="D29" s="8">
        <v>3.7862740000000001</v>
      </c>
      <c r="E29" s="8">
        <v>44.66</v>
      </c>
      <c r="F29" s="8">
        <v>1.1743790000000001</v>
      </c>
      <c r="G29" s="8">
        <v>18.299171999999999</v>
      </c>
      <c r="H29" s="8">
        <v>1.285955</v>
      </c>
      <c r="I29" s="8">
        <v>5.17</v>
      </c>
      <c r="J29" s="8">
        <v>1.2541549999999999</v>
      </c>
      <c r="K29" s="8">
        <v>1.59</v>
      </c>
      <c r="L29" s="8">
        <v>1.1619489999999999</v>
      </c>
      <c r="M29">
        <v>-8.5079999999999999E-3</v>
      </c>
      <c r="N29">
        <v>0.60788900000000001</v>
      </c>
    </row>
    <row r="30" spans="1:22" x14ac:dyDescent="0.3">
      <c r="A30" s="8" t="s">
        <v>39</v>
      </c>
      <c r="B30" s="8" t="s">
        <v>98</v>
      </c>
      <c r="C30" s="8">
        <v>318</v>
      </c>
      <c r="D30" s="8">
        <v>0.279229</v>
      </c>
      <c r="E30" s="8">
        <v>39.61</v>
      </c>
      <c r="F30" s="8">
        <v>1.0415840000000001</v>
      </c>
      <c r="G30" s="8">
        <v>21.014963999999999</v>
      </c>
      <c r="H30" s="8">
        <v>1.0303420000000001</v>
      </c>
      <c r="I30" s="8">
        <v>4.57</v>
      </c>
      <c r="J30" s="8">
        <v>1.1086050000000001</v>
      </c>
      <c r="K30" s="8">
        <v>1.37</v>
      </c>
      <c r="L30" s="8">
        <v>1.0011760000000001</v>
      </c>
      <c r="M30">
        <v>2.845E-2</v>
      </c>
      <c r="N30">
        <v>0.63780599999999998</v>
      </c>
    </row>
    <row r="31" spans="1:22" x14ac:dyDescent="0.3">
      <c r="A31" s="8" t="s">
        <v>40</v>
      </c>
      <c r="B31" s="8" t="s">
        <v>98</v>
      </c>
      <c r="C31" s="8">
        <v>3062</v>
      </c>
      <c r="D31" s="8">
        <v>2.6886760000000001</v>
      </c>
      <c r="E31" s="8">
        <v>41.72</v>
      </c>
      <c r="F31" s="8">
        <v>1.0970679999999999</v>
      </c>
      <c r="G31" s="8">
        <v>14.941591000000001</v>
      </c>
      <c r="H31" s="8">
        <v>0.855989</v>
      </c>
      <c r="I31" s="8">
        <v>4.0599999999999996</v>
      </c>
      <c r="J31" s="8">
        <v>0.98488699999999996</v>
      </c>
      <c r="K31" s="8">
        <v>1.37</v>
      </c>
      <c r="L31" s="8">
        <v>1.0011760000000001</v>
      </c>
      <c r="M31">
        <v>4.1787999999999999E-2</v>
      </c>
      <c r="N31">
        <v>0.64272799999999997</v>
      </c>
    </row>
    <row r="32" spans="1:22" x14ac:dyDescent="0.3">
      <c r="A32" s="8" t="s">
        <v>41</v>
      </c>
      <c r="B32" s="8" t="s">
        <v>98</v>
      </c>
      <c r="C32" s="8">
        <v>637</v>
      </c>
      <c r="D32" s="8">
        <v>0.55933600000000006</v>
      </c>
      <c r="E32" s="8">
        <v>38.04</v>
      </c>
      <c r="F32" s="8">
        <v>1.000299</v>
      </c>
      <c r="G32" s="8">
        <v>23.689509000000001</v>
      </c>
      <c r="H32" s="8">
        <v>1.028764</v>
      </c>
      <c r="I32" s="8">
        <v>4.7</v>
      </c>
      <c r="J32" s="8">
        <v>1.1401410000000001</v>
      </c>
      <c r="K32" s="8">
        <v>1.49</v>
      </c>
      <c r="L32" s="8">
        <v>1.08887</v>
      </c>
      <c r="M32">
        <v>-3.4924999999999998E-2</v>
      </c>
      <c r="N32">
        <v>0.59910099999999999</v>
      </c>
    </row>
    <row r="33" spans="1:25" x14ac:dyDescent="0.3">
      <c r="A33" s="8" t="s">
        <v>42</v>
      </c>
      <c r="B33" s="8" t="s">
        <v>98</v>
      </c>
      <c r="C33" s="8">
        <v>2212</v>
      </c>
      <c r="D33" s="8">
        <v>1.9423090000000001</v>
      </c>
      <c r="E33" s="8">
        <v>39.020000000000003</v>
      </c>
      <c r="F33" s="8">
        <v>1.0260689999999999</v>
      </c>
      <c r="G33" s="8">
        <v>16.697438999999999</v>
      </c>
      <c r="H33" s="8">
        <v>0.78261800000000004</v>
      </c>
      <c r="I33" s="8">
        <v>4</v>
      </c>
      <c r="J33" s="8">
        <v>0.97033199999999997</v>
      </c>
      <c r="K33" s="8">
        <v>1.41</v>
      </c>
      <c r="L33" s="8">
        <v>1.0304070000000001</v>
      </c>
      <c r="M33">
        <v>6.4011999999999999E-2</v>
      </c>
      <c r="N33">
        <v>0.64664600000000005</v>
      </c>
    </row>
    <row r="34" spans="1:25" x14ac:dyDescent="0.3">
      <c r="A34" s="8" t="s">
        <v>43</v>
      </c>
      <c r="B34" s="8" t="s">
        <v>98</v>
      </c>
      <c r="C34" s="8">
        <v>487</v>
      </c>
      <c r="D34" s="8">
        <v>0.427624</v>
      </c>
      <c r="E34" s="8">
        <v>37.06</v>
      </c>
      <c r="F34" s="8">
        <v>0.97452899999999998</v>
      </c>
      <c r="G34" s="8">
        <v>21.670017999999999</v>
      </c>
      <c r="H34" s="8">
        <v>0.87018899999999999</v>
      </c>
      <c r="I34" s="8">
        <v>4.05</v>
      </c>
      <c r="J34" s="8">
        <v>0.98246199999999995</v>
      </c>
      <c r="K34" s="8">
        <v>1.41</v>
      </c>
      <c r="L34" s="8">
        <v>1.0304070000000001</v>
      </c>
      <c r="M34">
        <v>5.4703000000000002E-2</v>
      </c>
      <c r="N34">
        <v>0.64452399999999999</v>
      </c>
    </row>
    <row r="35" spans="1:25" ht="18" x14ac:dyDescent="0.35">
      <c r="A35" s="8" t="s">
        <v>44</v>
      </c>
      <c r="B35" s="8" t="s">
        <v>98</v>
      </c>
      <c r="C35" s="8">
        <v>637</v>
      </c>
      <c r="D35" s="8">
        <v>0.55933600000000006</v>
      </c>
      <c r="E35" s="8">
        <v>39.08</v>
      </c>
      <c r="F35" s="8">
        <v>1.027647</v>
      </c>
      <c r="G35" s="8">
        <v>20.574756000000001</v>
      </c>
      <c r="H35" s="8">
        <v>0.96880599999999994</v>
      </c>
      <c r="I35" s="8">
        <v>4.54</v>
      </c>
      <c r="J35" s="8">
        <v>1.1013269999999999</v>
      </c>
      <c r="K35" s="8">
        <v>1.45</v>
      </c>
      <c r="L35" s="8">
        <v>1.059639</v>
      </c>
      <c r="M35">
        <v>2.5969999999999999E-3</v>
      </c>
      <c r="N35">
        <v>0.615977</v>
      </c>
      <c r="P35" s="4"/>
      <c r="Q35" s="4"/>
    </row>
    <row r="36" spans="1:25" x14ac:dyDescent="0.3">
      <c r="A36" s="8" t="s">
        <v>45</v>
      </c>
      <c r="B36" s="8" t="s">
        <v>98</v>
      </c>
      <c r="C36" s="8">
        <v>1762</v>
      </c>
      <c r="D36" s="8">
        <v>1.547174</v>
      </c>
      <c r="E36" s="8">
        <v>36.57</v>
      </c>
      <c r="F36" s="8">
        <v>0.96164400000000005</v>
      </c>
      <c r="G36" s="8">
        <v>19.42445</v>
      </c>
      <c r="H36" s="8">
        <v>0.74948300000000001</v>
      </c>
      <c r="I36" s="8">
        <v>3.69</v>
      </c>
      <c r="J36" s="8">
        <v>0.89513200000000004</v>
      </c>
      <c r="K36" s="8">
        <v>1.59</v>
      </c>
      <c r="L36" s="8">
        <v>1.1619489999999999</v>
      </c>
      <c r="M36">
        <v>6.0472999999999999E-2</v>
      </c>
      <c r="N36">
        <v>0.63417800000000002</v>
      </c>
      <c r="T36" s="2"/>
      <c r="U36" s="2"/>
      <c r="V36" s="2"/>
    </row>
    <row r="37" spans="1:25" x14ac:dyDescent="0.3">
      <c r="A37" s="8" t="s">
        <v>46</v>
      </c>
      <c r="B37" s="8" t="s">
        <v>98</v>
      </c>
      <c r="C37" s="8">
        <v>1475</v>
      </c>
      <c r="D37" s="8">
        <v>1.295166</v>
      </c>
      <c r="E37" s="8">
        <v>36.21</v>
      </c>
      <c r="F37" s="8">
        <v>0.95217799999999997</v>
      </c>
      <c r="G37" s="8">
        <v>21.441848</v>
      </c>
      <c r="H37" s="8">
        <v>0.80313000000000001</v>
      </c>
      <c r="I37" s="8">
        <v>3.31</v>
      </c>
      <c r="J37" s="8">
        <v>0.80295000000000005</v>
      </c>
      <c r="K37" s="8">
        <v>1.1200000000000001</v>
      </c>
      <c r="L37" s="8">
        <v>0.81847999999999999</v>
      </c>
      <c r="M37">
        <v>4.3618999999999998E-2</v>
      </c>
      <c r="N37">
        <v>0.62997400000000003</v>
      </c>
      <c r="T37" s="2"/>
      <c r="U37" s="7"/>
      <c r="V37" s="2"/>
    </row>
    <row r="38" spans="1:25" x14ac:dyDescent="0.3">
      <c r="A38" s="8" t="s">
        <v>47</v>
      </c>
      <c r="B38" s="8" t="s">
        <v>98</v>
      </c>
      <c r="C38" s="8">
        <v>3500</v>
      </c>
      <c r="D38" s="8">
        <v>3.0732740000000001</v>
      </c>
      <c r="E38" s="8">
        <v>40.44</v>
      </c>
      <c r="F38" s="8">
        <v>1.06341</v>
      </c>
      <c r="G38" s="8">
        <v>16.345275999999998</v>
      </c>
      <c r="H38" s="8">
        <v>0.85283299999999995</v>
      </c>
      <c r="I38" s="8">
        <v>4.1500000000000004</v>
      </c>
      <c r="J38" s="8">
        <v>1.0067200000000001</v>
      </c>
      <c r="K38" s="8">
        <v>1.3</v>
      </c>
      <c r="L38" s="8">
        <v>0.950021</v>
      </c>
      <c r="M38">
        <v>-1.231E-2</v>
      </c>
      <c r="N38">
        <v>0.61239900000000003</v>
      </c>
      <c r="T38" s="2"/>
      <c r="U38" s="7"/>
      <c r="V38" s="2"/>
    </row>
    <row r="39" spans="1:25" x14ac:dyDescent="0.3">
      <c r="A39" s="8" t="s">
        <v>48</v>
      </c>
      <c r="B39" s="8" t="s">
        <v>98</v>
      </c>
      <c r="C39" s="8">
        <v>600</v>
      </c>
      <c r="D39" s="8">
        <v>0.52684699999999995</v>
      </c>
      <c r="E39" s="8">
        <v>37.49</v>
      </c>
      <c r="F39" s="8">
        <v>0.98583600000000005</v>
      </c>
      <c r="G39" s="8">
        <v>19.338726000000001</v>
      </c>
      <c r="H39" s="8">
        <v>0.80391900000000005</v>
      </c>
      <c r="I39" s="8">
        <v>3.97</v>
      </c>
      <c r="J39" s="8">
        <v>0.96305499999999999</v>
      </c>
      <c r="K39" s="8">
        <v>1.22</v>
      </c>
      <c r="L39" s="8">
        <v>0.89155799999999996</v>
      </c>
      <c r="M39">
        <v>-2.3195E-2</v>
      </c>
      <c r="N39">
        <v>0.61412100000000003</v>
      </c>
      <c r="T39" s="2"/>
      <c r="U39" s="7"/>
      <c r="V39" s="2"/>
    </row>
    <row r="40" spans="1:25" x14ac:dyDescent="0.3">
      <c r="A40" s="8" t="s">
        <v>49</v>
      </c>
      <c r="B40" s="8" t="s">
        <v>98</v>
      </c>
      <c r="C40" s="8">
        <v>1925</v>
      </c>
      <c r="D40" s="8">
        <v>1.6903010000000001</v>
      </c>
      <c r="E40" s="8">
        <v>35.79</v>
      </c>
      <c r="F40" s="8">
        <v>0.941133</v>
      </c>
      <c r="G40" s="8">
        <v>21.638470999999999</v>
      </c>
      <c r="H40" s="8">
        <v>0.78261800000000004</v>
      </c>
      <c r="I40" s="8">
        <v>3.14</v>
      </c>
      <c r="J40" s="8">
        <v>0.76171100000000003</v>
      </c>
      <c r="K40" s="8">
        <v>1.18</v>
      </c>
      <c r="L40" s="8">
        <v>0.86232699999999995</v>
      </c>
      <c r="M40">
        <v>2.2683999999999999E-2</v>
      </c>
      <c r="N40">
        <v>0.62877799999999995</v>
      </c>
      <c r="T40" s="2"/>
      <c r="U40" s="2"/>
      <c r="V40" s="2"/>
    </row>
    <row r="41" spans="1:25" x14ac:dyDescent="0.3">
      <c r="A41" s="8" t="s">
        <v>50</v>
      </c>
      <c r="B41" s="8" t="s">
        <v>98</v>
      </c>
      <c r="C41" s="8">
        <v>137</v>
      </c>
      <c r="D41" s="8">
        <v>0.120297</v>
      </c>
      <c r="E41" s="8">
        <v>36.81</v>
      </c>
      <c r="F41" s="8">
        <v>0.96795500000000001</v>
      </c>
      <c r="G41" s="8">
        <v>24.600680000000001</v>
      </c>
      <c r="H41" s="8">
        <v>0.96801700000000002</v>
      </c>
      <c r="I41" s="8">
        <v>2.69</v>
      </c>
      <c r="J41" s="8">
        <v>0.65254900000000005</v>
      </c>
      <c r="K41" s="8">
        <v>0.72</v>
      </c>
      <c r="L41" s="8">
        <v>0.52616499999999999</v>
      </c>
      <c r="M41">
        <v>2.8518999999999999E-2</v>
      </c>
      <c r="N41">
        <v>0.62371699999999997</v>
      </c>
    </row>
    <row r="42" spans="1:25" x14ac:dyDescent="0.3">
      <c r="A42" s="8" t="s">
        <v>51</v>
      </c>
      <c r="B42" s="8" t="s">
        <v>98</v>
      </c>
      <c r="C42" s="8">
        <v>590</v>
      </c>
      <c r="D42" s="8">
        <v>0.51806600000000003</v>
      </c>
      <c r="E42" s="8">
        <v>35.61</v>
      </c>
      <c r="F42" s="8">
        <v>0.93640000000000001</v>
      </c>
      <c r="G42" s="8">
        <v>27.393894</v>
      </c>
      <c r="H42" s="8">
        <v>0.97590600000000005</v>
      </c>
      <c r="I42" s="8">
        <v>3.7</v>
      </c>
      <c r="J42" s="8">
        <v>0.89755700000000005</v>
      </c>
      <c r="K42" s="8">
        <v>1</v>
      </c>
      <c r="L42" s="8">
        <v>0.73078500000000002</v>
      </c>
      <c r="M42">
        <v>5.4627000000000002E-2</v>
      </c>
      <c r="N42">
        <v>0.64410299999999998</v>
      </c>
      <c r="T42" s="2"/>
    </row>
    <row r="43" spans="1:25" x14ac:dyDescent="0.3">
      <c r="A43" s="8" t="s">
        <v>52</v>
      </c>
      <c r="B43" s="8" t="s">
        <v>98</v>
      </c>
      <c r="C43" s="8">
        <v>480</v>
      </c>
      <c r="D43" s="8">
        <v>0.42147800000000002</v>
      </c>
      <c r="E43" s="8">
        <v>34.46</v>
      </c>
      <c r="F43" s="8">
        <v>0.90615999999999997</v>
      </c>
      <c r="G43" s="8">
        <v>31.255375999999998</v>
      </c>
      <c r="H43" s="8">
        <v>1.0090410000000001</v>
      </c>
      <c r="I43" s="8">
        <v>3.79</v>
      </c>
      <c r="J43" s="8">
        <v>0.91939000000000004</v>
      </c>
      <c r="K43" s="8">
        <v>1.1000000000000001</v>
      </c>
      <c r="L43" s="8">
        <v>0.80386400000000002</v>
      </c>
      <c r="M43">
        <v>3.2807999999999997E-2</v>
      </c>
      <c r="N43">
        <v>0.63214800000000004</v>
      </c>
      <c r="W43" s="2"/>
    </row>
    <row r="44" spans="1:25" x14ac:dyDescent="0.3">
      <c r="A44" s="8" t="s">
        <v>53</v>
      </c>
      <c r="B44" s="8" t="s">
        <v>98</v>
      </c>
      <c r="C44" s="8">
        <v>686</v>
      </c>
      <c r="D44" s="8">
        <v>0.60236199999999995</v>
      </c>
      <c r="E44" s="8">
        <v>40.56</v>
      </c>
      <c r="F44" s="8">
        <v>1.066565</v>
      </c>
      <c r="G44" s="8">
        <v>23.199418999999999</v>
      </c>
      <c r="H44" s="8">
        <v>1.221263</v>
      </c>
      <c r="I44" s="8">
        <v>4.8</v>
      </c>
      <c r="J44" s="8">
        <v>1.164399</v>
      </c>
      <c r="K44" s="8">
        <v>1.29</v>
      </c>
      <c r="L44" s="8">
        <v>0.94271300000000002</v>
      </c>
      <c r="M44">
        <v>4.6455999999999997E-2</v>
      </c>
      <c r="N44">
        <v>0.63556000000000001</v>
      </c>
      <c r="W44" s="2"/>
    </row>
    <row r="45" spans="1:25" x14ac:dyDescent="0.3">
      <c r="A45" s="8" t="s">
        <v>54</v>
      </c>
      <c r="B45" s="8" t="s">
        <v>98</v>
      </c>
      <c r="C45" s="8">
        <v>298</v>
      </c>
      <c r="D45" s="8">
        <v>0.26166699999999998</v>
      </c>
      <c r="E45" s="8">
        <v>36.86</v>
      </c>
      <c r="F45" s="8">
        <v>0.96926999999999996</v>
      </c>
      <c r="G45" s="8">
        <v>24.880096000000002</v>
      </c>
      <c r="H45" s="8">
        <v>0.98300600000000005</v>
      </c>
      <c r="I45" s="8">
        <v>4.54</v>
      </c>
      <c r="J45" s="8">
        <v>1.1013269999999999</v>
      </c>
      <c r="K45" s="8">
        <v>1.45</v>
      </c>
      <c r="L45" s="8">
        <v>1.059639</v>
      </c>
      <c r="M45">
        <v>8.3929999999999994E-3</v>
      </c>
      <c r="N45">
        <v>0.62275000000000003</v>
      </c>
      <c r="W45" s="2"/>
    </row>
    <row r="46" spans="1:25" x14ac:dyDescent="0.3">
      <c r="A46" s="13" t="s">
        <v>55</v>
      </c>
      <c r="B46" s="13" t="s">
        <v>108</v>
      </c>
      <c r="C46" s="13">
        <v>384</v>
      </c>
      <c r="D46" s="13">
        <v>0.33718199999999998</v>
      </c>
      <c r="E46" s="13">
        <v>41.3</v>
      </c>
      <c r="F46" s="13">
        <v>1.0860240000000001</v>
      </c>
      <c r="G46" s="13">
        <v>21.321598999999999</v>
      </c>
      <c r="H46" s="13">
        <v>1.1849719999999999</v>
      </c>
      <c r="I46" s="13">
        <v>5.07</v>
      </c>
      <c r="J46" s="13">
        <v>1.2298960000000001</v>
      </c>
      <c r="K46" s="13">
        <v>1.57</v>
      </c>
      <c r="L46" s="13">
        <v>1.1473329999999999</v>
      </c>
      <c r="M46">
        <v>-3.2795999999999999E-2</v>
      </c>
      <c r="N46">
        <v>0.58335499999999996</v>
      </c>
      <c r="T46" s="2"/>
      <c r="X46" s="2"/>
      <c r="Y46" s="2"/>
    </row>
    <row r="47" spans="1:25" x14ac:dyDescent="0.3">
      <c r="A47" s="13" t="s">
        <v>56</v>
      </c>
      <c r="B47" s="13" t="s">
        <v>108</v>
      </c>
      <c r="C47" s="13">
        <v>680</v>
      </c>
      <c r="D47" s="13">
        <v>0.59709299999999998</v>
      </c>
      <c r="E47" s="13">
        <v>41.22</v>
      </c>
      <c r="F47" s="13">
        <v>1.08392</v>
      </c>
      <c r="G47" s="13">
        <v>21.503097</v>
      </c>
      <c r="H47" s="13">
        <v>1.1881280000000001</v>
      </c>
      <c r="I47" s="13">
        <v>4.84</v>
      </c>
      <c r="J47" s="13">
        <v>1.174102</v>
      </c>
      <c r="K47" s="13">
        <v>1.5</v>
      </c>
      <c r="L47" s="13">
        <v>1.0961780000000001</v>
      </c>
      <c r="M47">
        <v>6.5534999999999996E-2</v>
      </c>
      <c r="N47">
        <v>0.61324400000000001</v>
      </c>
    </row>
    <row r="48" spans="1:25" x14ac:dyDescent="0.3">
      <c r="A48" s="13" t="s">
        <v>57</v>
      </c>
      <c r="B48" s="13" t="s">
        <v>108</v>
      </c>
      <c r="C48" s="13">
        <v>1399</v>
      </c>
      <c r="D48" s="13">
        <v>1.228432</v>
      </c>
      <c r="E48" s="13">
        <v>35.130000000000003</v>
      </c>
      <c r="F48" s="13">
        <v>0.92377799999999999</v>
      </c>
      <c r="G48" s="13">
        <v>29.524021999999999</v>
      </c>
      <c r="H48" s="13">
        <v>1.00983</v>
      </c>
      <c r="I48" s="13">
        <v>3.77</v>
      </c>
      <c r="J48" s="13">
        <v>0.91453799999999996</v>
      </c>
      <c r="K48" s="13">
        <v>1.21</v>
      </c>
      <c r="L48" s="13">
        <v>0.88424999999999998</v>
      </c>
      <c r="M48">
        <v>4.8725999999999998E-2</v>
      </c>
      <c r="N48">
        <v>0.59259300000000004</v>
      </c>
    </row>
    <row r="49" spans="1:28" x14ac:dyDescent="0.3">
      <c r="A49" s="13" t="s">
        <v>58</v>
      </c>
      <c r="B49" s="13" t="s">
        <v>108</v>
      </c>
      <c r="C49" s="13">
        <v>1410</v>
      </c>
      <c r="D49" s="13">
        <v>1.2380899999999999</v>
      </c>
      <c r="E49" s="13">
        <v>40.96</v>
      </c>
      <c r="F49" s="13">
        <v>1.0770839999999999</v>
      </c>
      <c r="G49" s="13">
        <v>24.709152</v>
      </c>
      <c r="H49" s="13">
        <v>1.339602</v>
      </c>
      <c r="I49" s="13">
        <v>5.12</v>
      </c>
      <c r="J49" s="13">
        <v>1.2420249999999999</v>
      </c>
      <c r="K49" s="13">
        <v>1.59</v>
      </c>
      <c r="L49" s="13">
        <v>1.1619489999999999</v>
      </c>
      <c r="M49">
        <v>2.9079000000000001E-2</v>
      </c>
      <c r="N49">
        <v>0.61993799999999999</v>
      </c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">
      <c r="A50" s="13" t="s">
        <v>59</v>
      </c>
      <c r="B50" s="13" t="s">
        <v>108</v>
      </c>
      <c r="C50" s="13">
        <v>1470</v>
      </c>
      <c r="D50" s="13">
        <v>1.290775</v>
      </c>
      <c r="E50" s="13">
        <v>38.08</v>
      </c>
      <c r="F50" s="13">
        <v>1.0013510000000001</v>
      </c>
      <c r="G50" s="13">
        <v>27.526612</v>
      </c>
      <c r="H50" s="13">
        <v>1.199173</v>
      </c>
      <c r="I50" s="13">
        <v>4.8899999999999997</v>
      </c>
      <c r="J50" s="13">
        <v>1.186231</v>
      </c>
      <c r="K50" s="13">
        <v>1.61</v>
      </c>
      <c r="L50" s="13">
        <v>1.1765639999999999</v>
      </c>
      <c r="M50">
        <v>3.6470000000000002E-2</v>
      </c>
      <c r="N50">
        <v>0.62754699999999997</v>
      </c>
      <c r="T50" s="2"/>
      <c r="U50" s="5"/>
      <c r="V50" s="5"/>
      <c r="W50" s="6"/>
      <c r="X50" s="5"/>
      <c r="Y50" s="5"/>
      <c r="Z50" s="5"/>
      <c r="AA50" s="5"/>
      <c r="AB50" s="5"/>
    </row>
    <row r="51" spans="1:28" x14ac:dyDescent="0.3">
      <c r="A51" s="13" t="s">
        <v>60</v>
      </c>
      <c r="B51" s="13" t="s">
        <v>108</v>
      </c>
      <c r="C51" s="13">
        <v>1890</v>
      </c>
      <c r="D51" s="13">
        <v>1.6595679999999999</v>
      </c>
      <c r="E51" s="13">
        <v>40.71</v>
      </c>
      <c r="F51" s="13">
        <v>1.0705100000000001</v>
      </c>
      <c r="G51" s="13">
        <v>20.187093999999998</v>
      </c>
      <c r="H51" s="13">
        <v>1.074522</v>
      </c>
      <c r="I51" s="13">
        <v>4.83</v>
      </c>
      <c r="J51" s="13">
        <v>1.1716759999999999</v>
      </c>
      <c r="K51" s="13">
        <v>1.42</v>
      </c>
      <c r="L51" s="13">
        <v>1.0377149999999999</v>
      </c>
      <c r="M51">
        <v>-5.241E-3</v>
      </c>
      <c r="N51">
        <v>0.61631199999999997</v>
      </c>
      <c r="T51" s="2"/>
      <c r="U51" s="5"/>
      <c r="V51" s="5"/>
      <c r="W51" s="6"/>
      <c r="X51" s="5"/>
      <c r="Y51" s="5"/>
      <c r="Z51" s="5"/>
      <c r="AA51" s="5"/>
      <c r="AB51" s="5"/>
    </row>
    <row r="52" spans="1:28" x14ac:dyDescent="0.3">
      <c r="A52" s="13" t="s">
        <v>61</v>
      </c>
      <c r="B52" s="13" t="s">
        <v>108</v>
      </c>
      <c r="C52" s="13">
        <v>1579</v>
      </c>
      <c r="D52" s="13">
        <v>1.3864860000000001</v>
      </c>
      <c r="E52" s="13">
        <v>39.729999999999997</v>
      </c>
      <c r="F52" s="13">
        <v>1.0447390000000001</v>
      </c>
      <c r="G52" s="13">
        <v>25.513162000000001</v>
      </c>
      <c r="H52" s="13">
        <v>1.2622869999999999</v>
      </c>
      <c r="I52" s="13">
        <v>5.39</v>
      </c>
      <c r="J52" s="13">
        <v>1.307523</v>
      </c>
      <c r="K52" s="13">
        <v>1.7</v>
      </c>
      <c r="L52" s="13">
        <v>1.242335</v>
      </c>
      <c r="M52">
        <v>9.4783000000000006E-2</v>
      </c>
      <c r="N52">
        <v>0.60471699999999995</v>
      </c>
      <c r="T52" s="2"/>
      <c r="U52" s="5"/>
      <c r="V52" s="5"/>
      <c r="W52" s="6"/>
      <c r="X52" s="5"/>
      <c r="Y52" s="5"/>
      <c r="Z52" s="5"/>
      <c r="AA52" s="5"/>
      <c r="AB52" s="5"/>
    </row>
    <row r="53" spans="1:28" x14ac:dyDescent="0.3">
      <c r="A53" s="13" t="s">
        <v>62</v>
      </c>
      <c r="B53" s="13" t="s">
        <v>108</v>
      </c>
      <c r="C53" s="13">
        <v>1560</v>
      </c>
      <c r="D53" s="13">
        <v>1.369802</v>
      </c>
      <c r="E53" s="13">
        <v>36.1</v>
      </c>
      <c r="F53" s="13">
        <v>0.94928500000000005</v>
      </c>
      <c r="G53" s="13">
        <v>40.046014</v>
      </c>
      <c r="H53" s="13">
        <v>1.486343</v>
      </c>
      <c r="I53" s="13">
        <v>3.54</v>
      </c>
      <c r="J53" s="13">
        <v>0.85874399999999995</v>
      </c>
      <c r="K53" s="13">
        <v>1.0900000000000001</v>
      </c>
      <c r="L53" s="13">
        <v>0.79655600000000004</v>
      </c>
      <c r="M53">
        <v>4.1978000000000001E-2</v>
      </c>
      <c r="N53">
        <v>0.57894699999999999</v>
      </c>
      <c r="T53" s="2"/>
      <c r="U53" s="5"/>
      <c r="V53" s="5"/>
      <c r="W53" s="5"/>
      <c r="X53" s="6"/>
      <c r="Y53" s="6"/>
      <c r="Z53" s="6"/>
      <c r="AA53" s="6"/>
      <c r="AB53" s="6"/>
    </row>
    <row r="54" spans="1:28" x14ac:dyDescent="0.3">
      <c r="A54" s="13" t="s">
        <v>63</v>
      </c>
      <c r="B54" s="13" t="s">
        <v>108</v>
      </c>
      <c r="C54" s="13">
        <v>420</v>
      </c>
      <c r="D54" s="13">
        <v>0.36879299999999998</v>
      </c>
      <c r="E54" s="13">
        <v>38.950000000000003</v>
      </c>
      <c r="F54" s="13">
        <v>1.0242290000000001</v>
      </c>
      <c r="G54" s="13">
        <v>25.841436000000002</v>
      </c>
      <c r="H54" s="13">
        <v>1.2046950000000001</v>
      </c>
      <c r="I54" s="13">
        <v>4.8</v>
      </c>
      <c r="J54" s="13">
        <v>1.164399</v>
      </c>
      <c r="K54" s="13">
        <v>1.47</v>
      </c>
      <c r="L54" s="13">
        <v>1.074255</v>
      </c>
      <c r="M54">
        <v>8.3700999999999998E-2</v>
      </c>
      <c r="N54">
        <v>0.60087800000000002</v>
      </c>
      <c r="T54" s="2"/>
      <c r="U54" s="5"/>
      <c r="V54" s="5"/>
      <c r="W54" s="5"/>
      <c r="X54" s="5"/>
      <c r="Y54" s="5"/>
      <c r="Z54" s="5"/>
      <c r="AA54" s="5"/>
      <c r="AB54" s="5"/>
    </row>
    <row r="55" spans="1:28" x14ac:dyDescent="0.3">
      <c r="A55" s="13" t="s">
        <v>64</v>
      </c>
      <c r="B55" s="13" t="s">
        <v>108</v>
      </c>
      <c r="C55" s="13">
        <v>330</v>
      </c>
      <c r="D55" s="13">
        <v>0.28976600000000002</v>
      </c>
      <c r="E55" s="13">
        <v>35</v>
      </c>
      <c r="F55" s="13">
        <v>0.92035900000000004</v>
      </c>
      <c r="G55" s="13">
        <v>26.892128</v>
      </c>
      <c r="H55" s="13">
        <v>0.909636</v>
      </c>
      <c r="I55" s="13">
        <v>3.06</v>
      </c>
      <c r="J55" s="13">
        <v>0.74230399999999996</v>
      </c>
      <c r="K55" s="13">
        <v>0.96</v>
      </c>
      <c r="L55" s="13">
        <v>0.70155400000000001</v>
      </c>
      <c r="M55">
        <v>3.9510000000000003E-2</v>
      </c>
      <c r="N55">
        <v>0.63358400000000004</v>
      </c>
      <c r="T55" s="2"/>
      <c r="U55" s="5"/>
      <c r="V55" s="5"/>
      <c r="W55" s="5"/>
      <c r="X55" s="5"/>
      <c r="Y55" s="5"/>
      <c r="Z55" s="5"/>
      <c r="AA55" s="5"/>
      <c r="AB55" s="5"/>
    </row>
    <row r="56" spans="1:28" x14ac:dyDescent="0.3">
      <c r="A56" s="13" t="s">
        <v>65</v>
      </c>
      <c r="B56" s="13" t="s">
        <v>108</v>
      </c>
      <c r="C56" s="13">
        <v>696</v>
      </c>
      <c r="D56" s="13">
        <v>0.61114299999999999</v>
      </c>
      <c r="E56" s="13">
        <v>35.380000000000003</v>
      </c>
      <c r="F56" s="13">
        <v>0.93035199999999996</v>
      </c>
      <c r="G56" s="13">
        <v>28.631609999999998</v>
      </c>
      <c r="H56" s="13">
        <v>1.0003629999999999</v>
      </c>
      <c r="I56" s="13">
        <v>4.03</v>
      </c>
      <c r="J56" s="13">
        <v>0.97760999999999998</v>
      </c>
      <c r="K56" s="13">
        <v>1.33</v>
      </c>
      <c r="L56" s="13">
        <v>0.97194499999999995</v>
      </c>
      <c r="M56">
        <v>3.9649999999999998E-2</v>
      </c>
      <c r="N56">
        <v>0.62757700000000005</v>
      </c>
      <c r="T56" s="2"/>
      <c r="U56" s="5"/>
      <c r="V56" s="5"/>
      <c r="W56" s="5"/>
      <c r="X56" s="5"/>
      <c r="Y56" s="5"/>
      <c r="Z56" s="5"/>
      <c r="AA56" s="5"/>
      <c r="AB56" s="5"/>
    </row>
    <row r="57" spans="1:28" x14ac:dyDescent="0.3">
      <c r="A57" s="13" t="s">
        <v>66</v>
      </c>
      <c r="B57" s="13" t="s">
        <v>108</v>
      </c>
      <c r="C57" s="13">
        <v>936</v>
      </c>
      <c r="D57" s="13">
        <v>0.82188099999999997</v>
      </c>
      <c r="E57" s="13">
        <v>38.51</v>
      </c>
      <c r="F57" s="13">
        <v>1.0126580000000001</v>
      </c>
      <c r="G57" s="13">
        <v>25.284050000000001</v>
      </c>
      <c r="H57" s="13">
        <v>1.1392139999999999</v>
      </c>
      <c r="I57" s="13">
        <v>4.5599999999999996</v>
      </c>
      <c r="J57" s="13">
        <v>1.106179</v>
      </c>
      <c r="K57" s="13">
        <v>1.56</v>
      </c>
      <c r="L57" s="13">
        <v>1.1400250000000001</v>
      </c>
      <c r="M57">
        <v>6.9248000000000004E-2</v>
      </c>
      <c r="N57">
        <v>0.65383599999999997</v>
      </c>
      <c r="T57" s="2"/>
      <c r="U57" s="5"/>
      <c r="V57" s="5"/>
      <c r="W57" s="5"/>
      <c r="X57" s="5"/>
      <c r="Y57" s="5"/>
      <c r="Z57" s="5"/>
      <c r="AA57" s="5"/>
      <c r="AB57" s="5"/>
    </row>
    <row r="58" spans="1:28" x14ac:dyDescent="0.3">
      <c r="A58" s="13" t="s">
        <v>67</v>
      </c>
      <c r="B58" s="13" t="s">
        <v>108</v>
      </c>
      <c r="C58" s="13">
        <v>1464</v>
      </c>
      <c r="D58" s="13">
        <v>1.285507</v>
      </c>
      <c r="E58" s="13">
        <v>33.96</v>
      </c>
      <c r="F58" s="13">
        <v>0.89301200000000003</v>
      </c>
      <c r="G58" s="13">
        <v>29.975404000000001</v>
      </c>
      <c r="H58" s="13">
        <v>0.926203</v>
      </c>
      <c r="I58" s="13">
        <v>3.47</v>
      </c>
      <c r="J58" s="13">
        <v>0.84176300000000004</v>
      </c>
      <c r="K58" s="13">
        <v>1.18</v>
      </c>
      <c r="L58" s="13">
        <v>0.86232699999999995</v>
      </c>
      <c r="M58">
        <v>5.3572000000000002E-2</v>
      </c>
      <c r="N58">
        <v>0.645764</v>
      </c>
      <c r="T58" s="2"/>
    </row>
    <row r="59" spans="1:28" x14ac:dyDescent="0.3">
      <c r="A59" s="13" t="s">
        <v>68</v>
      </c>
      <c r="B59" s="13" t="s">
        <v>108</v>
      </c>
      <c r="C59" s="13">
        <v>1326</v>
      </c>
      <c r="D59" s="13">
        <v>1.1643319999999999</v>
      </c>
      <c r="E59" s="13">
        <v>35.590000000000003</v>
      </c>
      <c r="F59" s="13">
        <v>0.93587399999999998</v>
      </c>
      <c r="G59" s="13">
        <v>23.713394999999998</v>
      </c>
      <c r="H59" s="13">
        <v>0.84336599999999995</v>
      </c>
      <c r="I59" s="13">
        <v>3.76</v>
      </c>
      <c r="J59" s="13">
        <v>0.91211200000000003</v>
      </c>
      <c r="K59" s="13">
        <v>1.27</v>
      </c>
      <c r="L59" s="13">
        <v>0.92809699999999995</v>
      </c>
      <c r="M59">
        <v>3.6739000000000001E-2</v>
      </c>
      <c r="N59">
        <v>0.63042399999999998</v>
      </c>
    </row>
    <row r="60" spans="1:28" x14ac:dyDescent="0.3">
      <c r="A60" s="13" t="s">
        <v>69</v>
      </c>
      <c r="B60" s="13" t="s">
        <v>108</v>
      </c>
      <c r="C60" s="13">
        <v>738</v>
      </c>
      <c r="D60" s="13">
        <v>0.64802199999999999</v>
      </c>
      <c r="E60" s="13">
        <v>38.82</v>
      </c>
      <c r="F60" s="13">
        <v>1.02081</v>
      </c>
      <c r="G60" s="13">
        <v>22.187486</v>
      </c>
      <c r="H60" s="13">
        <v>1.0240309999999999</v>
      </c>
      <c r="I60" s="13">
        <v>4.92</v>
      </c>
      <c r="J60" s="13">
        <v>1.1935089999999999</v>
      </c>
      <c r="K60" s="13">
        <v>1.85</v>
      </c>
      <c r="L60" s="13">
        <v>1.351953</v>
      </c>
      <c r="M60">
        <v>5.4754999999999998E-2</v>
      </c>
      <c r="N60">
        <v>0.63051299999999999</v>
      </c>
    </row>
    <row r="61" spans="1:28" x14ac:dyDescent="0.3">
      <c r="A61" s="13" t="s">
        <v>70</v>
      </c>
      <c r="B61" s="13" t="s">
        <v>108</v>
      </c>
      <c r="C61" s="13">
        <v>1710</v>
      </c>
      <c r="D61" s="13">
        <v>1.501514</v>
      </c>
      <c r="E61" s="13">
        <v>34.26</v>
      </c>
      <c r="F61" s="13">
        <v>0.90090000000000003</v>
      </c>
      <c r="G61" s="13">
        <v>30.512830000000001</v>
      </c>
      <c r="H61" s="13">
        <v>0.96801700000000002</v>
      </c>
      <c r="I61" s="13">
        <v>3.63</v>
      </c>
      <c r="J61" s="13">
        <v>0.88057700000000005</v>
      </c>
      <c r="K61" s="13">
        <v>1.22</v>
      </c>
      <c r="L61" s="13">
        <v>0.89155799999999996</v>
      </c>
      <c r="M61">
        <v>6.7171999999999996E-2</v>
      </c>
      <c r="N61">
        <v>0.64687700000000004</v>
      </c>
    </row>
    <row r="62" spans="1:28" x14ac:dyDescent="0.3">
      <c r="A62" s="13" t="s">
        <v>71</v>
      </c>
      <c r="B62" s="13" t="s">
        <v>108</v>
      </c>
      <c r="C62" s="13">
        <v>1296</v>
      </c>
      <c r="D62" s="13">
        <v>1.1379900000000001</v>
      </c>
      <c r="E62" s="13">
        <v>38.86</v>
      </c>
      <c r="F62" s="13">
        <v>1.021862</v>
      </c>
      <c r="G62" s="13">
        <v>23.482310999999999</v>
      </c>
      <c r="H62" s="13">
        <v>1.087145</v>
      </c>
      <c r="I62" s="13">
        <v>4.75</v>
      </c>
      <c r="J62" s="13">
        <v>1.1522699999999999</v>
      </c>
      <c r="K62" s="13">
        <v>1.49</v>
      </c>
      <c r="L62" s="13">
        <v>1.08887</v>
      </c>
      <c r="M62">
        <v>1.6004999999999998E-2</v>
      </c>
      <c r="N62">
        <v>0.62570999999999999</v>
      </c>
    </row>
    <row r="63" spans="1:28" x14ac:dyDescent="0.3">
      <c r="A63" s="13" t="s">
        <v>72</v>
      </c>
      <c r="B63" s="13" t="s">
        <v>108</v>
      </c>
      <c r="C63" s="13">
        <v>1050</v>
      </c>
      <c r="D63" s="13">
        <v>0.92198199999999997</v>
      </c>
      <c r="E63" s="13">
        <v>37.840000000000003</v>
      </c>
      <c r="F63" s="13">
        <v>0.99504000000000004</v>
      </c>
      <c r="G63" s="13">
        <v>25.802025</v>
      </c>
      <c r="H63" s="13">
        <v>1.102924</v>
      </c>
      <c r="I63" s="13">
        <v>4.25</v>
      </c>
      <c r="J63" s="13">
        <v>1.030978</v>
      </c>
      <c r="K63" s="13">
        <v>1.52</v>
      </c>
      <c r="L63" s="13">
        <v>1.1107940000000001</v>
      </c>
      <c r="M63">
        <v>5.5389000000000001E-2</v>
      </c>
      <c r="N63">
        <v>0.64823299999999995</v>
      </c>
    </row>
    <row r="64" spans="1:28" x14ac:dyDescent="0.3">
      <c r="A64" s="13" t="s">
        <v>73</v>
      </c>
      <c r="B64" s="13" t="s">
        <v>108</v>
      </c>
      <c r="C64" s="13">
        <v>588</v>
      </c>
      <c r="D64" s="13">
        <v>0.51631000000000005</v>
      </c>
      <c r="E64" s="13">
        <v>34.67</v>
      </c>
      <c r="F64" s="13">
        <v>0.91168199999999999</v>
      </c>
      <c r="G64" s="13">
        <v>29.29909</v>
      </c>
      <c r="H64" s="13">
        <v>0.963283</v>
      </c>
      <c r="I64" s="13">
        <v>3.7</v>
      </c>
      <c r="J64" s="13">
        <v>0.89755700000000005</v>
      </c>
      <c r="K64" s="13">
        <v>1.27</v>
      </c>
      <c r="L64" s="13">
        <v>0.92809699999999995</v>
      </c>
      <c r="M64">
        <v>3.2661000000000003E-2</v>
      </c>
      <c r="N64">
        <v>0.63410299999999997</v>
      </c>
    </row>
    <row r="65" spans="1:14" x14ac:dyDescent="0.3">
      <c r="A65" s="13" t="s">
        <v>74</v>
      </c>
      <c r="B65" s="13" t="s">
        <v>108</v>
      </c>
      <c r="C65" s="13">
        <v>1192</v>
      </c>
      <c r="D65" s="13">
        <v>1.0466690000000001</v>
      </c>
      <c r="E65" s="13">
        <v>38.97</v>
      </c>
      <c r="F65" s="13">
        <v>1.0247539999999999</v>
      </c>
      <c r="G65" s="13">
        <v>21.84778</v>
      </c>
      <c r="H65" s="13">
        <v>1.020086</v>
      </c>
      <c r="I65" s="13">
        <v>3.97</v>
      </c>
      <c r="J65" s="13">
        <v>0.96305499999999999</v>
      </c>
      <c r="K65" s="13">
        <v>1.32</v>
      </c>
      <c r="L65" s="13">
        <v>0.96463699999999997</v>
      </c>
      <c r="M65">
        <v>5.6009000000000003E-2</v>
      </c>
      <c r="N65">
        <v>0.64281999999999995</v>
      </c>
    </row>
    <row r="66" spans="1:14" x14ac:dyDescent="0.3">
      <c r="A66" s="13" t="s">
        <v>75</v>
      </c>
      <c r="B66" s="13" t="s">
        <v>108</v>
      </c>
      <c r="C66" s="13">
        <v>540</v>
      </c>
      <c r="D66" s="13">
        <v>0.47416199999999997</v>
      </c>
      <c r="E66" s="13">
        <v>36.130000000000003</v>
      </c>
      <c r="F66" s="13">
        <v>0.95007399999999997</v>
      </c>
      <c r="G66" s="13">
        <v>27.330591999999999</v>
      </c>
      <c r="H66" s="13">
        <v>1.0169299999999999</v>
      </c>
      <c r="I66" s="13">
        <v>4.0999999999999996</v>
      </c>
      <c r="J66" s="13">
        <v>0.994591</v>
      </c>
      <c r="K66" s="13">
        <v>1.42</v>
      </c>
      <c r="L66" s="13">
        <v>1.0377149999999999</v>
      </c>
      <c r="M66">
        <v>3.0640000000000001E-2</v>
      </c>
      <c r="N66">
        <v>0.63151100000000004</v>
      </c>
    </row>
    <row r="67" spans="1:14" x14ac:dyDescent="0.3">
      <c r="A67" s="13" t="s">
        <v>76</v>
      </c>
      <c r="B67" s="13" t="s">
        <v>108</v>
      </c>
      <c r="C67" s="13">
        <v>390</v>
      </c>
      <c r="D67" s="13">
        <v>0.34245100000000001</v>
      </c>
      <c r="E67" s="13">
        <v>35.659999999999997</v>
      </c>
      <c r="F67" s="13">
        <v>0.93771499999999997</v>
      </c>
      <c r="G67" s="13">
        <v>28.425552</v>
      </c>
      <c r="H67" s="13">
        <v>1.0169299999999999</v>
      </c>
      <c r="I67" s="13">
        <v>4.2</v>
      </c>
      <c r="J67" s="13">
        <v>1.0188489999999999</v>
      </c>
      <c r="K67" s="13">
        <v>1.5</v>
      </c>
      <c r="L67" s="13">
        <v>1.0961780000000001</v>
      </c>
      <c r="M67">
        <v>4.4865000000000002E-2</v>
      </c>
      <c r="N67">
        <v>0.63552399999999998</v>
      </c>
    </row>
    <row r="68" spans="1:14" x14ac:dyDescent="0.3">
      <c r="A68" s="13" t="s">
        <v>77</v>
      </c>
      <c r="B68" s="13" t="s">
        <v>108</v>
      </c>
      <c r="C68" s="13">
        <v>1093</v>
      </c>
      <c r="D68" s="13">
        <v>0.95974000000000004</v>
      </c>
      <c r="E68" s="13">
        <v>40.68</v>
      </c>
      <c r="F68" s="13">
        <v>1.0697209999999999</v>
      </c>
      <c r="G68" s="13">
        <v>19.370228999999998</v>
      </c>
      <c r="H68" s="13">
        <v>1.028764</v>
      </c>
      <c r="I68" s="13">
        <v>2.9</v>
      </c>
      <c r="J68" s="13">
        <v>0.70349099999999998</v>
      </c>
      <c r="K68" s="13">
        <v>1.61</v>
      </c>
      <c r="L68" s="13">
        <v>1.1765639999999999</v>
      </c>
      <c r="M68">
        <v>4.8495999999999997E-2</v>
      </c>
      <c r="N68">
        <v>0.63364299999999996</v>
      </c>
    </row>
    <row r="69" spans="1:14" x14ac:dyDescent="0.3">
      <c r="A69" s="13" t="s">
        <v>78</v>
      </c>
      <c r="B69" s="13" t="s">
        <v>108</v>
      </c>
      <c r="C69" s="13">
        <v>375</v>
      </c>
      <c r="D69" s="13">
        <v>0.32927899999999999</v>
      </c>
      <c r="E69" s="13">
        <v>39.6</v>
      </c>
      <c r="F69" s="13">
        <v>1.0413209999999999</v>
      </c>
      <c r="G69" s="13">
        <v>18.921358000000001</v>
      </c>
      <c r="H69" s="13">
        <v>0.92699200000000004</v>
      </c>
      <c r="I69" s="13">
        <v>4.7</v>
      </c>
      <c r="J69" s="13">
        <v>1.1401410000000001</v>
      </c>
      <c r="K69" s="13">
        <v>1.6</v>
      </c>
      <c r="L69" s="13">
        <v>1.169257</v>
      </c>
      <c r="M69">
        <v>2.4251000000000002E-2</v>
      </c>
      <c r="N69">
        <v>0.62854200000000005</v>
      </c>
    </row>
    <row r="70" spans="1:14" x14ac:dyDescent="0.3">
      <c r="A70" s="13" t="s">
        <v>79</v>
      </c>
      <c r="B70" s="13" t="s">
        <v>108</v>
      </c>
      <c r="C70" s="13">
        <v>337</v>
      </c>
      <c r="D70" s="13">
        <v>0.29591200000000001</v>
      </c>
      <c r="E70" s="13">
        <v>40.61</v>
      </c>
      <c r="F70" s="13">
        <v>1.0678799999999999</v>
      </c>
      <c r="G70" s="13">
        <v>17.917701000000001</v>
      </c>
      <c r="H70" s="13">
        <v>0.946716</v>
      </c>
      <c r="I70" s="13">
        <v>5.07</v>
      </c>
      <c r="J70" s="13">
        <v>1.2298960000000001</v>
      </c>
      <c r="K70" s="13">
        <v>1.61</v>
      </c>
      <c r="L70" s="13">
        <v>1.1765639999999999</v>
      </c>
      <c r="M70">
        <v>4.2154999999999998E-2</v>
      </c>
      <c r="N70">
        <v>0.63467499999999999</v>
      </c>
    </row>
    <row r="71" spans="1:14" x14ac:dyDescent="0.3">
      <c r="A71" s="13" t="s">
        <v>80</v>
      </c>
      <c r="B71" s="13" t="s">
        <v>108</v>
      </c>
      <c r="C71" s="13">
        <v>1512</v>
      </c>
      <c r="D71" s="13">
        <v>1.3276539999999999</v>
      </c>
      <c r="E71" s="13">
        <v>38.22</v>
      </c>
      <c r="F71" s="13">
        <v>1.0050330000000001</v>
      </c>
      <c r="G71" s="13">
        <v>18.878547000000001</v>
      </c>
      <c r="H71" s="13">
        <v>0.83153200000000005</v>
      </c>
      <c r="I71" s="13">
        <v>3.67</v>
      </c>
      <c r="J71" s="13">
        <v>0.89027999999999996</v>
      </c>
      <c r="K71" s="13">
        <v>1.22</v>
      </c>
      <c r="L71" s="13">
        <v>0.89155799999999996</v>
      </c>
      <c r="M71">
        <v>6.3949000000000006E-2</v>
      </c>
      <c r="N71">
        <v>0.64012400000000003</v>
      </c>
    </row>
    <row r="72" spans="1:14" x14ac:dyDescent="0.3">
      <c r="A72" s="13" t="s">
        <v>81</v>
      </c>
      <c r="B72" s="13" t="s">
        <v>108</v>
      </c>
      <c r="C72" s="13">
        <v>4312</v>
      </c>
      <c r="D72" s="13">
        <v>3.7862740000000001</v>
      </c>
      <c r="E72" s="13">
        <v>40.19</v>
      </c>
      <c r="F72" s="13">
        <v>1.0568360000000001</v>
      </c>
      <c r="G72" s="13">
        <v>18.577756999999998</v>
      </c>
      <c r="H72" s="13">
        <v>0.95144899999999999</v>
      </c>
      <c r="I72" s="13">
        <v>4.7</v>
      </c>
      <c r="J72" s="13">
        <v>1.1401410000000001</v>
      </c>
      <c r="K72" s="13">
        <v>1.52</v>
      </c>
      <c r="L72" s="13">
        <v>1.1107940000000001</v>
      </c>
      <c r="M72">
        <v>1.5030999999999999E-2</v>
      </c>
      <c r="N72">
        <v>0.62454600000000005</v>
      </c>
    </row>
    <row r="73" spans="1:14" x14ac:dyDescent="0.3">
      <c r="A73" s="13" t="s">
        <v>82</v>
      </c>
      <c r="B73" s="13" t="s">
        <v>108</v>
      </c>
      <c r="C73" s="13">
        <v>318</v>
      </c>
      <c r="D73" s="13">
        <v>0.279229</v>
      </c>
      <c r="E73" s="13">
        <v>37.29</v>
      </c>
      <c r="F73" s="13">
        <v>0.98057700000000003</v>
      </c>
      <c r="G73" s="13">
        <v>19.130860999999999</v>
      </c>
      <c r="H73" s="13">
        <v>0.78261800000000004</v>
      </c>
      <c r="I73" s="13">
        <v>3.69</v>
      </c>
      <c r="J73" s="13">
        <v>0.89513200000000004</v>
      </c>
      <c r="K73" s="13">
        <v>1.1100000000000001</v>
      </c>
      <c r="L73" s="13">
        <v>0.811172</v>
      </c>
      <c r="M73">
        <v>1.8870999999999999E-2</v>
      </c>
      <c r="N73">
        <v>0.61824299999999999</v>
      </c>
    </row>
    <row r="74" spans="1:14" x14ac:dyDescent="0.3">
      <c r="A74" s="13" t="s">
        <v>83</v>
      </c>
      <c r="B74" s="13" t="s">
        <v>108</v>
      </c>
      <c r="C74" s="13">
        <v>3062</v>
      </c>
      <c r="D74" s="13">
        <v>2.6886760000000001</v>
      </c>
      <c r="E74" s="13">
        <v>39.85</v>
      </c>
      <c r="F74" s="13">
        <v>1.047895</v>
      </c>
      <c r="G74" s="13">
        <v>16.449994</v>
      </c>
      <c r="H74" s="13">
        <v>0.82127600000000001</v>
      </c>
      <c r="I74" s="13">
        <v>4.62</v>
      </c>
      <c r="J74" s="13">
        <v>1.1207339999999999</v>
      </c>
      <c r="K74" s="13">
        <v>1.58</v>
      </c>
      <c r="L74" s="13">
        <v>1.154641</v>
      </c>
      <c r="M74">
        <v>1.9241999999999999E-2</v>
      </c>
      <c r="N74">
        <v>0.62535399999999997</v>
      </c>
    </row>
    <row r="75" spans="1:14" x14ac:dyDescent="0.3">
      <c r="A75" s="13" t="s">
        <v>84</v>
      </c>
      <c r="B75" s="13" t="s">
        <v>108</v>
      </c>
      <c r="C75" s="13">
        <v>637</v>
      </c>
      <c r="D75" s="13">
        <v>0.55933600000000006</v>
      </c>
      <c r="E75" s="13">
        <v>42.54</v>
      </c>
      <c r="F75" s="13">
        <v>1.1186309999999999</v>
      </c>
      <c r="G75" s="13">
        <v>15.977641</v>
      </c>
      <c r="H75" s="13">
        <v>0.970383</v>
      </c>
      <c r="I75" s="13">
        <v>4.4400000000000004</v>
      </c>
      <c r="J75" s="13">
        <v>1.0770690000000001</v>
      </c>
      <c r="K75" s="13">
        <v>1.31</v>
      </c>
      <c r="L75" s="13">
        <v>0.95732899999999999</v>
      </c>
      <c r="M75">
        <v>2.2589999999999999E-2</v>
      </c>
      <c r="N75">
        <v>0.62351400000000001</v>
      </c>
    </row>
    <row r="76" spans="1:14" x14ac:dyDescent="0.3">
      <c r="A76" s="13" t="s">
        <v>85</v>
      </c>
      <c r="B76" s="13" t="s">
        <v>108</v>
      </c>
      <c r="C76" s="13">
        <v>2212</v>
      </c>
      <c r="D76" s="13">
        <v>1.9423090000000001</v>
      </c>
      <c r="E76" s="13">
        <v>37.479999999999997</v>
      </c>
      <c r="F76" s="13">
        <v>0.98557300000000003</v>
      </c>
      <c r="G76" s="13">
        <v>19.639109999999999</v>
      </c>
      <c r="H76" s="13">
        <v>0.81575299999999995</v>
      </c>
      <c r="I76" s="13">
        <v>3.71</v>
      </c>
      <c r="J76" s="13">
        <v>0.89998299999999998</v>
      </c>
      <c r="K76" s="13">
        <v>1.39</v>
      </c>
      <c r="L76" s="13">
        <v>1.015792</v>
      </c>
      <c r="M76">
        <v>3.1130999999999999E-2</v>
      </c>
      <c r="N76">
        <v>0.63130699999999995</v>
      </c>
    </row>
    <row r="77" spans="1:14" x14ac:dyDescent="0.3">
      <c r="A77" s="13" t="s">
        <v>86</v>
      </c>
      <c r="B77" s="13" t="s">
        <v>108</v>
      </c>
      <c r="C77" s="13">
        <v>487</v>
      </c>
      <c r="D77" s="13">
        <v>0.427624</v>
      </c>
      <c r="E77" s="13">
        <v>37.82</v>
      </c>
      <c r="F77" s="13">
        <v>0.99451400000000001</v>
      </c>
      <c r="G77" s="13">
        <v>19.557849000000001</v>
      </c>
      <c r="H77" s="13">
        <v>0.83468799999999999</v>
      </c>
      <c r="I77" s="13">
        <v>3.95</v>
      </c>
      <c r="J77" s="13">
        <v>0.95820300000000003</v>
      </c>
      <c r="K77" s="13">
        <v>1.4</v>
      </c>
      <c r="L77" s="13">
        <v>1.0230999999999999</v>
      </c>
      <c r="M77">
        <v>3.8386000000000003E-2</v>
      </c>
      <c r="N77">
        <v>0.63068599999999997</v>
      </c>
    </row>
    <row r="78" spans="1:14" x14ac:dyDescent="0.3">
      <c r="A78" s="13" t="s">
        <v>87</v>
      </c>
      <c r="B78" s="13" t="s">
        <v>108</v>
      </c>
      <c r="C78" s="13">
        <v>637</v>
      </c>
      <c r="D78" s="13">
        <v>0.55933600000000006</v>
      </c>
      <c r="E78" s="13">
        <v>33.44</v>
      </c>
      <c r="F78" s="13">
        <v>0.87933799999999995</v>
      </c>
      <c r="G78" s="13">
        <v>24.442599000000001</v>
      </c>
      <c r="H78" s="13">
        <v>0.721082</v>
      </c>
      <c r="I78" s="13">
        <v>2.9</v>
      </c>
      <c r="J78" s="13">
        <v>0.70349099999999998</v>
      </c>
      <c r="K78" s="13">
        <v>0.89</v>
      </c>
      <c r="L78" s="13">
        <v>0.65039899999999995</v>
      </c>
      <c r="M78">
        <v>3.2615999999999999E-2</v>
      </c>
      <c r="N78">
        <v>0.63344500000000004</v>
      </c>
    </row>
    <row r="79" spans="1:14" x14ac:dyDescent="0.3">
      <c r="A79" s="13" t="s">
        <v>88</v>
      </c>
      <c r="B79" s="13" t="s">
        <v>108</v>
      </c>
      <c r="C79" s="13">
        <v>1762</v>
      </c>
      <c r="D79" s="13">
        <v>1.547174</v>
      </c>
      <c r="E79" s="13">
        <v>37.020000000000003</v>
      </c>
      <c r="F79" s="13">
        <v>0.97347700000000004</v>
      </c>
      <c r="G79" s="13">
        <v>21.109611000000001</v>
      </c>
      <c r="H79" s="13">
        <v>0.84494400000000003</v>
      </c>
      <c r="I79" s="13">
        <v>4.0599999999999996</v>
      </c>
      <c r="J79" s="13">
        <v>0.98488699999999996</v>
      </c>
      <c r="K79" s="13">
        <v>1.43</v>
      </c>
      <c r="L79" s="13">
        <v>1.045023</v>
      </c>
      <c r="M79">
        <v>1.0436000000000001E-2</v>
      </c>
      <c r="N79">
        <v>0.61738199999999999</v>
      </c>
    </row>
    <row r="80" spans="1:14" x14ac:dyDescent="0.3">
      <c r="A80" s="13" t="s">
        <v>89</v>
      </c>
      <c r="B80" s="13" t="s">
        <v>108</v>
      </c>
      <c r="C80" s="13">
        <v>1475</v>
      </c>
      <c r="D80" s="13">
        <v>1.295166</v>
      </c>
      <c r="E80" s="13">
        <v>38.04</v>
      </c>
      <c r="F80" s="13">
        <v>1.000299</v>
      </c>
      <c r="G80" s="13">
        <v>21.200658000000001</v>
      </c>
      <c r="H80" s="13">
        <v>0.92068099999999997</v>
      </c>
      <c r="I80" s="13">
        <v>3.95</v>
      </c>
      <c r="J80" s="13">
        <v>0.95820300000000003</v>
      </c>
      <c r="K80" s="13">
        <v>1.28</v>
      </c>
      <c r="L80" s="13">
        <v>0.93540500000000004</v>
      </c>
      <c r="M80">
        <v>4.0391999999999997E-2</v>
      </c>
      <c r="N80">
        <v>0.62681900000000002</v>
      </c>
    </row>
    <row r="81" spans="1:14" x14ac:dyDescent="0.3">
      <c r="A81" s="13" t="s">
        <v>90</v>
      </c>
      <c r="B81" s="13" t="s">
        <v>108</v>
      </c>
      <c r="C81" s="13">
        <v>3500</v>
      </c>
      <c r="D81" s="13">
        <v>3.0732740000000001</v>
      </c>
      <c r="E81" s="13">
        <v>37.229999999999997</v>
      </c>
      <c r="F81" s="13">
        <v>0.97899899999999995</v>
      </c>
      <c r="G81" s="13">
        <v>18.622769999999999</v>
      </c>
      <c r="H81" s="13">
        <v>0.75816099999999997</v>
      </c>
      <c r="I81" s="13">
        <v>2.68</v>
      </c>
      <c r="J81" s="13">
        <v>0.65012300000000001</v>
      </c>
      <c r="K81" s="13">
        <v>0.94</v>
      </c>
      <c r="L81" s="13">
        <v>0.68693800000000005</v>
      </c>
      <c r="M81">
        <v>2.2093000000000002E-2</v>
      </c>
      <c r="N81">
        <v>0.63351299999999999</v>
      </c>
    </row>
    <row r="82" spans="1:14" x14ac:dyDescent="0.3">
      <c r="A82" s="13" t="s">
        <v>91</v>
      </c>
      <c r="B82" s="13" t="s">
        <v>108</v>
      </c>
      <c r="C82" s="13">
        <v>600</v>
      </c>
      <c r="D82" s="13">
        <v>0.52684699999999995</v>
      </c>
      <c r="E82" s="13">
        <v>34.86</v>
      </c>
      <c r="F82" s="13">
        <v>0.91667799999999999</v>
      </c>
      <c r="G82" s="13">
        <v>22.472677000000001</v>
      </c>
      <c r="H82" s="13">
        <v>0.75106099999999998</v>
      </c>
      <c r="I82" s="13">
        <v>3.72</v>
      </c>
      <c r="J82" s="13">
        <v>0.90240900000000002</v>
      </c>
      <c r="K82" s="13">
        <v>1.32</v>
      </c>
      <c r="L82" s="13">
        <v>0.96463699999999997</v>
      </c>
      <c r="M82">
        <v>3.1461999999999997E-2</v>
      </c>
      <c r="N82">
        <v>0.63053599999999999</v>
      </c>
    </row>
    <row r="83" spans="1:14" x14ac:dyDescent="0.3">
      <c r="A83" s="13" t="s">
        <v>92</v>
      </c>
      <c r="B83" s="13" t="s">
        <v>108</v>
      </c>
      <c r="C83" s="13">
        <v>1925</v>
      </c>
      <c r="D83" s="13">
        <v>1.6903010000000001</v>
      </c>
      <c r="E83" s="13">
        <v>42.07</v>
      </c>
      <c r="F83" s="13">
        <v>1.1062719999999999</v>
      </c>
      <c r="G83" s="13">
        <v>16.465425</v>
      </c>
      <c r="H83" s="13">
        <v>0.96722799999999998</v>
      </c>
      <c r="I83" s="13">
        <v>4.16</v>
      </c>
      <c r="J83" s="13">
        <v>1.0091460000000001</v>
      </c>
      <c r="K83" s="13">
        <v>1.33</v>
      </c>
      <c r="L83" s="13">
        <v>0.97194499999999995</v>
      </c>
      <c r="M83">
        <v>3.0511E-2</v>
      </c>
      <c r="N83">
        <v>0.629992</v>
      </c>
    </row>
    <row r="84" spans="1:14" x14ac:dyDescent="0.3">
      <c r="A84" s="13" t="s">
        <v>93</v>
      </c>
      <c r="B84" s="13" t="s">
        <v>108</v>
      </c>
      <c r="C84" s="13">
        <v>590</v>
      </c>
      <c r="D84" s="13">
        <v>0.51806600000000003</v>
      </c>
      <c r="E84" s="13">
        <v>37.700000000000003</v>
      </c>
      <c r="F84" s="13">
        <v>0.99135899999999999</v>
      </c>
      <c r="G84" s="13">
        <v>25.717497999999999</v>
      </c>
      <c r="H84" s="13">
        <v>1.073733</v>
      </c>
      <c r="I84" s="13">
        <v>4.26</v>
      </c>
      <c r="J84" s="13">
        <v>1.033404</v>
      </c>
      <c r="K84" s="13">
        <v>1.27</v>
      </c>
      <c r="L84" s="13">
        <v>0.92809699999999995</v>
      </c>
      <c r="M84">
        <v>2.6616000000000001E-2</v>
      </c>
      <c r="N84">
        <v>0.62279099999999998</v>
      </c>
    </row>
    <row r="85" spans="1:14" x14ac:dyDescent="0.3">
      <c r="A85" s="13" t="s">
        <v>94</v>
      </c>
      <c r="B85" s="13" t="s">
        <v>108</v>
      </c>
      <c r="C85" s="13">
        <v>480</v>
      </c>
      <c r="D85" s="13">
        <v>0.42147800000000002</v>
      </c>
      <c r="E85" s="13">
        <v>35.79</v>
      </c>
      <c r="F85" s="13">
        <v>0.941133</v>
      </c>
      <c r="G85" s="13">
        <v>26.108167000000002</v>
      </c>
      <c r="H85" s="13">
        <v>0.93014799999999997</v>
      </c>
      <c r="I85" s="13">
        <v>3.58</v>
      </c>
      <c r="J85" s="13">
        <v>0.86844699999999997</v>
      </c>
      <c r="K85" s="13">
        <v>1.0900000000000001</v>
      </c>
      <c r="L85" s="13">
        <v>0.79655600000000004</v>
      </c>
      <c r="M85">
        <v>6.4321000000000003E-2</v>
      </c>
      <c r="N85">
        <v>0.64553000000000005</v>
      </c>
    </row>
    <row r="86" spans="1:14" x14ac:dyDescent="0.3">
      <c r="A86" s="13" t="s">
        <v>95</v>
      </c>
      <c r="B86" s="13" t="s">
        <v>108</v>
      </c>
      <c r="C86" s="13">
        <v>686</v>
      </c>
      <c r="D86" s="13">
        <v>0.60236199999999995</v>
      </c>
      <c r="E86" s="13">
        <v>35.92</v>
      </c>
      <c r="F86" s="13">
        <v>0.94455199999999995</v>
      </c>
      <c r="G86" s="13">
        <v>26.409282999999999</v>
      </c>
      <c r="H86" s="13">
        <v>0.95460500000000004</v>
      </c>
      <c r="I86" s="13">
        <v>3.5</v>
      </c>
      <c r="J86" s="13">
        <v>0.84904100000000005</v>
      </c>
      <c r="K86" s="13">
        <v>1.05</v>
      </c>
      <c r="L86" s="13">
        <v>0.76732500000000003</v>
      </c>
      <c r="M86">
        <v>7.8711000000000003E-2</v>
      </c>
      <c r="N86">
        <v>0.63368599999999997</v>
      </c>
    </row>
    <row r="87" spans="1:14" x14ac:dyDescent="0.3">
      <c r="A87" s="13" t="s">
        <v>96</v>
      </c>
      <c r="B87" s="13" t="s">
        <v>108</v>
      </c>
      <c r="C87" s="13">
        <v>298</v>
      </c>
      <c r="D87" s="13">
        <v>0.26166699999999998</v>
      </c>
      <c r="E87" s="13">
        <v>36.25</v>
      </c>
      <c r="F87" s="13">
        <v>0.95322899999999999</v>
      </c>
      <c r="G87" s="13"/>
      <c r="H87" s="13">
        <v>0.99247300000000005</v>
      </c>
      <c r="I87" s="13">
        <v>3.91</v>
      </c>
      <c r="J87" s="13">
        <v>0.94850000000000001</v>
      </c>
      <c r="K87" s="13">
        <v>1.22</v>
      </c>
      <c r="L87" s="13">
        <v>0.89155799999999996</v>
      </c>
      <c r="M87">
        <v>7.0677000000000004E-2</v>
      </c>
      <c r="N87">
        <v>0.61590299999999998</v>
      </c>
    </row>
    <row r="88" spans="1:14" x14ac:dyDescent="0.3">
      <c r="M88" s="13"/>
    </row>
    <row r="89" spans="1:14" x14ac:dyDescent="0.3">
      <c r="C89" s="9">
        <f>AVERAGE(C2:C87)</f>
        <v>1150.5</v>
      </c>
      <c r="E89" s="10">
        <f>AVERAGE(E2:E87)</f>
        <v>38.015930232558148</v>
      </c>
      <c r="F89" s="10">
        <f t="shared" ref="F89:N89" si="1">AVERAGE(F2:F87)</f>
        <v>0.99966627906976713</v>
      </c>
      <c r="G89" s="11">
        <f t="shared" si="1"/>
        <v>23.29308015294118</v>
      </c>
      <c r="H89" s="11">
        <f t="shared" si="1"/>
        <v>1.0012708720930237</v>
      </c>
      <c r="I89" s="11">
        <f t="shared" si="1"/>
        <v>4.1266279069767426</v>
      </c>
      <c r="J89" s="11">
        <f t="shared" si="1"/>
        <v>1.0010501627906976</v>
      </c>
      <c r="K89" s="11">
        <f t="shared" si="1"/>
        <v>1.3725581395348834</v>
      </c>
      <c r="L89" s="11">
        <f t="shared" si="1"/>
        <v>1.0030454186046509</v>
      </c>
      <c r="M89" s="14">
        <f>AVERAGE(M2:M87)</f>
        <v>3.5342523255813961E-2</v>
      </c>
      <c r="N89" s="11">
        <f t="shared" si="1"/>
        <v>0.62626695348837236</v>
      </c>
    </row>
    <row r="90" spans="1:14" x14ac:dyDescent="0.3">
      <c r="E90" s="12">
        <f>SQRT(VAR(E2:E87))</f>
        <v>2.2151698263973172</v>
      </c>
      <c r="M90" s="15">
        <f>SQRT(VAR(M2:M87))</f>
        <v>2.7758883148293795E-2</v>
      </c>
      <c r="N90" s="12">
        <f>SQRT(VAR(N2:N87))</f>
        <v>1.5279937882463035E-2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42"/>
  <sheetViews>
    <sheetView workbookViewId="0">
      <selection activeCell="H30" sqref="H30"/>
    </sheetView>
  </sheetViews>
  <sheetFormatPr baseColWidth="10" defaultRowHeight="14.4" x14ac:dyDescent="0.3"/>
  <cols>
    <col min="1" max="3" width="11.5546875" style="8"/>
    <col min="4" max="6" width="11.5546875" style="16"/>
  </cols>
  <sheetData>
    <row r="1" spans="1:6" x14ac:dyDescent="0.3">
      <c r="A1" s="3" t="s">
        <v>104</v>
      </c>
      <c r="B1" s="3" t="s">
        <v>105</v>
      </c>
      <c r="C1" s="3" t="s">
        <v>101</v>
      </c>
      <c r="D1" s="3" t="s">
        <v>102</v>
      </c>
      <c r="E1" s="3" t="s">
        <v>103</v>
      </c>
      <c r="F1" s="3" t="s">
        <v>103</v>
      </c>
    </row>
    <row r="2" spans="1:6" x14ac:dyDescent="0.3">
      <c r="A2" s="8">
        <v>1</v>
      </c>
      <c r="B2" s="8">
        <v>1</v>
      </c>
      <c r="C2" s="8">
        <v>3902</v>
      </c>
      <c r="D2" s="16">
        <v>1.0359879999999999</v>
      </c>
      <c r="E2"/>
      <c r="F2" s="3"/>
    </row>
    <row r="3" spans="1:6" x14ac:dyDescent="0.3">
      <c r="A3" s="8">
        <v>2</v>
      </c>
      <c r="B3" s="8">
        <v>1</v>
      </c>
      <c r="C3" s="8">
        <v>3635</v>
      </c>
      <c r="D3" s="16">
        <v>1.4842849999999999E-2</v>
      </c>
      <c r="E3">
        <v>7.4214249999999997E-3</v>
      </c>
      <c r="F3" s="17">
        <f>AVERAGE(E2:E139878)/2</f>
        <v>-3.2862129090798892E-3</v>
      </c>
    </row>
    <row r="4" spans="1:6" x14ac:dyDescent="0.3">
      <c r="A4" s="8">
        <v>2</v>
      </c>
      <c r="B4" s="8">
        <v>2</v>
      </c>
      <c r="C4" s="8">
        <v>3888</v>
      </c>
      <c r="D4" s="16">
        <v>1.0829819999999999</v>
      </c>
      <c r="E4"/>
      <c r="F4" s="17">
        <f>SQRT(VAR(E2:E139879))/2</f>
        <v>5.8446361663941756E-3</v>
      </c>
    </row>
    <row r="5" spans="1:6" x14ac:dyDescent="0.3">
      <c r="A5" s="8">
        <v>3</v>
      </c>
      <c r="B5" s="8">
        <v>1</v>
      </c>
      <c r="C5" s="8">
        <v>3646</v>
      </c>
      <c r="D5" s="16">
        <v>-3.377103E-2</v>
      </c>
      <c r="E5">
        <v>-1.6885515E-2</v>
      </c>
      <c r="F5" s="8"/>
    </row>
    <row r="6" spans="1:6" x14ac:dyDescent="0.3">
      <c r="A6" s="8">
        <v>3</v>
      </c>
      <c r="B6" s="8">
        <v>2</v>
      </c>
      <c r="C6" s="8">
        <v>3614</v>
      </c>
      <c r="D6" s="16">
        <v>-3.4974989999999997E-2</v>
      </c>
      <c r="E6">
        <v>-1.7487494999999999E-2</v>
      </c>
      <c r="F6" s="8"/>
    </row>
    <row r="7" spans="1:6" x14ac:dyDescent="0.3">
      <c r="A7" s="8">
        <v>3</v>
      </c>
      <c r="B7" s="8">
        <v>3</v>
      </c>
      <c r="C7" s="8">
        <v>3907</v>
      </c>
      <c r="D7" s="16">
        <v>1.093521</v>
      </c>
      <c r="E7"/>
      <c r="F7" s="8"/>
    </row>
    <row r="8" spans="1:6" x14ac:dyDescent="0.3">
      <c r="A8" s="8">
        <v>4</v>
      </c>
      <c r="B8" s="8">
        <v>1</v>
      </c>
      <c r="C8" s="8">
        <v>3603</v>
      </c>
      <c r="D8" s="16">
        <v>2.376236E-2</v>
      </c>
      <c r="E8">
        <v>1.188118E-2</v>
      </c>
      <c r="F8" s="8"/>
    </row>
    <row r="9" spans="1:6" x14ac:dyDescent="0.3">
      <c r="A9" s="8">
        <v>4</v>
      </c>
      <c r="B9" s="8">
        <v>2</v>
      </c>
      <c r="C9" s="8">
        <v>3582</v>
      </c>
      <c r="D9" s="16">
        <v>-2.9225449999999999E-3</v>
      </c>
      <c r="E9">
        <v>-1.4612725E-3</v>
      </c>
      <c r="F9" s="8"/>
    </row>
    <row r="10" spans="1:6" x14ac:dyDescent="0.3">
      <c r="A10" s="8">
        <v>4</v>
      </c>
      <c r="B10" s="8">
        <v>3</v>
      </c>
      <c r="C10" s="8">
        <v>3600</v>
      </c>
      <c r="D10" s="16">
        <v>-3.6330250000000001E-2</v>
      </c>
      <c r="E10">
        <v>-1.8165125000000001E-2</v>
      </c>
    </row>
    <row r="11" spans="1:6" x14ac:dyDescent="0.3">
      <c r="A11" s="8">
        <v>4</v>
      </c>
      <c r="B11" s="8">
        <v>4</v>
      </c>
      <c r="C11" s="8">
        <v>3857</v>
      </c>
      <c r="D11" s="16">
        <v>1.1564380000000001</v>
      </c>
      <c r="E11"/>
    </row>
    <row r="12" spans="1:6" x14ac:dyDescent="0.3">
      <c r="A12" s="8">
        <v>5</v>
      </c>
      <c r="B12" s="8">
        <v>1</v>
      </c>
      <c r="C12" s="8">
        <v>3624</v>
      </c>
      <c r="D12" s="16">
        <v>-2.5398879999999999E-2</v>
      </c>
      <c r="E12">
        <v>-1.2699439999999999E-2</v>
      </c>
    </row>
    <row r="13" spans="1:6" x14ac:dyDescent="0.3">
      <c r="A13" s="8">
        <v>5</v>
      </c>
      <c r="B13" s="8">
        <v>2</v>
      </c>
      <c r="C13" s="8">
        <v>3614</v>
      </c>
      <c r="D13" s="16">
        <v>-3.6420679999999997E-2</v>
      </c>
      <c r="E13">
        <v>-1.8210339999999998E-2</v>
      </c>
    </row>
    <row r="14" spans="1:6" x14ac:dyDescent="0.3">
      <c r="A14" s="8">
        <v>5</v>
      </c>
      <c r="B14" s="8">
        <v>3</v>
      </c>
      <c r="C14" s="8">
        <v>3620</v>
      </c>
      <c r="D14" s="16">
        <v>1.7061460000000001E-2</v>
      </c>
      <c r="E14">
        <v>8.5307300000000003E-3</v>
      </c>
    </row>
    <row r="15" spans="1:6" x14ac:dyDescent="0.3">
      <c r="A15" s="8">
        <v>5</v>
      </c>
      <c r="B15" s="8">
        <v>4</v>
      </c>
      <c r="C15" s="8">
        <v>3583</v>
      </c>
      <c r="D15" s="16">
        <v>-2.1884520000000001E-2</v>
      </c>
      <c r="E15">
        <v>-1.0942260000000001E-2</v>
      </c>
    </row>
    <row r="16" spans="1:6" x14ac:dyDescent="0.3">
      <c r="A16" s="8">
        <v>5</v>
      </c>
      <c r="B16" s="8">
        <v>5</v>
      </c>
      <c r="C16" s="8">
        <v>3881</v>
      </c>
      <c r="D16" s="16">
        <v>1.1265719999999999</v>
      </c>
      <c r="E16"/>
    </row>
    <row r="17" spans="1:5" x14ac:dyDescent="0.3">
      <c r="A17" s="8">
        <v>6</v>
      </c>
      <c r="B17" s="8">
        <v>1</v>
      </c>
      <c r="C17" s="8">
        <v>3618</v>
      </c>
      <c r="D17" s="16">
        <v>-1.9377990000000001E-2</v>
      </c>
      <c r="E17">
        <v>-9.6889950000000006E-3</v>
      </c>
    </row>
    <row r="18" spans="1:5" x14ac:dyDescent="0.3">
      <c r="A18" s="8">
        <v>6</v>
      </c>
      <c r="B18" s="8">
        <v>2</v>
      </c>
      <c r="C18" s="8">
        <v>3598</v>
      </c>
      <c r="D18" s="16">
        <v>-4.7117840000000001E-2</v>
      </c>
      <c r="E18">
        <v>-2.3558920000000001E-2</v>
      </c>
    </row>
    <row r="19" spans="1:5" x14ac:dyDescent="0.3">
      <c r="A19" s="8">
        <v>6</v>
      </c>
      <c r="B19" s="8">
        <v>3</v>
      </c>
      <c r="C19" s="8">
        <v>3629</v>
      </c>
      <c r="D19" s="16">
        <v>-2.0675700000000002E-2</v>
      </c>
      <c r="E19">
        <v>-1.0337850000000001E-2</v>
      </c>
    </row>
    <row r="20" spans="1:5" x14ac:dyDescent="0.3">
      <c r="A20" s="8">
        <v>6</v>
      </c>
      <c r="B20" s="8">
        <v>4</v>
      </c>
      <c r="C20" s="8">
        <v>3583</v>
      </c>
      <c r="D20" s="16">
        <v>-8.4641509999999996E-3</v>
      </c>
      <c r="E20">
        <v>-4.2320754999999998E-3</v>
      </c>
    </row>
    <row r="21" spans="1:5" x14ac:dyDescent="0.3">
      <c r="A21" s="8">
        <v>6</v>
      </c>
      <c r="B21" s="8">
        <v>5</v>
      </c>
      <c r="C21" s="8">
        <v>3600</v>
      </c>
      <c r="D21" s="16">
        <v>-3.6177589999999999E-3</v>
      </c>
      <c r="E21">
        <v>-1.8088795E-3</v>
      </c>
    </row>
    <row r="22" spans="1:5" x14ac:dyDescent="0.3">
      <c r="A22" s="8">
        <v>6</v>
      </c>
      <c r="B22" s="8">
        <v>6</v>
      </c>
      <c r="C22" s="8">
        <v>3886</v>
      </c>
      <c r="D22" s="16">
        <v>0.96558049999999995</v>
      </c>
      <c r="E22"/>
    </row>
    <row r="23" spans="1:5" x14ac:dyDescent="0.3">
      <c r="A23" s="8">
        <v>7</v>
      </c>
      <c r="B23" s="8">
        <v>1</v>
      </c>
      <c r="C23" s="8">
        <v>3587</v>
      </c>
      <c r="D23" s="16">
        <v>-2.712502E-2</v>
      </c>
      <c r="E23">
        <v>-1.356251E-2</v>
      </c>
    </row>
    <row r="24" spans="1:5" x14ac:dyDescent="0.3">
      <c r="A24" s="8">
        <v>7</v>
      </c>
      <c r="B24" s="8">
        <v>2</v>
      </c>
      <c r="C24" s="8">
        <v>3576</v>
      </c>
      <c r="D24" s="16">
        <v>-1.318919E-2</v>
      </c>
      <c r="E24">
        <v>-6.594595E-3</v>
      </c>
    </row>
    <row r="25" spans="1:5" x14ac:dyDescent="0.3">
      <c r="A25" s="8">
        <v>7</v>
      </c>
      <c r="B25" s="8">
        <v>3</v>
      </c>
      <c r="C25" s="8">
        <v>3595</v>
      </c>
      <c r="D25" s="16">
        <v>-1.8893409999999999E-2</v>
      </c>
      <c r="E25">
        <v>-9.4467049999999997E-3</v>
      </c>
    </row>
    <row r="26" spans="1:5" x14ac:dyDescent="0.3">
      <c r="A26" s="8">
        <v>7</v>
      </c>
      <c r="B26" s="8">
        <v>4</v>
      </c>
      <c r="C26" s="8">
        <v>3551</v>
      </c>
      <c r="D26" s="16">
        <v>1.261059E-2</v>
      </c>
      <c r="E26">
        <v>6.3052949999999998E-3</v>
      </c>
    </row>
    <row r="27" spans="1:5" x14ac:dyDescent="0.3">
      <c r="A27" s="8">
        <v>7</v>
      </c>
      <c r="B27" s="8">
        <v>5</v>
      </c>
      <c r="C27" s="8">
        <v>3578</v>
      </c>
      <c r="D27" s="16">
        <v>-1.558791E-2</v>
      </c>
      <c r="E27">
        <v>-7.793955E-3</v>
      </c>
    </row>
    <row r="28" spans="1:5" x14ac:dyDescent="0.3">
      <c r="A28" s="8">
        <v>7</v>
      </c>
      <c r="B28" s="8">
        <v>6</v>
      </c>
      <c r="C28" s="8">
        <v>3568</v>
      </c>
      <c r="D28" s="16">
        <v>-9.6430479999999996E-3</v>
      </c>
      <c r="E28">
        <v>-4.8215239999999998E-3</v>
      </c>
    </row>
    <row r="29" spans="1:5" x14ac:dyDescent="0.3">
      <c r="A29" s="8">
        <v>7</v>
      </c>
      <c r="B29" s="8">
        <v>7</v>
      </c>
      <c r="C29" s="8">
        <v>3850</v>
      </c>
      <c r="D29" s="16">
        <v>1.0769759999999999</v>
      </c>
      <c r="E29"/>
    </row>
    <row r="30" spans="1:5" x14ac:dyDescent="0.3">
      <c r="A30" s="8">
        <v>8</v>
      </c>
      <c r="B30" s="8">
        <v>1</v>
      </c>
      <c r="C30" s="8">
        <v>3630</v>
      </c>
      <c r="D30" s="16">
        <v>2.008171E-3</v>
      </c>
      <c r="E30">
        <v>1.0040855E-3</v>
      </c>
    </row>
    <row r="31" spans="1:5" x14ac:dyDescent="0.3">
      <c r="A31" s="8">
        <v>8</v>
      </c>
      <c r="B31" s="8">
        <v>2</v>
      </c>
      <c r="C31" s="8">
        <v>3599</v>
      </c>
      <c r="D31" s="16">
        <v>-5.4852950000000003E-3</v>
      </c>
      <c r="E31">
        <v>-2.7426475000000001E-3</v>
      </c>
    </row>
    <row r="32" spans="1:5" x14ac:dyDescent="0.3">
      <c r="A32" s="8">
        <v>8</v>
      </c>
      <c r="B32" s="8">
        <v>3</v>
      </c>
      <c r="C32" s="8">
        <v>3635</v>
      </c>
      <c r="D32" s="16">
        <v>-5.1866389999999998E-3</v>
      </c>
      <c r="E32">
        <v>-2.5933194999999999E-3</v>
      </c>
    </row>
    <row r="33" spans="1:5" x14ac:dyDescent="0.3">
      <c r="A33" s="8">
        <v>8</v>
      </c>
      <c r="B33" s="8">
        <v>4</v>
      </c>
      <c r="C33" s="8">
        <v>3581</v>
      </c>
      <c r="D33" s="16">
        <v>4.0906070000000003E-2</v>
      </c>
      <c r="E33">
        <v>2.0453035000000001E-2</v>
      </c>
    </row>
    <row r="34" spans="1:5" x14ac:dyDescent="0.3">
      <c r="A34" s="8">
        <v>8</v>
      </c>
      <c r="B34" s="8">
        <v>5</v>
      </c>
      <c r="C34" s="8">
        <v>3604</v>
      </c>
      <c r="D34" s="16">
        <v>1.520851E-2</v>
      </c>
      <c r="E34">
        <v>7.6042549999999999E-3</v>
      </c>
    </row>
    <row r="35" spans="1:5" x14ac:dyDescent="0.3">
      <c r="A35" s="8">
        <v>8</v>
      </c>
      <c r="B35" s="8">
        <v>6</v>
      </c>
      <c r="C35" s="8">
        <v>3604</v>
      </c>
      <c r="D35" s="16">
        <v>-6.5393439999999997E-2</v>
      </c>
      <c r="E35">
        <v>-3.2696719999999999E-2</v>
      </c>
    </row>
    <row r="36" spans="1:5" x14ac:dyDescent="0.3">
      <c r="A36" s="8">
        <v>8</v>
      </c>
      <c r="B36" s="8">
        <v>7</v>
      </c>
      <c r="C36" s="8">
        <v>3581</v>
      </c>
      <c r="D36" s="16">
        <v>1.8598239999999999E-2</v>
      </c>
      <c r="E36">
        <v>9.2991199999999993E-3</v>
      </c>
    </row>
    <row r="37" spans="1:5" x14ac:dyDescent="0.3">
      <c r="A37" s="8">
        <v>8</v>
      </c>
      <c r="B37" s="8">
        <v>8</v>
      </c>
      <c r="C37" s="8">
        <v>3884</v>
      </c>
      <c r="D37" s="16">
        <v>1.158434</v>
      </c>
      <c r="E37"/>
    </row>
    <row r="38" spans="1:5" x14ac:dyDescent="0.3">
      <c r="A38" s="8">
        <v>9</v>
      </c>
      <c r="B38" s="8">
        <v>1</v>
      </c>
      <c r="C38" s="8">
        <v>3638</v>
      </c>
      <c r="D38" s="16">
        <v>-1.8980440000000001E-2</v>
      </c>
      <c r="E38">
        <v>-9.4902200000000006E-3</v>
      </c>
    </row>
    <row r="39" spans="1:5" x14ac:dyDescent="0.3">
      <c r="A39" s="8">
        <v>9</v>
      </c>
      <c r="B39" s="8">
        <v>2</v>
      </c>
      <c r="C39" s="8">
        <v>3622</v>
      </c>
      <c r="D39" s="16">
        <v>-2.9042439999999999E-2</v>
      </c>
      <c r="E39">
        <v>-1.452122E-2</v>
      </c>
    </row>
    <row r="40" spans="1:5" x14ac:dyDescent="0.3">
      <c r="A40" s="8">
        <v>9</v>
      </c>
      <c r="B40" s="8">
        <v>3</v>
      </c>
      <c r="C40" s="8">
        <v>3630</v>
      </c>
      <c r="D40" s="16">
        <v>2.4734720000000002E-2</v>
      </c>
      <c r="E40">
        <v>1.2367360000000001E-2</v>
      </c>
    </row>
    <row r="41" spans="1:5" x14ac:dyDescent="0.3">
      <c r="A41" s="8">
        <v>9</v>
      </c>
      <c r="B41" s="8">
        <v>4</v>
      </c>
      <c r="C41" s="8">
        <v>3597</v>
      </c>
      <c r="D41" s="16">
        <v>-5.7070469999999998E-2</v>
      </c>
      <c r="E41">
        <v>-2.8535234999999999E-2</v>
      </c>
    </row>
    <row r="42" spans="1:5" x14ac:dyDescent="0.3">
      <c r="A42" s="8">
        <v>9</v>
      </c>
      <c r="B42" s="8">
        <v>5</v>
      </c>
      <c r="C42" s="8">
        <v>3610</v>
      </c>
      <c r="D42" s="16">
        <v>1.3413960000000001E-2</v>
      </c>
      <c r="E42">
        <v>6.7069800000000004E-3</v>
      </c>
    </row>
    <row r="43" spans="1:5" x14ac:dyDescent="0.3">
      <c r="A43" s="8">
        <v>9</v>
      </c>
      <c r="B43" s="8">
        <v>6</v>
      </c>
      <c r="C43" s="8">
        <v>3610</v>
      </c>
      <c r="D43" s="16">
        <v>1.675186E-2</v>
      </c>
      <c r="E43">
        <v>8.3759300000000002E-3</v>
      </c>
    </row>
    <row r="44" spans="1:5" x14ac:dyDescent="0.3">
      <c r="A44" s="8">
        <v>9</v>
      </c>
      <c r="B44" s="8">
        <v>7</v>
      </c>
      <c r="C44" s="8">
        <v>3577</v>
      </c>
      <c r="D44" s="16">
        <v>-4.1443149999999998E-2</v>
      </c>
      <c r="E44">
        <v>-2.0721574999999999E-2</v>
      </c>
    </row>
    <row r="45" spans="1:5" x14ac:dyDescent="0.3">
      <c r="A45" s="8">
        <v>9</v>
      </c>
      <c r="B45" s="8">
        <v>8</v>
      </c>
      <c r="C45" s="8">
        <v>3610</v>
      </c>
      <c r="D45" s="16">
        <v>-3.925878E-2</v>
      </c>
      <c r="E45">
        <v>-1.962939E-2</v>
      </c>
    </row>
    <row r="46" spans="1:5" x14ac:dyDescent="0.3">
      <c r="A46" s="8">
        <v>9</v>
      </c>
      <c r="B46" s="8">
        <v>9</v>
      </c>
      <c r="C46" s="8">
        <v>3893</v>
      </c>
      <c r="D46" s="16">
        <v>1.11771</v>
      </c>
      <c r="E46"/>
    </row>
    <row r="47" spans="1:5" x14ac:dyDescent="0.3">
      <c r="A47" s="8">
        <v>10</v>
      </c>
      <c r="B47" s="8">
        <v>1</v>
      </c>
      <c r="C47" s="8">
        <v>3632</v>
      </c>
      <c r="D47" s="16">
        <v>-3.732924E-2</v>
      </c>
      <c r="E47">
        <v>-1.866462E-2</v>
      </c>
    </row>
    <row r="48" spans="1:5" x14ac:dyDescent="0.3">
      <c r="A48" s="8">
        <v>10</v>
      </c>
      <c r="B48" s="8">
        <v>2</v>
      </c>
      <c r="C48" s="8">
        <v>3623</v>
      </c>
      <c r="D48" s="16">
        <v>-5.5888229999999997E-2</v>
      </c>
      <c r="E48">
        <v>-2.7944114999999999E-2</v>
      </c>
    </row>
    <row r="49" spans="1:5" x14ac:dyDescent="0.3">
      <c r="A49" s="8">
        <v>10</v>
      </c>
      <c r="B49" s="8">
        <v>3</v>
      </c>
      <c r="C49" s="8">
        <v>3628</v>
      </c>
      <c r="D49" s="16">
        <v>-2.686782E-3</v>
      </c>
      <c r="E49">
        <v>-1.343391E-3</v>
      </c>
    </row>
    <row r="50" spans="1:5" x14ac:dyDescent="0.3">
      <c r="A50" s="8">
        <v>10</v>
      </c>
      <c r="B50" s="8">
        <v>4</v>
      </c>
      <c r="C50" s="8">
        <v>3594</v>
      </c>
      <c r="D50" s="16">
        <v>-3.3179090000000001E-2</v>
      </c>
      <c r="E50">
        <v>-1.6589545000000001E-2</v>
      </c>
    </row>
    <row r="51" spans="1:5" x14ac:dyDescent="0.3">
      <c r="A51" s="8">
        <v>10</v>
      </c>
      <c r="B51" s="8">
        <v>5</v>
      </c>
      <c r="C51" s="8">
        <v>3611</v>
      </c>
      <c r="D51" s="16">
        <v>5.2296559999999999E-2</v>
      </c>
      <c r="E51">
        <v>2.6148279999999999E-2</v>
      </c>
    </row>
    <row r="52" spans="1:5" x14ac:dyDescent="0.3">
      <c r="A52" s="8">
        <v>10</v>
      </c>
      <c r="B52" s="8">
        <v>6</v>
      </c>
      <c r="C52" s="8">
        <v>3608</v>
      </c>
      <c r="D52" s="16">
        <v>1.6807059999999999E-2</v>
      </c>
      <c r="E52">
        <v>8.4035299999999993E-3</v>
      </c>
    </row>
    <row r="53" spans="1:5" x14ac:dyDescent="0.3">
      <c r="A53" s="8">
        <v>10</v>
      </c>
      <c r="B53" s="8">
        <v>7</v>
      </c>
      <c r="C53" s="8">
        <v>3581</v>
      </c>
      <c r="D53" s="16">
        <v>-2.7795210000000001E-2</v>
      </c>
      <c r="E53">
        <v>-1.3897605E-2</v>
      </c>
    </row>
    <row r="54" spans="1:5" x14ac:dyDescent="0.3">
      <c r="A54" s="8">
        <v>10</v>
      </c>
      <c r="B54" s="8">
        <v>8</v>
      </c>
      <c r="C54" s="8">
        <v>3605</v>
      </c>
      <c r="D54" s="16">
        <v>-5.3484179999999999E-2</v>
      </c>
      <c r="E54">
        <v>-2.674209E-2</v>
      </c>
    </row>
    <row r="55" spans="1:5" x14ac:dyDescent="0.3">
      <c r="A55" s="8">
        <v>10</v>
      </c>
      <c r="B55" s="8">
        <v>9</v>
      </c>
      <c r="C55" s="8">
        <v>3609</v>
      </c>
      <c r="D55" s="16">
        <v>5.6616359999999998E-2</v>
      </c>
      <c r="E55">
        <v>2.8308179999999999E-2</v>
      </c>
    </row>
    <row r="56" spans="1:5" x14ac:dyDescent="0.3">
      <c r="A56" s="8">
        <v>10</v>
      </c>
      <c r="B56" s="8">
        <v>10</v>
      </c>
      <c r="C56" s="8">
        <v>3893</v>
      </c>
      <c r="D56" s="16">
        <v>1.1341810000000001</v>
      </c>
      <c r="E56"/>
    </row>
    <row r="57" spans="1:5" x14ac:dyDescent="0.3">
      <c r="A57" s="8">
        <v>11</v>
      </c>
      <c r="B57" s="8">
        <v>1</v>
      </c>
      <c r="C57" s="8">
        <v>3624</v>
      </c>
      <c r="D57" s="16">
        <v>1.5310270000000001E-2</v>
      </c>
      <c r="E57">
        <v>7.6551350000000004E-3</v>
      </c>
    </row>
    <row r="58" spans="1:5" x14ac:dyDescent="0.3">
      <c r="A58" s="8">
        <v>11</v>
      </c>
      <c r="B58" s="8">
        <v>2</v>
      </c>
      <c r="C58" s="8">
        <v>3605</v>
      </c>
      <c r="D58" s="16">
        <v>-2.051911E-2</v>
      </c>
      <c r="E58">
        <v>-1.0259555E-2</v>
      </c>
    </row>
    <row r="59" spans="1:5" x14ac:dyDescent="0.3">
      <c r="A59" s="8">
        <v>11</v>
      </c>
      <c r="B59" s="8">
        <v>3</v>
      </c>
      <c r="C59" s="8">
        <v>3626</v>
      </c>
      <c r="D59" s="16">
        <v>1.3789550000000001E-3</v>
      </c>
      <c r="E59">
        <v>6.8947750000000003E-4</v>
      </c>
    </row>
    <row r="60" spans="1:5" x14ac:dyDescent="0.3">
      <c r="A60" s="8">
        <v>11</v>
      </c>
      <c r="B60" s="8">
        <v>4</v>
      </c>
      <c r="C60" s="8">
        <v>3576</v>
      </c>
      <c r="D60" s="16">
        <v>-2.2284600000000002E-2</v>
      </c>
      <c r="E60">
        <v>-1.1142300000000001E-2</v>
      </c>
    </row>
    <row r="61" spans="1:5" x14ac:dyDescent="0.3">
      <c r="A61" s="8">
        <v>11</v>
      </c>
      <c r="B61" s="8">
        <v>5</v>
      </c>
      <c r="C61" s="8">
        <v>3609</v>
      </c>
      <c r="D61" s="16">
        <v>-1.7654929999999999E-2</v>
      </c>
      <c r="E61">
        <v>-8.8274649999999996E-3</v>
      </c>
    </row>
    <row r="62" spans="1:5" x14ac:dyDescent="0.3">
      <c r="A62" s="8">
        <v>11</v>
      </c>
      <c r="B62" s="8">
        <v>6</v>
      </c>
      <c r="C62" s="8">
        <v>3604</v>
      </c>
      <c r="D62" s="16">
        <v>-1.7809390000000001E-2</v>
      </c>
      <c r="E62">
        <v>-8.9046950000000007E-3</v>
      </c>
    </row>
    <row r="63" spans="1:5" x14ac:dyDescent="0.3">
      <c r="A63" s="8">
        <v>11</v>
      </c>
      <c r="B63" s="8">
        <v>7</v>
      </c>
      <c r="C63" s="8">
        <v>3575</v>
      </c>
      <c r="D63" s="16">
        <v>-6.5904859999999996E-3</v>
      </c>
      <c r="E63">
        <v>-3.2952429999999998E-3</v>
      </c>
    </row>
    <row r="64" spans="1:5" x14ac:dyDescent="0.3">
      <c r="A64" s="8">
        <v>11</v>
      </c>
      <c r="B64" s="8">
        <v>8</v>
      </c>
      <c r="C64" s="8">
        <v>3606</v>
      </c>
      <c r="D64" s="16">
        <v>7.8782100000000001E-3</v>
      </c>
      <c r="E64">
        <v>3.939105E-3</v>
      </c>
    </row>
    <row r="65" spans="1:5" x14ac:dyDescent="0.3">
      <c r="A65" s="8">
        <v>11</v>
      </c>
      <c r="B65" s="8">
        <v>9</v>
      </c>
      <c r="C65" s="8">
        <v>3619</v>
      </c>
      <c r="D65" s="16">
        <v>-1.0546410000000001E-2</v>
      </c>
      <c r="E65">
        <v>-5.2732050000000004E-3</v>
      </c>
    </row>
    <row r="66" spans="1:5" x14ac:dyDescent="0.3">
      <c r="A66" s="8">
        <v>11</v>
      </c>
      <c r="B66" s="8">
        <v>10</v>
      </c>
      <c r="C66" s="8">
        <v>3613</v>
      </c>
      <c r="D66" s="16">
        <v>-2.9537970000000002E-3</v>
      </c>
      <c r="E66">
        <v>-1.4768985000000001E-3</v>
      </c>
    </row>
    <row r="67" spans="1:5" x14ac:dyDescent="0.3">
      <c r="A67" s="8">
        <v>11</v>
      </c>
      <c r="B67" s="8">
        <v>11</v>
      </c>
      <c r="C67" s="8">
        <v>3885</v>
      </c>
      <c r="D67" s="16">
        <v>1.004731</v>
      </c>
      <c r="E67"/>
    </row>
    <row r="68" spans="1:5" x14ac:dyDescent="0.3">
      <c r="A68" s="8">
        <v>12</v>
      </c>
      <c r="B68" s="8">
        <v>1</v>
      </c>
      <c r="C68" s="8">
        <v>3634</v>
      </c>
      <c r="D68" s="16">
        <v>-1.3440880000000001E-2</v>
      </c>
      <c r="E68">
        <v>-6.7204400000000003E-3</v>
      </c>
    </row>
    <row r="69" spans="1:5" x14ac:dyDescent="0.3">
      <c r="A69" s="8">
        <v>12</v>
      </c>
      <c r="B69" s="8">
        <v>2</v>
      </c>
      <c r="C69" s="8">
        <v>3623</v>
      </c>
      <c r="D69" s="16">
        <v>-1.8457370000000001E-2</v>
      </c>
      <c r="E69">
        <v>-9.2286850000000004E-3</v>
      </c>
    </row>
    <row r="70" spans="1:5" x14ac:dyDescent="0.3">
      <c r="A70" s="8">
        <v>12</v>
      </c>
      <c r="B70" s="8">
        <v>3</v>
      </c>
      <c r="C70" s="8">
        <v>3633</v>
      </c>
      <c r="D70" s="16">
        <v>-1.509107E-2</v>
      </c>
      <c r="E70">
        <v>-7.5455349999999999E-3</v>
      </c>
    </row>
    <row r="71" spans="1:5" x14ac:dyDescent="0.3">
      <c r="A71" s="8">
        <v>12</v>
      </c>
      <c r="B71" s="8">
        <v>4</v>
      </c>
      <c r="C71" s="8">
        <v>3585</v>
      </c>
      <c r="D71" s="16">
        <v>1.0681650000000001E-2</v>
      </c>
      <c r="E71">
        <v>5.3408250000000004E-3</v>
      </c>
    </row>
    <row r="72" spans="1:5" x14ac:dyDescent="0.3">
      <c r="A72" s="8">
        <v>12</v>
      </c>
      <c r="B72" s="8">
        <v>5</v>
      </c>
      <c r="C72" s="8">
        <v>3612</v>
      </c>
      <c r="D72" s="16">
        <v>-7.1427860000000004E-4</v>
      </c>
      <c r="E72">
        <v>-3.5713930000000002E-4</v>
      </c>
    </row>
    <row r="73" spans="1:5" x14ac:dyDescent="0.3">
      <c r="A73" s="8">
        <v>12</v>
      </c>
      <c r="B73" s="8">
        <v>6</v>
      </c>
      <c r="C73" s="8">
        <v>3618</v>
      </c>
      <c r="D73" s="16">
        <v>-9.9928440000000007E-3</v>
      </c>
      <c r="E73">
        <v>-4.9964220000000004E-3</v>
      </c>
    </row>
    <row r="74" spans="1:5" x14ac:dyDescent="0.3">
      <c r="A74" s="8">
        <v>12</v>
      </c>
      <c r="B74" s="8">
        <v>7</v>
      </c>
      <c r="C74" s="8">
        <v>3590</v>
      </c>
      <c r="D74" s="16">
        <v>-4.08537E-2</v>
      </c>
      <c r="E74">
        <v>-2.042685E-2</v>
      </c>
    </row>
    <row r="75" spans="1:5" x14ac:dyDescent="0.3">
      <c r="A75" s="8">
        <v>12</v>
      </c>
      <c r="B75" s="8">
        <v>8</v>
      </c>
      <c r="C75" s="8">
        <v>3617</v>
      </c>
      <c r="D75" s="16">
        <v>6.0037329999999998E-3</v>
      </c>
      <c r="E75">
        <v>3.0018664999999999E-3</v>
      </c>
    </row>
    <row r="76" spans="1:5" x14ac:dyDescent="0.3">
      <c r="A76" s="8">
        <v>12</v>
      </c>
      <c r="B76" s="8">
        <v>9</v>
      </c>
      <c r="C76" s="8">
        <v>3620</v>
      </c>
      <c r="D76" s="16">
        <v>-3.9323400000000003E-3</v>
      </c>
      <c r="E76">
        <v>-1.9661700000000002E-3</v>
      </c>
    </row>
    <row r="77" spans="1:5" x14ac:dyDescent="0.3">
      <c r="A77" s="8">
        <v>12</v>
      </c>
      <c r="B77" s="8">
        <v>10</v>
      </c>
      <c r="C77" s="8">
        <v>3624</v>
      </c>
      <c r="D77" s="16">
        <v>-2.8209209999999998E-2</v>
      </c>
      <c r="E77">
        <v>-1.4104604999999999E-2</v>
      </c>
    </row>
    <row r="78" spans="1:5" x14ac:dyDescent="0.3">
      <c r="A78" s="8">
        <v>12</v>
      </c>
      <c r="B78" s="8">
        <v>11</v>
      </c>
      <c r="C78" s="8">
        <v>3635</v>
      </c>
      <c r="D78" s="16">
        <v>2.1441999999999999E-2</v>
      </c>
      <c r="E78">
        <v>1.0721E-2</v>
      </c>
    </row>
    <row r="79" spans="1:5" x14ac:dyDescent="0.3">
      <c r="A79" s="8">
        <v>12</v>
      </c>
      <c r="B79" s="8">
        <v>12</v>
      </c>
      <c r="C79" s="8">
        <v>3896</v>
      </c>
      <c r="D79" s="16">
        <v>0.9997684</v>
      </c>
      <c r="E79"/>
    </row>
    <row r="80" spans="1:5" x14ac:dyDescent="0.3">
      <c r="A80" s="8">
        <v>13</v>
      </c>
      <c r="B80" s="8">
        <v>1</v>
      </c>
      <c r="C80" s="8">
        <v>3628</v>
      </c>
      <c r="D80" s="16">
        <v>-1.8156809999999999E-2</v>
      </c>
      <c r="E80">
        <v>-9.0784049999999995E-3</v>
      </c>
    </row>
    <row r="81" spans="1:5" x14ac:dyDescent="0.3">
      <c r="A81" s="8">
        <v>13</v>
      </c>
      <c r="B81" s="8">
        <v>2</v>
      </c>
      <c r="C81" s="8">
        <v>3605</v>
      </c>
      <c r="D81" s="16">
        <v>-1.9258740000000001E-4</v>
      </c>
      <c r="E81">
        <v>-9.6293700000000003E-5</v>
      </c>
    </row>
    <row r="82" spans="1:5" x14ac:dyDescent="0.3">
      <c r="A82" s="8">
        <v>13</v>
      </c>
      <c r="B82" s="8">
        <v>3</v>
      </c>
      <c r="C82" s="8">
        <v>3623</v>
      </c>
      <c r="D82" s="16">
        <v>-4.1330730000000003E-2</v>
      </c>
      <c r="E82">
        <v>-2.0665365000000002E-2</v>
      </c>
    </row>
    <row r="83" spans="1:5" x14ac:dyDescent="0.3">
      <c r="A83" s="8">
        <v>13</v>
      </c>
      <c r="B83" s="8">
        <v>4</v>
      </c>
      <c r="C83" s="8">
        <v>3583</v>
      </c>
      <c r="D83" s="16">
        <v>-1.8524240000000001E-2</v>
      </c>
      <c r="E83">
        <v>-9.2621200000000004E-3</v>
      </c>
    </row>
    <row r="84" spans="1:5" x14ac:dyDescent="0.3">
      <c r="A84" s="8">
        <v>13</v>
      </c>
      <c r="B84" s="8">
        <v>5</v>
      </c>
      <c r="C84" s="8">
        <v>3606</v>
      </c>
      <c r="D84" s="16">
        <v>1.2605419999999999E-3</v>
      </c>
      <c r="E84">
        <v>6.3027099999999996E-4</v>
      </c>
    </row>
    <row r="85" spans="1:5" x14ac:dyDescent="0.3">
      <c r="A85" s="8">
        <v>13</v>
      </c>
      <c r="B85" s="8">
        <v>6</v>
      </c>
      <c r="C85" s="8">
        <v>3605</v>
      </c>
      <c r="D85" s="16">
        <v>1.849023E-2</v>
      </c>
      <c r="E85">
        <v>9.2451149999999999E-3</v>
      </c>
    </row>
    <row r="86" spans="1:5" x14ac:dyDescent="0.3">
      <c r="A86" s="8">
        <v>13</v>
      </c>
      <c r="B86" s="8">
        <v>7</v>
      </c>
      <c r="C86" s="8">
        <v>3565</v>
      </c>
      <c r="D86" s="16">
        <v>-7.2137919999999994E-2</v>
      </c>
      <c r="E86">
        <v>-3.6068959999999997E-2</v>
      </c>
    </row>
    <row r="87" spans="1:5" x14ac:dyDescent="0.3">
      <c r="A87" s="8">
        <v>13</v>
      </c>
      <c r="B87" s="8">
        <v>8</v>
      </c>
      <c r="C87" s="8">
        <v>3596</v>
      </c>
      <c r="D87" s="16">
        <v>-3.7417400000000003E-2</v>
      </c>
      <c r="E87">
        <v>-1.8708700000000002E-2</v>
      </c>
    </row>
    <row r="88" spans="1:5" x14ac:dyDescent="0.3">
      <c r="A88" s="8">
        <v>13</v>
      </c>
      <c r="B88" s="8">
        <v>9</v>
      </c>
      <c r="C88" s="8">
        <v>3616</v>
      </c>
      <c r="D88" s="16">
        <v>-2.6977490000000002E-3</v>
      </c>
      <c r="E88">
        <v>-1.3488745000000001E-3</v>
      </c>
    </row>
    <row r="89" spans="1:5" x14ac:dyDescent="0.3">
      <c r="A89" s="8">
        <v>13</v>
      </c>
      <c r="B89" s="8">
        <v>10</v>
      </c>
      <c r="C89" s="8">
        <v>3606</v>
      </c>
      <c r="D89" s="16">
        <v>-1.50511E-2</v>
      </c>
      <c r="E89">
        <v>-7.5255499999999998E-3</v>
      </c>
    </row>
    <row r="90" spans="1:5" x14ac:dyDescent="0.3">
      <c r="A90" s="8">
        <v>13</v>
      </c>
      <c r="B90" s="8">
        <v>11</v>
      </c>
      <c r="C90" s="8">
        <v>3607</v>
      </c>
      <c r="D90" s="16">
        <v>-1.4464869999999999E-2</v>
      </c>
      <c r="E90">
        <v>-7.2324349999999997E-3</v>
      </c>
    </row>
    <row r="91" spans="1:5" x14ac:dyDescent="0.3">
      <c r="A91" s="8">
        <v>13</v>
      </c>
      <c r="B91" s="8">
        <v>12</v>
      </c>
      <c r="C91" s="8">
        <v>3613</v>
      </c>
      <c r="D91" s="16">
        <v>-7.9060320000000003E-3</v>
      </c>
      <c r="E91">
        <v>-3.9530160000000002E-3</v>
      </c>
    </row>
    <row r="92" spans="1:5" x14ac:dyDescent="0.3">
      <c r="A92" s="8">
        <v>13</v>
      </c>
      <c r="B92" s="8">
        <v>13</v>
      </c>
      <c r="C92" s="8">
        <v>3883</v>
      </c>
      <c r="D92" s="16">
        <v>0.97880599999999995</v>
      </c>
      <c r="E92"/>
    </row>
    <row r="93" spans="1:5" x14ac:dyDescent="0.3">
      <c r="A93" s="8">
        <v>14</v>
      </c>
      <c r="B93" s="8">
        <v>1</v>
      </c>
      <c r="C93" s="8">
        <v>3615</v>
      </c>
      <c r="D93" s="16">
        <v>-3.6232159999999999E-2</v>
      </c>
      <c r="E93">
        <v>-1.811608E-2</v>
      </c>
    </row>
    <row r="94" spans="1:5" x14ac:dyDescent="0.3">
      <c r="A94" s="8">
        <v>14</v>
      </c>
      <c r="B94" s="8">
        <v>2</v>
      </c>
      <c r="C94" s="8">
        <v>3597</v>
      </c>
      <c r="D94" s="16">
        <v>-1.8548849999999999E-2</v>
      </c>
      <c r="E94">
        <v>-9.2744249999999993E-3</v>
      </c>
    </row>
    <row r="95" spans="1:5" x14ac:dyDescent="0.3">
      <c r="A95" s="8">
        <v>14</v>
      </c>
      <c r="B95" s="8">
        <v>3</v>
      </c>
      <c r="C95" s="8">
        <v>3626</v>
      </c>
      <c r="D95" s="16">
        <v>-1.8118200000000001E-2</v>
      </c>
      <c r="E95">
        <v>-9.0591000000000005E-3</v>
      </c>
    </row>
    <row r="96" spans="1:5" x14ac:dyDescent="0.3">
      <c r="A96" s="8">
        <v>14</v>
      </c>
      <c r="B96" s="8">
        <v>4</v>
      </c>
      <c r="C96" s="8">
        <v>3565</v>
      </c>
      <c r="D96" s="16">
        <v>-2.500233E-2</v>
      </c>
      <c r="E96">
        <v>-1.2501165E-2</v>
      </c>
    </row>
    <row r="97" spans="1:5" x14ac:dyDescent="0.3">
      <c r="A97" s="8">
        <v>14</v>
      </c>
      <c r="B97" s="8">
        <v>5</v>
      </c>
      <c r="C97" s="8">
        <v>3590</v>
      </c>
      <c r="D97" s="16">
        <v>-5.4438350000000003E-2</v>
      </c>
      <c r="E97">
        <v>-2.7219175000000002E-2</v>
      </c>
    </row>
    <row r="98" spans="1:5" x14ac:dyDescent="0.3">
      <c r="A98" s="8">
        <v>14</v>
      </c>
      <c r="B98" s="8">
        <v>6</v>
      </c>
      <c r="C98" s="8">
        <v>3591</v>
      </c>
      <c r="D98" s="16">
        <v>9.5697170000000002E-3</v>
      </c>
      <c r="E98">
        <v>4.7848585000000001E-3</v>
      </c>
    </row>
    <row r="99" spans="1:5" x14ac:dyDescent="0.3">
      <c r="A99" s="8">
        <v>14</v>
      </c>
      <c r="B99" s="8">
        <v>7</v>
      </c>
      <c r="C99" s="8">
        <v>3566</v>
      </c>
      <c r="D99" s="16">
        <v>-2.1488420000000001E-2</v>
      </c>
      <c r="E99">
        <v>-1.0744210000000001E-2</v>
      </c>
    </row>
    <row r="100" spans="1:5" x14ac:dyDescent="0.3">
      <c r="A100" s="8">
        <v>14</v>
      </c>
      <c r="B100" s="8">
        <v>8</v>
      </c>
      <c r="C100" s="8">
        <v>3607</v>
      </c>
      <c r="D100" s="16">
        <v>-4.45406E-2</v>
      </c>
      <c r="E100">
        <v>-2.22703E-2</v>
      </c>
    </row>
    <row r="101" spans="1:5" x14ac:dyDescent="0.3">
      <c r="A101" s="8">
        <v>14</v>
      </c>
      <c r="B101" s="8">
        <v>9</v>
      </c>
      <c r="C101" s="8">
        <v>3598</v>
      </c>
      <c r="D101" s="16">
        <v>-1.8101079999999999E-2</v>
      </c>
      <c r="E101">
        <v>-9.0505399999999993E-3</v>
      </c>
    </row>
    <row r="102" spans="1:5" x14ac:dyDescent="0.3">
      <c r="A102" s="8">
        <v>14</v>
      </c>
      <c r="B102" s="8">
        <v>10</v>
      </c>
      <c r="C102" s="8">
        <v>3606</v>
      </c>
      <c r="D102" s="16">
        <v>-2.4241720000000001E-2</v>
      </c>
      <c r="E102">
        <v>-1.2120860000000001E-2</v>
      </c>
    </row>
    <row r="103" spans="1:5" x14ac:dyDescent="0.3">
      <c r="A103" s="8">
        <v>14</v>
      </c>
      <c r="B103" s="8">
        <v>11</v>
      </c>
      <c r="C103" s="8">
        <v>3593</v>
      </c>
      <c r="D103" s="16">
        <v>-5.0195620000000003E-2</v>
      </c>
      <c r="E103">
        <v>-2.5097810000000002E-2</v>
      </c>
    </row>
    <row r="104" spans="1:5" x14ac:dyDescent="0.3">
      <c r="A104" s="8">
        <v>14</v>
      </c>
      <c r="B104" s="8">
        <v>12</v>
      </c>
      <c r="C104" s="8">
        <v>3612</v>
      </c>
      <c r="D104" s="16">
        <v>1.368784E-2</v>
      </c>
      <c r="E104">
        <v>6.8439199999999999E-3</v>
      </c>
    </row>
    <row r="105" spans="1:5" x14ac:dyDescent="0.3">
      <c r="A105" s="8">
        <v>14</v>
      </c>
      <c r="B105" s="8">
        <v>13</v>
      </c>
      <c r="C105" s="8">
        <v>3610</v>
      </c>
      <c r="D105" s="16">
        <v>-1.7484449999999999E-2</v>
      </c>
      <c r="E105">
        <v>-8.7422249999999993E-3</v>
      </c>
    </row>
    <row r="106" spans="1:5" x14ac:dyDescent="0.3">
      <c r="A106" s="8">
        <v>14</v>
      </c>
      <c r="B106" s="8">
        <v>14</v>
      </c>
      <c r="C106" s="8">
        <v>3874</v>
      </c>
      <c r="D106" s="16">
        <v>0.97871770000000002</v>
      </c>
      <c r="E106"/>
    </row>
    <row r="107" spans="1:5" x14ac:dyDescent="0.3">
      <c r="A107" s="8">
        <v>15</v>
      </c>
      <c r="B107" s="8">
        <v>1</v>
      </c>
      <c r="C107" s="8">
        <v>3633</v>
      </c>
      <c r="D107" s="16">
        <v>-4.2769950000000001E-2</v>
      </c>
      <c r="E107">
        <v>-2.1384975000000001E-2</v>
      </c>
    </row>
    <row r="108" spans="1:5" x14ac:dyDescent="0.3">
      <c r="A108" s="8">
        <v>15</v>
      </c>
      <c r="B108" s="8">
        <v>2</v>
      </c>
      <c r="C108" s="8">
        <v>3626</v>
      </c>
      <c r="D108" s="16">
        <v>3.2551499999999997E-2</v>
      </c>
      <c r="E108">
        <v>1.6275749999999999E-2</v>
      </c>
    </row>
    <row r="109" spans="1:5" x14ac:dyDescent="0.3">
      <c r="A109" s="8">
        <v>15</v>
      </c>
      <c r="B109" s="8">
        <v>3</v>
      </c>
      <c r="C109" s="8">
        <v>3641</v>
      </c>
      <c r="D109" s="16">
        <v>-7.2006600000000002E-3</v>
      </c>
      <c r="E109">
        <v>-3.6003300000000001E-3</v>
      </c>
    </row>
    <row r="110" spans="1:5" x14ac:dyDescent="0.3">
      <c r="A110" s="8">
        <v>15</v>
      </c>
      <c r="B110" s="8">
        <v>4</v>
      </c>
      <c r="C110" s="8">
        <v>3589</v>
      </c>
      <c r="D110" s="16">
        <v>-2.5475270000000001E-2</v>
      </c>
      <c r="E110">
        <v>-1.2737635000000001E-2</v>
      </c>
    </row>
    <row r="111" spans="1:5" x14ac:dyDescent="0.3">
      <c r="A111" s="8">
        <v>15</v>
      </c>
      <c r="B111" s="8">
        <v>5</v>
      </c>
      <c r="C111" s="8">
        <v>3626</v>
      </c>
      <c r="D111" s="16">
        <v>-3.4129479999999997E-2</v>
      </c>
      <c r="E111">
        <v>-1.7064739999999998E-2</v>
      </c>
    </row>
    <row r="112" spans="1:5" x14ac:dyDescent="0.3">
      <c r="A112" s="8">
        <v>15</v>
      </c>
      <c r="B112" s="8">
        <v>6</v>
      </c>
      <c r="C112" s="8">
        <v>3621</v>
      </c>
      <c r="D112" s="16">
        <v>-2.5398199999999999E-2</v>
      </c>
      <c r="E112">
        <v>-1.26991E-2</v>
      </c>
    </row>
    <row r="113" spans="1:5" x14ac:dyDescent="0.3">
      <c r="A113" s="8">
        <v>15</v>
      </c>
      <c r="B113" s="8">
        <v>7</v>
      </c>
      <c r="C113" s="8">
        <v>3592</v>
      </c>
      <c r="D113" s="16">
        <v>-1.087108E-2</v>
      </c>
      <c r="E113">
        <v>-5.43554E-3</v>
      </c>
    </row>
    <row r="114" spans="1:5" x14ac:dyDescent="0.3">
      <c r="A114" s="8">
        <v>15</v>
      </c>
      <c r="B114" s="8">
        <v>8</v>
      </c>
      <c r="C114" s="8">
        <v>3617</v>
      </c>
      <c r="D114" s="16">
        <v>-3.502856E-2</v>
      </c>
      <c r="E114">
        <v>-1.751428E-2</v>
      </c>
    </row>
    <row r="115" spans="1:5" x14ac:dyDescent="0.3">
      <c r="A115" s="8">
        <v>15</v>
      </c>
      <c r="B115" s="8">
        <v>9</v>
      </c>
      <c r="C115" s="8">
        <v>3630</v>
      </c>
      <c r="D115" s="16">
        <v>2.264855E-2</v>
      </c>
      <c r="E115">
        <v>1.1324275E-2</v>
      </c>
    </row>
    <row r="116" spans="1:5" x14ac:dyDescent="0.3">
      <c r="A116" s="8">
        <v>15</v>
      </c>
      <c r="B116" s="8">
        <v>10</v>
      </c>
      <c r="C116" s="8">
        <v>3636</v>
      </c>
      <c r="D116" s="16">
        <v>8.5112260000000002E-3</v>
      </c>
      <c r="E116">
        <v>4.2556130000000001E-3</v>
      </c>
    </row>
    <row r="117" spans="1:5" x14ac:dyDescent="0.3">
      <c r="A117" s="8">
        <v>15</v>
      </c>
      <c r="B117" s="8">
        <v>11</v>
      </c>
      <c r="C117" s="8">
        <v>3627</v>
      </c>
      <c r="D117" s="16">
        <v>-3.6426769999999997E-2</v>
      </c>
      <c r="E117">
        <v>-1.8213384999999999E-2</v>
      </c>
    </row>
    <row r="118" spans="1:5" x14ac:dyDescent="0.3">
      <c r="A118" s="8">
        <v>15</v>
      </c>
      <c r="B118" s="8">
        <v>12</v>
      </c>
      <c r="C118" s="8">
        <v>3631</v>
      </c>
      <c r="D118" s="16">
        <v>-2.361649E-2</v>
      </c>
      <c r="E118">
        <v>-1.1808245E-2</v>
      </c>
    </row>
    <row r="119" spans="1:5" x14ac:dyDescent="0.3">
      <c r="A119" s="8">
        <v>15</v>
      </c>
      <c r="B119" s="8">
        <v>13</v>
      </c>
      <c r="C119" s="8">
        <v>3624</v>
      </c>
      <c r="D119" s="16">
        <v>-2.511029E-2</v>
      </c>
      <c r="E119">
        <v>-1.2555145E-2</v>
      </c>
    </row>
    <row r="120" spans="1:5" x14ac:dyDescent="0.3">
      <c r="A120" s="8">
        <v>15</v>
      </c>
      <c r="B120" s="8">
        <v>14</v>
      </c>
      <c r="C120" s="8">
        <v>3608</v>
      </c>
      <c r="D120" s="16">
        <v>-1.9235550000000001E-2</v>
      </c>
      <c r="E120">
        <v>-9.6177750000000003E-3</v>
      </c>
    </row>
    <row r="121" spans="1:5" x14ac:dyDescent="0.3">
      <c r="A121" s="8">
        <v>15</v>
      </c>
      <c r="B121" s="8">
        <v>15</v>
      </c>
      <c r="C121" s="8">
        <v>3901</v>
      </c>
      <c r="D121" s="16">
        <v>1.003282</v>
      </c>
      <c r="E121"/>
    </row>
    <row r="122" spans="1:5" x14ac:dyDescent="0.3">
      <c r="A122" s="8">
        <v>16</v>
      </c>
      <c r="B122" s="8">
        <v>1</v>
      </c>
      <c r="C122" s="8">
        <v>3620</v>
      </c>
      <c r="D122" s="16">
        <v>2.9733670000000001E-4</v>
      </c>
      <c r="E122">
        <v>1.4866835E-4</v>
      </c>
    </row>
    <row r="123" spans="1:5" x14ac:dyDescent="0.3">
      <c r="A123" s="8">
        <v>16</v>
      </c>
      <c r="B123" s="8">
        <v>2</v>
      </c>
      <c r="C123" s="8">
        <v>3597</v>
      </c>
      <c r="D123" s="16">
        <v>5.0561099999999998E-2</v>
      </c>
      <c r="E123">
        <v>2.5280549999999999E-2</v>
      </c>
    </row>
    <row r="124" spans="1:5" x14ac:dyDescent="0.3">
      <c r="A124" s="8">
        <v>16</v>
      </c>
      <c r="B124" s="8">
        <v>3</v>
      </c>
      <c r="C124" s="8">
        <v>3615</v>
      </c>
      <c r="D124" s="16">
        <v>-1.8114450000000001E-2</v>
      </c>
      <c r="E124">
        <v>-9.0572250000000003E-3</v>
      </c>
    </row>
    <row r="125" spans="1:5" x14ac:dyDescent="0.3">
      <c r="A125" s="8">
        <v>16</v>
      </c>
      <c r="B125" s="8">
        <v>4</v>
      </c>
      <c r="C125" s="8">
        <v>3578</v>
      </c>
      <c r="D125" s="16">
        <v>-2.8227970000000002E-2</v>
      </c>
      <c r="E125">
        <v>-1.4113985000000001E-2</v>
      </c>
    </row>
    <row r="126" spans="1:5" x14ac:dyDescent="0.3">
      <c r="A126" s="8">
        <v>16</v>
      </c>
      <c r="B126" s="8">
        <v>5</v>
      </c>
      <c r="C126" s="8">
        <v>3594</v>
      </c>
      <c r="D126" s="16">
        <v>-2.4472029999999999E-2</v>
      </c>
      <c r="E126">
        <v>-1.2236014999999999E-2</v>
      </c>
    </row>
    <row r="127" spans="1:5" x14ac:dyDescent="0.3">
      <c r="A127" s="8">
        <v>16</v>
      </c>
      <c r="B127" s="8">
        <v>6</v>
      </c>
      <c r="C127" s="8">
        <v>3595</v>
      </c>
      <c r="D127" s="16">
        <v>-4.2405789999999999E-2</v>
      </c>
      <c r="E127">
        <v>-2.1202894999999999E-2</v>
      </c>
    </row>
    <row r="128" spans="1:5" x14ac:dyDescent="0.3">
      <c r="A128" s="8">
        <v>16</v>
      </c>
      <c r="B128" s="8">
        <v>7</v>
      </c>
      <c r="C128" s="8">
        <v>3573</v>
      </c>
      <c r="D128" s="16">
        <v>-2.749629E-2</v>
      </c>
      <c r="E128">
        <v>-1.3748145E-2</v>
      </c>
    </row>
    <row r="129" spans="1:5" x14ac:dyDescent="0.3">
      <c r="A129" s="8">
        <v>16</v>
      </c>
      <c r="B129" s="8">
        <v>8</v>
      </c>
      <c r="C129" s="8">
        <v>3607</v>
      </c>
      <c r="D129" s="16">
        <v>-2.3691690000000001E-2</v>
      </c>
      <c r="E129">
        <v>-1.1845845000000001E-2</v>
      </c>
    </row>
    <row r="130" spans="1:5" x14ac:dyDescent="0.3">
      <c r="A130" s="8">
        <v>16</v>
      </c>
      <c r="B130" s="8">
        <v>9</v>
      </c>
      <c r="C130" s="8">
        <v>3607</v>
      </c>
      <c r="D130" s="16">
        <v>-8.8225869999999998E-3</v>
      </c>
      <c r="E130">
        <v>-4.4112934999999999E-3</v>
      </c>
    </row>
    <row r="131" spans="1:5" x14ac:dyDescent="0.3">
      <c r="A131" s="8">
        <v>16</v>
      </c>
      <c r="B131" s="8">
        <v>10</v>
      </c>
      <c r="C131" s="8">
        <v>3615</v>
      </c>
      <c r="D131" s="16">
        <v>-1.0370819999999999E-2</v>
      </c>
      <c r="E131">
        <v>-5.1854099999999997E-3</v>
      </c>
    </row>
    <row r="132" spans="1:5" x14ac:dyDescent="0.3">
      <c r="A132" s="8">
        <v>16</v>
      </c>
      <c r="B132" s="8">
        <v>11</v>
      </c>
      <c r="C132" s="8">
        <v>3610</v>
      </c>
      <c r="D132" s="16">
        <v>-1.9404069999999999E-2</v>
      </c>
      <c r="E132">
        <v>-9.7020349999999995E-3</v>
      </c>
    </row>
    <row r="133" spans="1:5" x14ac:dyDescent="0.3">
      <c r="A133" s="8">
        <v>16</v>
      </c>
      <c r="B133" s="8">
        <v>12</v>
      </c>
      <c r="C133" s="8">
        <v>3609</v>
      </c>
      <c r="D133" s="16">
        <v>-2.8611500000000002E-2</v>
      </c>
      <c r="E133">
        <v>-1.4305750000000001E-2</v>
      </c>
    </row>
    <row r="134" spans="1:5" x14ac:dyDescent="0.3">
      <c r="A134" s="8">
        <v>16</v>
      </c>
      <c r="B134" s="8">
        <v>13</v>
      </c>
      <c r="C134" s="8">
        <v>3601</v>
      </c>
      <c r="D134" s="16">
        <v>-3.1734159999999997E-2</v>
      </c>
      <c r="E134">
        <v>-1.5867079999999999E-2</v>
      </c>
    </row>
    <row r="135" spans="1:5" x14ac:dyDescent="0.3">
      <c r="A135" s="8">
        <v>16</v>
      </c>
      <c r="B135" s="8">
        <v>14</v>
      </c>
      <c r="C135" s="8">
        <v>3592</v>
      </c>
      <c r="D135" s="16">
        <v>-6.3558649999999996E-3</v>
      </c>
      <c r="E135">
        <v>-3.1779324999999998E-3</v>
      </c>
    </row>
    <row r="136" spans="1:5" x14ac:dyDescent="0.3">
      <c r="A136" s="8">
        <v>16</v>
      </c>
      <c r="B136" s="8">
        <v>15</v>
      </c>
      <c r="C136" s="8">
        <v>3617</v>
      </c>
      <c r="D136" s="16">
        <v>-1.243526E-2</v>
      </c>
      <c r="E136">
        <v>-6.21763E-3</v>
      </c>
    </row>
    <row r="137" spans="1:5" x14ac:dyDescent="0.3">
      <c r="A137" s="8">
        <v>16</v>
      </c>
      <c r="B137" s="8">
        <v>16</v>
      </c>
      <c r="C137" s="8">
        <v>3873</v>
      </c>
      <c r="D137" s="16">
        <v>1.004551</v>
      </c>
      <c r="E137"/>
    </row>
    <row r="138" spans="1:5" x14ac:dyDescent="0.3">
      <c r="A138" s="8">
        <v>17</v>
      </c>
      <c r="B138" s="8">
        <v>1</v>
      </c>
      <c r="C138" s="8">
        <v>3645</v>
      </c>
      <c r="D138" s="16">
        <v>1.089129E-2</v>
      </c>
      <c r="E138">
        <v>5.4456449999999998E-3</v>
      </c>
    </row>
    <row r="139" spans="1:5" x14ac:dyDescent="0.3">
      <c r="A139" s="8">
        <v>17</v>
      </c>
      <c r="B139" s="8">
        <v>2</v>
      </c>
      <c r="C139" s="8">
        <v>3625</v>
      </c>
      <c r="D139" s="16">
        <v>-7.1337140000000002E-3</v>
      </c>
      <c r="E139">
        <v>-3.5668570000000001E-3</v>
      </c>
    </row>
    <row r="140" spans="1:5" x14ac:dyDescent="0.3">
      <c r="A140" s="8">
        <v>17</v>
      </c>
      <c r="B140" s="8">
        <v>3</v>
      </c>
      <c r="C140" s="8">
        <v>3633</v>
      </c>
      <c r="D140" s="16">
        <v>-5.445614E-2</v>
      </c>
      <c r="E140">
        <v>-2.722807E-2</v>
      </c>
    </row>
    <row r="141" spans="1:5" x14ac:dyDescent="0.3">
      <c r="A141" s="8">
        <v>17</v>
      </c>
      <c r="B141" s="8">
        <v>4</v>
      </c>
      <c r="C141" s="8">
        <v>3589</v>
      </c>
      <c r="D141" s="16">
        <v>-3.7779720000000001E-3</v>
      </c>
      <c r="E141">
        <v>-1.8889860000000001E-3</v>
      </c>
    </row>
    <row r="142" spans="1:5" x14ac:dyDescent="0.3">
      <c r="A142" s="8">
        <v>17</v>
      </c>
      <c r="B142" s="8">
        <v>5</v>
      </c>
      <c r="C142" s="8">
        <v>3618</v>
      </c>
      <c r="D142" s="16">
        <v>-5.8111360000000001E-2</v>
      </c>
      <c r="E142">
        <v>-2.905568E-2</v>
      </c>
    </row>
    <row r="143" spans="1:5" x14ac:dyDescent="0.3">
      <c r="A143" s="8">
        <v>17</v>
      </c>
      <c r="B143" s="8">
        <v>6</v>
      </c>
      <c r="C143" s="8">
        <v>3615</v>
      </c>
      <c r="D143" s="16">
        <v>5.8904450000000002E-3</v>
      </c>
      <c r="E143">
        <v>2.9452225000000001E-3</v>
      </c>
    </row>
    <row r="144" spans="1:5" x14ac:dyDescent="0.3">
      <c r="A144" s="8">
        <v>17</v>
      </c>
      <c r="B144" s="8">
        <v>7</v>
      </c>
      <c r="C144" s="8">
        <v>3578</v>
      </c>
      <c r="D144" s="16">
        <v>6.9893079999999996E-3</v>
      </c>
      <c r="E144">
        <v>3.4946539999999998E-3</v>
      </c>
    </row>
    <row r="145" spans="1:5" x14ac:dyDescent="0.3">
      <c r="A145" s="8">
        <v>17</v>
      </c>
      <c r="B145" s="8">
        <v>8</v>
      </c>
      <c r="C145" s="8">
        <v>3618</v>
      </c>
      <c r="D145" s="16">
        <v>3.2156690000000002E-2</v>
      </c>
      <c r="E145">
        <v>1.6078345000000001E-2</v>
      </c>
    </row>
    <row r="146" spans="1:5" x14ac:dyDescent="0.3">
      <c r="A146" s="8">
        <v>17</v>
      </c>
      <c r="B146" s="8">
        <v>9</v>
      </c>
      <c r="C146" s="8">
        <v>3617</v>
      </c>
      <c r="D146" s="16">
        <v>-3.7749690000000002E-2</v>
      </c>
      <c r="E146">
        <v>-1.8874845000000001E-2</v>
      </c>
    </row>
    <row r="147" spans="1:5" x14ac:dyDescent="0.3">
      <c r="A147" s="8">
        <v>17</v>
      </c>
      <c r="B147" s="8">
        <v>10</v>
      </c>
      <c r="C147" s="8">
        <v>3612</v>
      </c>
      <c r="D147" s="16">
        <v>-3.14527E-2</v>
      </c>
      <c r="E147">
        <v>-1.572635E-2</v>
      </c>
    </row>
    <row r="148" spans="1:5" x14ac:dyDescent="0.3">
      <c r="A148" s="8">
        <v>17</v>
      </c>
      <c r="B148" s="8">
        <v>11</v>
      </c>
      <c r="C148" s="8">
        <v>3607</v>
      </c>
      <c r="D148" s="16">
        <v>-2.5090830000000001E-2</v>
      </c>
      <c r="E148">
        <v>-1.2545415000000001E-2</v>
      </c>
    </row>
    <row r="149" spans="1:5" x14ac:dyDescent="0.3">
      <c r="A149" s="8">
        <v>17</v>
      </c>
      <c r="B149" s="8">
        <v>12</v>
      </c>
      <c r="C149" s="8">
        <v>3632</v>
      </c>
      <c r="D149" s="16">
        <v>-1.2012800000000001E-3</v>
      </c>
      <c r="E149">
        <v>-6.0064000000000005E-4</v>
      </c>
    </row>
    <row r="150" spans="1:5" x14ac:dyDescent="0.3">
      <c r="A150" s="8">
        <v>17</v>
      </c>
      <c r="B150" s="8">
        <v>13</v>
      </c>
      <c r="C150" s="8">
        <v>3615</v>
      </c>
      <c r="D150" s="16">
        <v>-4.8318129999999999E-3</v>
      </c>
      <c r="E150">
        <v>-2.4159065E-3</v>
      </c>
    </row>
    <row r="151" spans="1:5" x14ac:dyDescent="0.3">
      <c r="A151" s="8">
        <v>17</v>
      </c>
      <c r="B151" s="8">
        <v>14</v>
      </c>
      <c r="C151" s="8">
        <v>3597</v>
      </c>
      <c r="D151" s="16">
        <v>1.190342E-2</v>
      </c>
      <c r="E151">
        <v>5.9517099999999998E-3</v>
      </c>
    </row>
    <row r="152" spans="1:5" x14ac:dyDescent="0.3">
      <c r="A152" s="8">
        <v>17</v>
      </c>
      <c r="B152" s="8">
        <v>15</v>
      </c>
      <c r="C152" s="8">
        <v>3628</v>
      </c>
      <c r="D152" s="16">
        <v>-7.6265100000000002E-2</v>
      </c>
      <c r="E152">
        <v>-3.8132550000000001E-2</v>
      </c>
    </row>
    <row r="153" spans="1:5" x14ac:dyDescent="0.3">
      <c r="A153" s="8">
        <v>17</v>
      </c>
      <c r="B153" s="8">
        <v>16</v>
      </c>
      <c r="C153" s="8">
        <v>3601</v>
      </c>
      <c r="D153" s="16">
        <v>-3.3652500000000002E-2</v>
      </c>
      <c r="E153">
        <v>-1.6826250000000001E-2</v>
      </c>
    </row>
    <row r="154" spans="1:5" x14ac:dyDescent="0.3">
      <c r="A154" s="8">
        <v>17</v>
      </c>
      <c r="B154" s="8">
        <v>17</v>
      </c>
      <c r="C154" s="8">
        <v>3892</v>
      </c>
      <c r="D154" s="16">
        <v>1.0181960000000001</v>
      </c>
      <c r="E154"/>
    </row>
    <row r="155" spans="1:5" x14ac:dyDescent="0.3">
      <c r="A155" s="8">
        <v>18</v>
      </c>
      <c r="B155" s="8">
        <v>1</v>
      </c>
      <c r="C155" s="8">
        <v>3631</v>
      </c>
      <c r="D155" s="16">
        <v>-2.1616860000000002E-2</v>
      </c>
      <c r="E155">
        <v>-1.0808430000000001E-2</v>
      </c>
    </row>
    <row r="156" spans="1:5" x14ac:dyDescent="0.3">
      <c r="A156" s="8">
        <v>18</v>
      </c>
      <c r="B156" s="8">
        <v>2</v>
      </c>
      <c r="C156" s="8">
        <v>3620</v>
      </c>
      <c r="D156" s="16">
        <v>1.6495820000000001E-2</v>
      </c>
      <c r="E156">
        <v>8.2479100000000007E-3</v>
      </c>
    </row>
    <row r="157" spans="1:5" x14ac:dyDescent="0.3">
      <c r="A157" s="8">
        <v>18</v>
      </c>
      <c r="B157" s="8">
        <v>3</v>
      </c>
      <c r="C157" s="8">
        <v>3629</v>
      </c>
      <c r="D157" s="16">
        <v>-2.0722129999999998E-2</v>
      </c>
      <c r="E157">
        <v>-1.0361064999999999E-2</v>
      </c>
    </row>
    <row r="158" spans="1:5" x14ac:dyDescent="0.3">
      <c r="A158" s="8">
        <v>18</v>
      </c>
      <c r="B158" s="8">
        <v>4</v>
      </c>
      <c r="C158" s="8">
        <v>3594</v>
      </c>
      <c r="D158" s="16">
        <v>-4.7261079999999997E-2</v>
      </c>
      <c r="E158">
        <v>-2.3630539999999998E-2</v>
      </c>
    </row>
    <row r="159" spans="1:5" x14ac:dyDescent="0.3">
      <c r="A159" s="8">
        <v>18</v>
      </c>
      <c r="B159" s="8">
        <v>5</v>
      </c>
      <c r="C159" s="8">
        <v>3601</v>
      </c>
      <c r="D159" s="16">
        <v>4.174543E-2</v>
      </c>
      <c r="E159">
        <v>2.0872715E-2</v>
      </c>
    </row>
    <row r="160" spans="1:5" x14ac:dyDescent="0.3">
      <c r="A160" s="8">
        <v>18</v>
      </c>
      <c r="B160" s="8">
        <v>6</v>
      </c>
      <c r="C160" s="8">
        <v>3616</v>
      </c>
      <c r="D160" s="16">
        <v>-4.1502140000000002E-3</v>
      </c>
      <c r="E160">
        <v>-2.0751070000000001E-3</v>
      </c>
    </row>
    <row r="161" spans="1:5" x14ac:dyDescent="0.3">
      <c r="A161" s="8">
        <v>18</v>
      </c>
      <c r="B161" s="8">
        <v>7</v>
      </c>
      <c r="C161" s="8">
        <v>3591</v>
      </c>
      <c r="D161" s="16">
        <v>1.3489370000000001E-2</v>
      </c>
      <c r="E161">
        <v>6.7446850000000003E-3</v>
      </c>
    </row>
    <row r="162" spans="1:5" x14ac:dyDescent="0.3">
      <c r="A162" s="8">
        <v>18</v>
      </c>
      <c r="B162" s="8">
        <v>8</v>
      </c>
      <c r="C162" s="8">
        <v>3606</v>
      </c>
      <c r="D162" s="16">
        <v>-3.8081700000000003E-2</v>
      </c>
      <c r="E162">
        <v>-1.9040850000000002E-2</v>
      </c>
    </row>
    <row r="163" spans="1:5" x14ac:dyDescent="0.3">
      <c r="A163" s="8">
        <v>18</v>
      </c>
      <c r="B163" s="8">
        <v>9</v>
      </c>
      <c r="C163" s="8">
        <v>3618</v>
      </c>
      <c r="D163" s="16">
        <v>9.0639169999999995E-3</v>
      </c>
      <c r="E163">
        <v>4.5319584999999997E-3</v>
      </c>
    </row>
    <row r="164" spans="1:5" x14ac:dyDescent="0.3">
      <c r="A164" s="8">
        <v>18</v>
      </c>
      <c r="B164" s="8">
        <v>10</v>
      </c>
      <c r="C164" s="8">
        <v>3615</v>
      </c>
      <c r="D164" s="16">
        <v>2.1522019999999999E-2</v>
      </c>
      <c r="E164">
        <v>1.076101E-2</v>
      </c>
    </row>
    <row r="165" spans="1:5" x14ac:dyDescent="0.3">
      <c r="A165" s="8">
        <v>18</v>
      </c>
      <c r="B165" s="8">
        <v>11</v>
      </c>
      <c r="C165" s="8">
        <v>3613</v>
      </c>
      <c r="D165" s="16">
        <v>2.1448399999999999E-3</v>
      </c>
      <c r="E165">
        <v>1.0724199999999999E-3</v>
      </c>
    </row>
    <row r="166" spans="1:5" x14ac:dyDescent="0.3">
      <c r="A166" s="8">
        <v>18</v>
      </c>
      <c r="B166" s="8">
        <v>12</v>
      </c>
      <c r="C166" s="8">
        <v>3623</v>
      </c>
      <c r="D166" s="16">
        <v>-1.6109789999999999E-2</v>
      </c>
      <c r="E166">
        <v>-8.0548949999999994E-3</v>
      </c>
    </row>
    <row r="167" spans="1:5" x14ac:dyDescent="0.3">
      <c r="A167" s="8">
        <v>18</v>
      </c>
      <c r="B167" s="8">
        <v>13</v>
      </c>
      <c r="C167" s="8">
        <v>3617</v>
      </c>
      <c r="D167" s="16">
        <v>2.7237270000000001E-2</v>
      </c>
      <c r="E167">
        <v>1.3618635E-2</v>
      </c>
    </row>
    <row r="168" spans="1:5" x14ac:dyDescent="0.3">
      <c r="A168" s="8">
        <v>18</v>
      </c>
      <c r="B168" s="8">
        <v>14</v>
      </c>
      <c r="C168" s="8">
        <v>3610</v>
      </c>
      <c r="D168" s="16">
        <v>-6.3553710000000003E-3</v>
      </c>
      <c r="E168">
        <v>-3.1776855000000001E-3</v>
      </c>
    </row>
    <row r="169" spans="1:5" x14ac:dyDescent="0.3">
      <c r="A169" s="8">
        <v>18</v>
      </c>
      <c r="B169" s="8">
        <v>15</v>
      </c>
      <c r="C169" s="8">
        <v>3634</v>
      </c>
      <c r="D169" s="16">
        <v>-1.051468E-2</v>
      </c>
      <c r="E169">
        <v>-5.2573400000000001E-3</v>
      </c>
    </row>
    <row r="170" spans="1:5" x14ac:dyDescent="0.3">
      <c r="A170" s="8">
        <v>18</v>
      </c>
      <c r="B170" s="8">
        <v>16</v>
      </c>
      <c r="C170" s="8">
        <v>3609</v>
      </c>
      <c r="D170" s="16">
        <v>3.4011630000000001E-2</v>
      </c>
      <c r="E170">
        <v>1.7005815000000001E-2</v>
      </c>
    </row>
    <row r="171" spans="1:5" x14ac:dyDescent="0.3">
      <c r="A171" s="8">
        <v>18</v>
      </c>
      <c r="B171" s="8">
        <v>17</v>
      </c>
      <c r="C171" s="8">
        <v>3616</v>
      </c>
      <c r="D171" s="16">
        <v>-1.290583E-2</v>
      </c>
      <c r="E171">
        <v>-6.452915E-3</v>
      </c>
    </row>
    <row r="172" spans="1:5" x14ac:dyDescent="0.3">
      <c r="A172" s="8">
        <v>18</v>
      </c>
      <c r="B172" s="8">
        <v>18</v>
      </c>
      <c r="C172" s="8">
        <v>3890</v>
      </c>
      <c r="D172" s="16">
        <v>1.0368470000000001</v>
      </c>
      <c r="E172"/>
    </row>
    <row r="173" spans="1:5" x14ac:dyDescent="0.3">
      <c r="A173" s="8">
        <v>19</v>
      </c>
      <c r="B173" s="8">
        <v>1</v>
      </c>
      <c r="C173" s="8">
        <v>3589</v>
      </c>
      <c r="D173" s="16">
        <v>-2.2029900000000002E-2</v>
      </c>
      <c r="E173">
        <v>-1.1014950000000001E-2</v>
      </c>
    </row>
    <row r="174" spans="1:5" x14ac:dyDescent="0.3">
      <c r="A174" s="8">
        <v>19</v>
      </c>
      <c r="B174" s="8">
        <v>2</v>
      </c>
      <c r="C174" s="8">
        <v>3587</v>
      </c>
      <c r="D174" s="16">
        <v>-8.142926E-3</v>
      </c>
      <c r="E174">
        <v>-4.071463E-3</v>
      </c>
    </row>
    <row r="175" spans="1:5" x14ac:dyDescent="0.3">
      <c r="A175" s="8">
        <v>19</v>
      </c>
      <c r="B175" s="8">
        <v>3</v>
      </c>
      <c r="C175" s="8">
        <v>3603</v>
      </c>
      <c r="D175" s="16">
        <v>1.608228E-3</v>
      </c>
      <c r="E175">
        <v>8.0411399999999998E-4</v>
      </c>
    </row>
    <row r="176" spans="1:5" x14ac:dyDescent="0.3">
      <c r="A176" s="8">
        <v>19</v>
      </c>
      <c r="B176" s="8">
        <v>4</v>
      </c>
      <c r="C176" s="8">
        <v>3555</v>
      </c>
      <c r="D176" s="16">
        <v>-1.506905E-2</v>
      </c>
      <c r="E176">
        <v>-7.5345250000000002E-3</v>
      </c>
    </row>
    <row r="177" spans="1:5" x14ac:dyDescent="0.3">
      <c r="A177" s="8">
        <v>19</v>
      </c>
      <c r="B177" s="8">
        <v>5</v>
      </c>
      <c r="C177" s="8">
        <v>3579</v>
      </c>
      <c r="D177" s="16">
        <v>1.3486929999999999E-2</v>
      </c>
      <c r="E177">
        <v>6.7434649999999997E-3</v>
      </c>
    </row>
    <row r="178" spans="1:5" x14ac:dyDescent="0.3">
      <c r="A178" s="8">
        <v>19</v>
      </c>
      <c r="B178" s="8">
        <v>6</v>
      </c>
      <c r="C178" s="8">
        <v>3572</v>
      </c>
      <c r="D178" s="16">
        <v>-6.9119100000000003E-3</v>
      </c>
      <c r="E178">
        <v>-3.4559550000000001E-3</v>
      </c>
    </row>
    <row r="179" spans="1:5" x14ac:dyDescent="0.3">
      <c r="A179" s="8">
        <v>19</v>
      </c>
      <c r="B179" s="8">
        <v>7</v>
      </c>
      <c r="C179" s="8">
        <v>3557</v>
      </c>
      <c r="D179" s="16">
        <v>3.432746E-3</v>
      </c>
      <c r="E179">
        <v>1.716373E-3</v>
      </c>
    </row>
    <row r="180" spans="1:5" x14ac:dyDescent="0.3">
      <c r="A180" s="8">
        <v>19</v>
      </c>
      <c r="B180" s="8">
        <v>8</v>
      </c>
      <c r="C180" s="8">
        <v>3579</v>
      </c>
      <c r="D180" s="16">
        <v>-1.618754E-2</v>
      </c>
      <c r="E180">
        <v>-8.0937700000000001E-3</v>
      </c>
    </row>
    <row r="181" spans="1:5" x14ac:dyDescent="0.3">
      <c r="A181" s="8">
        <v>19</v>
      </c>
      <c r="B181" s="8">
        <v>9</v>
      </c>
      <c r="C181" s="8">
        <v>3591</v>
      </c>
      <c r="D181" s="16">
        <v>-5.8484290000000001E-2</v>
      </c>
      <c r="E181">
        <v>-2.9242145000000001E-2</v>
      </c>
    </row>
    <row r="182" spans="1:5" x14ac:dyDescent="0.3">
      <c r="A182" s="8">
        <v>19</v>
      </c>
      <c r="B182" s="8">
        <v>10</v>
      </c>
      <c r="C182" s="8">
        <v>3595</v>
      </c>
      <c r="D182" s="16">
        <v>-4.2888990000000002E-2</v>
      </c>
      <c r="E182">
        <v>-2.1444495000000001E-2</v>
      </c>
    </row>
    <row r="183" spans="1:5" x14ac:dyDescent="0.3">
      <c r="A183" s="8">
        <v>19</v>
      </c>
      <c r="B183" s="8">
        <v>11</v>
      </c>
      <c r="C183" s="8">
        <v>3582</v>
      </c>
      <c r="D183" s="16">
        <v>1.237891E-2</v>
      </c>
      <c r="E183">
        <v>6.189455E-3</v>
      </c>
    </row>
    <row r="184" spans="1:5" x14ac:dyDescent="0.3">
      <c r="A184" s="8">
        <v>19</v>
      </c>
      <c r="B184" s="8">
        <v>12</v>
      </c>
      <c r="C184" s="8">
        <v>3585</v>
      </c>
      <c r="D184" s="16">
        <v>1.851686E-2</v>
      </c>
      <c r="E184">
        <v>9.2584299999999998E-3</v>
      </c>
    </row>
    <row r="185" spans="1:5" x14ac:dyDescent="0.3">
      <c r="A185" s="8">
        <v>19</v>
      </c>
      <c r="B185" s="8">
        <v>13</v>
      </c>
      <c r="C185" s="8">
        <v>3586</v>
      </c>
      <c r="D185" s="16">
        <v>-2.2628700000000002E-2</v>
      </c>
      <c r="E185">
        <v>-1.1314350000000001E-2</v>
      </c>
    </row>
    <row r="186" spans="1:5" x14ac:dyDescent="0.3">
      <c r="A186" s="8">
        <v>19</v>
      </c>
      <c r="B186" s="8">
        <v>14</v>
      </c>
      <c r="C186" s="8">
        <v>3570</v>
      </c>
      <c r="D186" s="16">
        <v>-1.8345790000000001E-2</v>
      </c>
      <c r="E186">
        <v>-9.1728950000000004E-3</v>
      </c>
    </row>
    <row r="187" spans="1:5" x14ac:dyDescent="0.3">
      <c r="A187" s="8">
        <v>19</v>
      </c>
      <c r="B187" s="8">
        <v>15</v>
      </c>
      <c r="C187" s="8">
        <v>3592</v>
      </c>
      <c r="D187" s="16">
        <v>-3.2475850000000001E-2</v>
      </c>
      <c r="E187">
        <v>-1.6237925E-2</v>
      </c>
    </row>
    <row r="188" spans="1:5" x14ac:dyDescent="0.3">
      <c r="A188" s="8">
        <v>19</v>
      </c>
      <c r="B188" s="8">
        <v>16</v>
      </c>
      <c r="C188" s="8">
        <v>3565</v>
      </c>
      <c r="D188" s="16">
        <v>2.4480409999999998E-4</v>
      </c>
      <c r="E188">
        <v>1.2240204999999999E-4</v>
      </c>
    </row>
    <row r="189" spans="1:5" x14ac:dyDescent="0.3">
      <c r="A189" s="8">
        <v>19</v>
      </c>
      <c r="B189" s="8">
        <v>17</v>
      </c>
      <c r="C189" s="8">
        <v>3581</v>
      </c>
      <c r="D189" s="16">
        <v>-1.6879180000000001E-2</v>
      </c>
      <c r="E189">
        <v>-8.4395900000000003E-3</v>
      </c>
    </row>
    <row r="190" spans="1:5" x14ac:dyDescent="0.3">
      <c r="A190" s="8">
        <v>19</v>
      </c>
      <c r="B190" s="8">
        <v>18</v>
      </c>
      <c r="C190" s="8">
        <v>3583</v>
      </c>
      <c r="D190" s="16">
        <v>-1.7626780000000002E-2</v>
      </c>
      <c r="E190">
        <v>-8.8133900000000008E-3</v>
      </c>
    </row>
    <row r="191" spans="1:5" x14ac:dyDescent="0.3">
      <c r="A191" s="8">
        <v>19</v>
      </c>
      <c r="B191" s="8">
        <v>19</v>
      </c>
      <c r="C191" s="8">
        <v>3850</v>
      </c>
      <c r="D191" s="16">
        <v>0.97129799999999999</v>
      </c>
      <c r="E191"/>
    </row>
    <row r="192" spans="1:5" x14ac:dyDescent="0.3">
      <c r="A192" s="8">
        <v>20</v>
      </c>
      <c r="B192" s="8">
        <v>1</v>
      </c>
      <c r="C192" s="8">
        <v>3603</v>
      </c>
      <c r="D192" s="16">
        <v>-3.0553790000000001E-2</v>
      </c>
      <c r="E192">
        <v>-1.5276895E-2</v>
      </c>
    </row>
    <row r="193" spans="1:5" x14ac:dyDescent="0.3">
      <c r="A193" s="8">
        <v>20</v>
      </c>
      <c r="B193" s="8">
        <v>2</v>
      </c>
      <c r="C193" s="8">
        <v>3580</v>
      </c>
      <c r="D193" s="16">
        <v>-6.600222E-2</v>
      </c>
      <c r="E193">
        <v>-3.300111E-2</v>
      </c>
    </row>
    <row r="194" spans="1:5" x14ac:dyDescent="0.3">
      <c r="A194" s="8">
        <v>20</v>
      </c>
      <c r="B194" s="8">
        <v>3</v>
      </c>
      <c r="C194" s="8">
        <v>3611</v>
      </c>
      <c r="D194" s="16">
        <v>2.6333680000000002E-2</v>
      </c>
      <c r="E194">
        <v>1.3166840000000001E-2</v>
      </c>
    </row>
    <row r="195" spans="1:5" x14ac:dyDescent="0.3">
      <c r="A195" s="8">
        <v>20</v>
      </c>
      <c r="B195" s="8">
        <v>4</v>
      </c>
      <c r="C195" s="8">
        <v>3560</v>
      </c>
      <c r="D195" s="16">
        <v>-1.2477739999999999E-2</v>
      </c>
      <c r="E195">
        <v>-6.2388699999999997E-3</v>
      </c>
    </row>
    <row r="196" spans="1:5" x14ac:dyDescent="0.3">
      <c r="A196" s="8">
        <v>20</v>
      </c>
      <c r="B196" s="8">
        <v>5</v>
      </c>
      <c r="C196" s="8">
        <v>3574</v>
      </c>
      <c r="D196" s="16">
        <v>-9.1688570000000007E-3</v>
      </c>
      <c r="E196">
        <v>-4.5844285000000004E-3</v>
      </c>
    </row>
    <row r="197" spans="1:5" x14ac:dyDescent="0.3">
      <c r="A197" s="8">
        <v>20</v>
      </c>
      <c r="B197" s="8">
        <v>6</v>
      </c>
      <c r="C197" s="8">
        <v>3594</v>
      </c>
      <c r="D197" s="16">
        <v>8.2716360000000006E-3</v>
      </c>
      <c r="E197">
        <v>4.1358180000000003E-3</v>
      </c>
    </row>
    <row r="198" spans="1:5" x14ac:dyDescent="0.3">
      <c r="A198" s="8">
        <v>20</v>
      </c>
      <c r="B198" s="8">
        <v>7</v>
      </c>
      <c r="C198" s="8">
        <v>3548</v>
      </c>
      <c r="D198" s="16">
        <v>7.2344180000000003E-3</v>
      </c>
      <c r="E198">
        <v>3.6172090000000001E-3</v>
      </c>
    </row>
    <row r="199" spans="1:5" x14ac:dyDescent="0.3">
      <c r="A199" s="8">
        <v>20</v>
      </c>
      <c r="B199" s="8">
        <v>8</v>
      </c>
      <c r="C199" s="8">
        <v>3584</v>
      </c>
      <c r="D199" s="16">
        <v>-3.4059850000000003E-2</v>
      </c>
      <c r="E199">
        <v>-1.7029925000000001E-2</v>
      </c>
    </row>
    <row r="200" spans="1:5" x14ac:dyDescent="0.3">
      <c r="A200" s="8">
        <v>20</v>
      </c>
      <c r="B200" s="8">
        <v>9</v>
      </c>
      <c r="C200" s="8">
        <v>3588</v>
      </c>
      <c r="D200" s="16">
        <v>3.8664080000000003E-2</v>
      </c>
      <c r="E200">
        <v>1.9332040000000002E-2</v>
      </c>
    </row>
    <row r="201" spans="1:5" x14ac:dyDescent="0.3">
      <c r="A201" s="8">
        <v>20</v>
      </c>
      <c r="B201" s="8">
        <v>10</v>
      </c>
      <c r="C201" s="8">
        <v>3605</v>
      </c>
      <c r="D201" s="16">
        <v>-3.1769930000000002E-2</v>
      </c>
      <c r="E201">
        <v>-1.5884965000000001E-2</v>
      </c>
    </row>
    <row r="202" spans="1:5" x14ac:dyDescent="0.3">
      <c r="A202" s="8">
        <v>20</v>
      </c>
      <c r="B202" s="8">
        <v>11</v>
      </c>
      <c r="C202" s="8">
        <v>3592</v>
      </c>
      <c r="D202" s="16">
        <v>-4.5196510000000001E-4</v>
      </c>
      <c r="E202">
        <v>-2.2598255E-4</v>
      </c>
    </row>
    <row r="203" spans="1:5" x14ac:dyDescent="0.3">
      <c r="A203" s="8">
        <v>20</v>
      </c>
      <c r="B203" s="8">
        <v>12</v>
      </c>
      <c r="C203" s="8">
        <v>3604</v>
      </c>
      <c r="D203" s="16">
        <v>1.6543650000000001E-3</v>
      </c>
      <c r="E203">
        <v>8.2718250000000004E-4</v>
      </c>
    </row>
    <row r="204" spans="1:5" x14ac:dyDescent="0.3">
      <c r="A204" s="8">
        <v>20</v>
      </c>
      <c r="B204" s="8">
        <v>13</v>
      </c>
      <c r="C204" s="8">
        <v>3587</v>
      </c>
      <c r="D204" s="16">
        <v>-3.8835420000000002E-2</v>
      </c>
      <c r="E204">
        <v>-1.9417710000000001E-2</v>
      </c>
    </row>
    <row r="205" spans="1:5" x14ac:dyDescent="0.3">
      <c r="A205" s="8">
        <v>20</v>
      </c>
      <c r="B205" s="8">
        <v>14</v>
      </c>
      <c r="C205" s="8">
        <v>3574</v>
      </c>
      <c r="D205" s="16">
        <v>-2.8018419999999999E-2</v>
      </c>
      <c r="E205">
        <v>-1.4009209999999999E-2</v>
      </c>
    </row>
    <row r="206" spans="1:5" x14ac:dyDescent="0.3">
      <c r="A206" s="8">
        <v>20</v>
      </c>
      <c r="B206" s="8">
        <v>15</v>
      </c>
      <c r="C206" s="8">
        <v>3602</v>
      </c>
      <c r="D206" s="16">
        <v>-6.719725E-2</v>
      </c>
      <c r="E206">
        <v>-3.3598625E-2</v>
      </c>
    </row>
    <row r="207" spans="1:5" x14ac:dyDescent="0.3">
      <c r="A207" s="8">
        <v>20</v>
      </c>
      <c r="B207" s="8">
        <v>16</v>
      </c>
      <c r="C207" s="8">
        <v>3587</v>
      </c>
      <c r="D207" s="16">
        <v>-1.3855930000000001E-2</v>
      </c>
      <c r="E207">
        <v>-6.9279650000000003E-3</v>
      </c>
    </row>
    <row r="208" spans="1:5" x14ac:dyDescent="0.3">
      <c r="A208" s="8">
        <v>20</v>
      </c>
      <c r="B208" s="8">
        <v>17</v>
      </c>
      <c r="C208" s="8">
        <v>3582</v>
      </c>
      <c r="D208" s="16">
        <v>-2.2376090000000001E-2</v>
      </c>
      <c r="E208">
        <v>-1.1188045000000001E-2</v>
      </c>
    </row>
    <row r="209" spans="1:5" x14ac:dyDescent="0.3">
      <c r="A209" s="8">
        <v>20</v>
      </c>
      <c r="B209" s="8">
        <v>18</v>
      </c>
      <c r="C209" s="8">
        <v>3595</v>
      </c>
      <c r="D209" s="16">
        <v>-1.8467999999999998E-2</v>
      </c>
      <c r="E209">
        <v>-9.2339999999999992E-3</v>
      </c>
    </row>
    <row r="210" spans="1:5" x14ac:dyDescent="0.3">
      <c r="A210" s="8">
        <v>20</v>
      </c>
      <c r="B210" s="8">
        <v>19</v>
      </c>
      <c r="C210" s="8">
        <v>3550</v>
      </c>
      <c r="D210" s="16">
        <v>-1.589813E-2</v>
      </c>
      <c r="E210">
        <v>-7.949065E-3</v>
      </c>
    </row>
    <row r="211" spans="1:5" x14ac:dyDescent="0.3">
      <c r="A211" s="8">
        <v>20</v>
      </c>
      <c r="B211" s="8">
        <v>20</v>
      </c>
      <c r="C211" s="8">
        <v>3859</v>
      </c>
      <c r="D211" s="16">
        <v>1.0024169999999999</v>
      </c>
      <c r="E211"/>
    </row>
    <row r="212" spans="1:5" x14ac:dyDescent="0.3">
      <c r="A212" s="8">
        <v>21</v>
      </c>
      <c r="B212" s="8">
        <v>1</v>
      </c>
      <c r="C212" s="8">
        <v>3656</v>
      </c>
      <c r="D212" s="16">
        <v>2.3904439999999998E-3</v>
      </c>
      <c r="E212">
        <v>1.1952219999999999E-3</v>
      </c>
    </row>
    <row r="213" spans="1:5" x14ac:dyDescent="0.3">
      <c r="A213" s="8">
        <v>21</v>
      </c>
      <c r="B213" s="8">
        <v>2</v>
      </c>
      <c r="C213" s="8">
        <v>3651</v>
      </c>
      <c r="D213" s="16">
        <v>-8.7923059999999997E-3</v>
      </c>
      <c r="E213">
        <v>-4.3961529999999999E-3</v>
      </c>
    </row>
    <row r="214" spans="1:5" x14ac:dyDescent="0.3">
      <c r="A214" s="8">
        <v>21</v>
      </c>
      <c r="B214" s="8">
        <v>3</v>
      </c>
      <c r="C214" s="8">
        <v>3669</v>
      </c>
      <c r="D214" s="16">
        <v>1.321981E-2</v>
      </c>
      <c r="E214">
        <v>6.6099050000000001E-3</v>
      </c>
    </row>
    <row r="215" spans="1:5" x14ac:dyDescent="0.3">
      <c r="A215" s="8">
        <v>21</v>
      </c>
      <c r="B215" s="8">
        <v>4</v>
      </c>
      <c r="C215" s="8">
        <v>3617</v>
      </c>
      <c r="D215" s="16">
        <v>-2.0880389999999999E-2</v>
      </c>
      <c r="E215">
        <v>-1.0440194999999999E-2</v>
      </c>
    </row>
    <row r="216" spans="1:5" x14ac:dyDescent="0.3">
      <c r="A216" s="8">
        <v>21</v>
      </c>
      <c r="B216" s="8">
        <v>5</v>
      </c>
      <c r="C216" s="8">
        <v>3634</v>
      </c>
      <c r="D216" s="16">
        <v>1.4177879999999999E-3</v>
      </c>
      <c r="E216">
        <v>7.0889399999999995E-4</v>
      </c>
    </row>
    <row r="217" spans="1:5" x14ac:dyDescent="0.3">
      <c r="A217" s="8">
        <v>21</v>
      </c>
      <c r="B217" s="8">
        <v>6</v>
      </c>
      <c r="C217" s="8">
        <v>3625</v>
      </c>
      <c r="D217" s="16">
        <v>-3.2718499999999998E-2</v>
      </c>
      <c r="E217">
        <v>-1.6359249999999999E-2</v>
      </c>
    </row>
    <row r="218" spans="1:5" x14ac:dyDescent="0.3">
      <c r="A218" s="8">
        <v>21</v>
      </c>
      <c r="B218" s="8">
        <v>7</v>
      </c>
      <c r="C218" s="8">
        <v>3605</v>
      </c>
      <c r="D218" s="16">
        <v>-9.3812440000000004E-3</v>
      </c>
      <c r="E218">
        <v>-4.6906220000000002E-3</v>
      </c>
    </row>
    <row r="219" spans="1:5" x14ac:dyDescent="0.3">
      <c r="A219" s="8">
        <v>21</v>
      </c>
      <c r="B219" s="8">
        <v>8</v>
      </c>
      <c r="C219" s="8">
        <v>3641</v>
      </c>
      <c r="D219" s="16">
        <v>1.8465929999999998E-2</v>
      </c>
      <c r="E219">
        <v>9.2329649999999992E-3</v>
      </c>
    </row>
    <row r="220" spans="1:5" x14ac:dyDescent="0.3">
      <c r="A220" s="8">
        <v>21</v>
      </c>
      <c r="B220" s="8">
        <v>9</v>
      </c>
      <c r="C220" s="8">
        <v>3641</v>
      </c>
      <c r="D220" s="16">
        <v>-6.0967479999999999E-3</v>
      </c>
      <c r="E220">
        <v>-3.048374E-3</v>
      </c>
    </row>
    <row r="221" spans="1:5" x14ac:dyDescent="0.3">
      <c r="A221" s="8">
        <v>21</v>
      </c>
      <c r="B221" s="8">
        <v>10</v>
      </c>
      <c r="C221" s="8">
        <v>3638</v>
      </c>
      <c r="D221" s="16">
        <v>-1.8231850000000001E-2</v>
      </c>
      <c r="E221">
        <v>-9.1159250000000004E-3</v>
      </c>
    </row>
    <row r="222" spans="1:5" x14ac:dyDescent="0.3">
      <c r="A222" s="8">
        <v>21</v>
      </c>
      <c r="B222" s="8">
        <v>11</v>
      </c>
      <c r="C222" s="8">
        <v>3630</v>
      </c>
      <c r="D222" s="16">
        <v>3.1695040000000001E-2</v>
      </c>
      <c r="E222">
        <v>1.584752E-2</v>
      </c>
    </row>
    <row r="223" spans="1:5" x14ac:dyDescent="0.3">
      <c r="A223" s="8">
        <v>21</v>
      </c>
      <c r="B223" s="8">
        <v>12</v>
      </c>
      <c r="C223" s="8">
        <v>3652</v>
      </c>
      <c r="D223" s="16">
        <v>1.691956E-2</v>
      </c>
      <c r="E223">
        <v>8.4597800000000001E-3</v>
      </c>
    </row>
    <row r="224" spans="1:5" x14ac:dyDescent="0.3">
      <c r="A224" s="8">
        <v>21</v>
      </c>
      <c r="B224" s="8">
        <v>13</v>
      </c>
      <c r="C224" s="8">
        <v>3640</v>
      </c>
      <c r="D224" s="16">
        <v>-1.436804E-2</v>
      </c>
      <c r="E224">
        <v>-7.1840200000000002E-3</v>
      </c>
    </row>
    <row r="225" spans="1:5" x14ac:dyDescent="0.3">
      <c r="A225" s="8">
        <v>21</v>
      </c>
      <c r="B225" s="8">
        <v>14</v>
      </c>
      <c r="C225" s="8">
        <v>3617</v>
      </c>
      <c r="D225" s="16">
        <v>-7.442677E-3</v>
      </c>
      <c r="E225">
        <v>-3.7213385E-3</v>
      </c>
    </row>
    <row r="226" spans="1:5" x14ac:dyDescent="0.3">
      <c r="A226" s="8">
        <v>21</v>
      </c>
      <c r="B226" s="8">
        <v>15</v>
      </c>
      <c r="C226" s="8">
        <v>3646</v>
      </c>
      <c r="D226" s="16">
        <v>-7.5173920000000003E-3</v>
      </c>
      <c r="E226">
        <v>-3.7586960000000002E-3</v>
      </c>
    </row>
    <row r="227" spans="1:5" x14ac:dyDescent="0.3">
      <c r="A227" s="8">
        <v>21</v>
      </c>
      <c r="B227" s="8">
        <v>16</v>
      </c>
      <c r="C227" s="8">
        <v>3629</v>
      </c>
      <c r="D227" s="16">
        <v>9.7641680000000002E-3</v>
      </c>
      <c r="E227">
        <v>4.8820840000000001E-3</v>
      </c>
    </row>
    <row r="228" spans="1:5" x14ac:dyDescent="0.3">
      <c r="A228" s="8">
        <v>21</v>
      </c>
      <c r="B228" s="8">
        <v>17</v>
      </c>
      <c r="C228" s="8">
        <v>3649</v>
      </c>
      <c r="D228" s="16">
        <v>1.5146990000000001E-2</v>
      </c>
      <c r="E228">
        <v>7.5734950000000004E-3</v>
      </c>
    </row>
    <row r="229" spans="1:5" x14ac:dyDescent="0.3">
      <c r="A229" s="8">
        <v>21</v>
      </c>
      <c r="B229" s="8">
        <v>18</v>
      </c>
      <c r="C229" s="8">
        <v>3640</v>
      </c>
      <c r="D229" s="16">
        <v>-5.6195469999999999E-3</v>
      </c>
      <c r="E229">
        <v>-2.8097735E-3</v>
      </c>
    </row>
    <row r="230" spans="1:5" x14ac:dyDescent="0.3">
      <c r="A230" s="8">
        <v>21</v>
      </c>
      <c r="B230" s="8">
        <v>19</v>
      </c>
      <c r="C230" s="8">
        <v>3613</v>
      </c>
      <c r="D230" s="16">
        <v>-8.0841339999999998E-3</v>
      </c>
      <c r="E230">
        <v>-4.0420669999999999E-3</v>
      </c>
    </row>
    <row r="231" spans="1:5" x14ac:dyDescent="0.3">
      <c r="A231" s="8">
        <v>21</v>
      </c>
      <c r="B231" s="8">
        <v>20</v>
      </c>
      <c r="C231" s="8">
        <v>3619</v>
      </c>
      <c r="D231" s="16">
        <v>-4.4599670000000001E-2</v>
      </c>
      <c r="E231">
        <v>-2.2299835E-2</v>
      </c>
    </row>
    <row r="232" spans="1:5" x14ac:dyDescent="0.3">
      <c r="A232" s="8">
        <v>21</v>
      </c>
      <c r="B232" s="8">
        <v>21</v>
      </c>
      <c r="C232" s="8">
        <v>3922</v>
      </c>
      <c r="D232" s="16">
        <v>1.026008</v>
      </c>
      <c r="E232"/>
    </row>
    <row r="233" spans="1:5" x14ac:dyDescent="0.3">
      <c r="A233" s="8">
        <v>22</v>
      </c>
      <c r="B233" s="8">
        <v>1</v>
      </c>
      <c r="C233" s="8">
        <v>3601</v>
      </c>
      <c r="D233" s="16">
        <v>-5.5286149999999997E-3</v>
      </c>
      <c r="E233">
        <v>-2.7643074999999999E-3</v>
      </c>
    </row>
    <row r="234" spans="1:5" x14ac:dyDescent="0.3">
      <c r="A234" s="8">
        <v>22</v>
      </c>
      <c r="B234" s="8">
        <v>2</v>
      </c>
      <c r="C234" s="8">
        <v>3589</v>
      </c>
      <c r="D234" s="16">
        <v>-3.6789269999999999E-2</v>
      </c>
      <c r="E234">
        <v>-1.8394634999999999E-2</v>
      </c>
    </row>
    <row r="235" spans="1:5" x14ac:dyDescent="0.3">
      <c r="A235" s="8">
        <v>22</v>
      </c>
      <c r="B235" s="8">
        <v>3</v>
      </c>
      <c r="C235" s="8">
        <v>3621</v>
      </c>
      <c r="D235" s="16">
        <v>-2.3328600000000001E-2</v>
      </c>
      <c r="E235">
        <v>-1.1664300000000001E-2</v>
      </c>
    </row>
    <row r="236" spans="1:5" x14ac:dyDescent="0.3">
      <c r="A236" s="8">
        <v>22</v>
      </c>
      <c r="B236" s="8">
        <v>4</v>
      </c>
      <c r="C236" s="8">
        <v>3565</v>
      </c>
      <c r="D236" s="16">
        <v>-2.7784550000000002E-2</v>
      </c>
      <c r="E236">
        <v>-1.3892275000000001E-2</v>
      </c>
    </row>
    <row r="237" spans="1:5" x14ac:dyDescent="0.3">
      <c r="A237" s="8">
        <v>22</v>
      </c>
      <c r="B237" s="8">
        <v>5</v>
      </c>
      <c r="C237" s="8">
        <v>3592</v>
      </c>
      <c r="D237" s="16">
        <v>-5.7402030000000001E-3</v>
      </c>
      <c r="E237">
        <v>-2.8701015000000001E-3</v>
      </c>
    </row>
    <row r="238" spans="1:5" x14ac:dyDescent="0.3">
      <c r="A238" s="8">
        <v>22</v>
      </c>
      <c r="B238" s="8">
        <v>6</v>
      </c>
      <c r="C238" s="8">
        <v>3594</v>
      </c>
      <c r="D238" s="16">
        <v>-4.5213520000000002E-3</v>
      </c>
      <c r="E238">
        <v>-2.2606760000000001E-3</v>
      </c>
    </row>
    <row r="239" spans="1:5" x14ac:dyDescent="0.3">
      <c r="A239" s="8">
        <v>22</v>
      </c>
      <c r="B239" s="8">
        <v>7</v>
      </c>
      <c r="C239" s="8">
        <v>3564</v>
      </c>
      <c r="D239" s="16">
        <v>-1.798207E-3</v>
      </c>
      <c r="E239">
        <v>-8.9910350000000001E-4</v>
      </c>
    </row>
    <row r="240" spans="1:5" x14ac:dyDescent="0.3">
      <c r="A240" s="8">
        <v>22</v>
      </c>
      <c r="B240" s="8">
        <v>8</v>
      </c>
      <c r="C240" s="8">
        <v>3604</v>
      </c>
      <c r="D240" s="16">
        <v>-2.6831200000000002E-3</v>
      </c>
      <c r="E240">
        <v>-1.3415600000000001E-3</v>
      </c>
    </row>
    <row r="241" spans="1:5" x14ac:dyDescent="0.3">
      <c r="A241" s="8">
        <v>22</v>
      </c>
      <c r="B241" s="8">
        <v>9</v>
      </c>
      <c r="C241" s="8">
        <v>3590</v>
      </c>
      <c r="D241" s="16">
        <v>-2.3327919999999999E-2</v>
      </c>
      <c r="E241">
        <v>-1.1663959999999999E-2</v>
      </c>
    </row>
    <row r="242" spans="1:5" x14ac:dyDescent="0.3">
      <c r="A242" s="8">
        <v>22</v>
      </c>
      <c r="B242" s="8">
        <v>10</v>
      </c>
      <c r="C242" s="8">
        <v>3597</v>
      </c>
      <c r="D242" s="16">
        <v>-3.089099E-2</v>
      </c>
      <c r="E242">
        <v>-1.5445495E-2</v>
      </c>
    </row>
    <row r="243" spans="1:5" x14ac:dyDescent="0.3">
      <c r="A243" s="8">
        <v>22</v>
      </c>
      <c r="B243" s="8">
        <v>11</v>
      </c>
      <c r="C243" s="8">
        <v>3582</v>
      </c>
      <c r="D243" s="16">
        <v>-4.0294969999999999E-2</v>
      </c>
      <c r="E243">
        <v>-2.0147485E-2</v>
      </c>
    </row>
    <row r="244" spans="1:5" x14ac:dyDescent="0.3">
      <c r="A244" s="8">
        <v>22</v>
      </c>
      <c r="B244" s="8">
        <v>12</v>
      </c>
      <c r="C244" s="8">
        <v>3597</v>
      </c>
      <c r="D244" s="16">
        <v>1.072762E-2</v>
      </c>
      <c r="E244">
        <v>5.3638100000000001E-3</v>
      </c>
    </row>
    <row r="245" spans="1:5" x14ac:dyDescent="0.3">
      <c r="A245" s="8">
        <v>22</v>
      </c>
      <c r="B245" s="8">
        <v>13</v>
      </c>
      <c r="C245" s="8">
        <v>3600</v>
      </c>
      <c r="D245" s="16">
        <v>-8.3494000000000005E-4</v>
      </c>
      <c r="E245">
        <v>-4.1747000000000003E-4</v>
      </c>
    </row>
    <row r="246" spans="1:5" x14ac:dyDescent="0.3">
      <c r="A246" s="8">
        <v>22</v>
      </c>
      <c r="B246" s="8">
        <v>14</v>
      </c>
      <c r="C246" s="8">
        <v>3586</v>
      </c>
      <c r="D246" s="16">
        <v>1.2211319999999999E-2</v>
      </c>
      <c r="E246">
        <v>6.1056599999999997E-3</v>
      </c>
    </row>
    <row r="247" spans="1:5" x14ac:dyDescent="0.3">
      <c r="A247" s="8">
        <v>22</v>
      </c>
      <c r="B247" s="8">
        <v>15</v>
      </c>
      <c r="C247" s="8">
        <v>3612</v>
      </c>
      <c r="D247" s="16">
        <v>-2.9775960000000001E-2</v>
      </c>
      <c r="E247">
        <v>-1.488798E-2</v>
      </c>
    </row>
    <row r="248" spans="1:5" x14ac:dyDescent="0.3">
      <c r="A248" s="8">
        <v>22</v>
      </c>
      <c r="B248" s="8">
        <v>16</v>
      </c>
      <c r="C248" s="8">
        <v>3575</v>
      </c>
      <c r="D248" s="16">
        <v>-3.0182029999999999E-2</v>
      </c>
      <c r="E248">
        <v>-1.5091014999999999E-2</v>
      </c>
    </row>
    <row r="249" spans="1:5" x14ac:dyDescent="0.3">
      <c r="A249" s="8">
        <v>22</v>
      </c>
      <c r="B249" s="8">
        <v>17</v>
      </c>
      <c r="C249" s="8">
        <v>3608</v>
      </c>
      <c r="D249" s="16">
        <v>6.5965959999999997E-3</v>
      </c>
      <c r="E249">
        <v>3.2982979999999999E-3</v>
      </c>
    </row>
    <row r="250" spans="1:5" x14ac:dyDescent="0.3">
      <c r="A250" s="8">
        <v>22</v>
      </c>
      <c r="B250" s="8">
        <v>18</v>
      </c>
      <c r="C250" s="8">
        <v>3589</v>
      </c>
      <c r="D250" s="16">
        <v>-4.8097969999999997E-2</v>
      </c>
      <c r="E250">
        <v>-2.4048984999999998E-2</v>
      </c>
    </row>
    <row r="251" spans="1:5" x14ac:dyDescent="0.3">
      <c r="A251" s="8">
        <v>22</v>
      </c>
      <c r="B251" s="8">
        <v>19</v>
      </c>
      <c r="C251" s="8">
        <v>3559</v>
      </c>
      <c r="D251" s="16">
        <v>-2.3988909999999999E-2</v>
      </c>
      <c r="E251">
        <v>-1.1994454999999999E-2</v>
      </c>
    </row>
    <row r="252" spans="1:5" x14ac:dyDescent="0.3">
      <c r="A252" s="8">
        <v>22</v>
      </c>
      <c r="B252" s="8">
        <v>20</v>
      </c>
      <c r="C252" s="8">
        <v>3568</v>
      </c>
      <c r="D252" s="16">
        <v>-1.5148119999999999E-2</v>
      </c>
      <c r="E252">
        <v>-7.5740599999999996E-3</v>
      </c>
    </row>
    <row r="253" spans="1:5" x14ac:dyDescent="0.3">
      <c r="A253" s="8">
        <v>22</v>
      </c>
      <c r="B253" s="8">
        <v>21</v>
      </c>
      <c r="C253" s="8">
        <v>3626</v>
      </c>
      <c r="D253" s="16">
        <v>-1.0409679999999999E-2</v>
      </c>
      <c r="E253">
        <v>-5.2048399999999996E-3</v>
      </c>
    </row>
    <row r="254" spans="1:5" x14ac:dyDescent="0.3">
      <c r="A254" s="8">
        <v>22</v>
      </c>
      <c r="B254" s="8">
        <v>22</v>
      </c>
      <c r="C254" s="8">
        <v>3867</v>
      </c>
      <c r="D254" s="16">
        <v>1.0155989999999999</v>
      </c>
      <c r="E254"/>
    </row>
    <row r="255" spans="1:5" x14ac:dyDescent="0.3">
      <c r="A255" s="8">
        <v>23</v>
      </c>
      <c r="B255" s="8">
        <v>1</v>
      </c>
      <c r="C255" s="8">
        <v>3616</v>
      </c>
      <c r="D255" s="16">
        <v>-5.614421E-2</v>
      </c>
      <c r="E255">
        <v>-2.8072105E-2</v>
      </c>
    </row>
    <row r="256" spans="1:5" x14ac:dyDescent="0.3">
      <c r="A256" s="8">
        <v>23</v>
      </c>
      <c r="B256" s="8">
        <v>2</v>
      </c>
      <c r="C256" s="8">
        <v>3603</v>
      </c>
      <c r="D256" s="16">
        <v>-2.8105649999999999E-2</v>
      </c>
      <c r="E256">
        <v>-1.4052825E-2</v>
      </c>
    </row>
    <row r="257" spans="1:5" x14ac:dyDescent="0.3">
      <c r="A257" s="8">
        <v>23</v>
      </c>
      <c r="B257" s="8">
        <v>3</v>
      </c>
      <c r="C257" s="8">
        <v>3619</v>
      </c>
      <c r="D257" s="16">
        <v>-1.313401E-2</v>
      </c>
      <c r="E257">
        <v>-6.5670049999999999E-3</v>
      </c>
    </row>
    <row r="258" spans="1:5" x14ac:dyDescent="0.3">
      <c r="A258" s="8">
        <v>23</v>
      </c>
      <c r="B258" s="8">
        <v>4</v>
      </c>
      <c r="C258" s="8">
        <v>3561</v>
      </c>
      <c r="D258" s="16">
        <v>7.0010970000000004E-3</v>
      </c>
      <c r="E258">
        <v>3.5005485000000002E-3</v>
      </c>
    </row>
    <row r="259" spans="1:5" x14ac:dyDescent="0.3">
      <c r="A259" s="8">
        <v>23</v>
      </c>
      <c r="B259" s="8">
        <v>5</v>
      </c>
      <c r="C259" s="8">
        <v>3590</v>
      </c>
      <c r="D259" s="16">
        <v>-2.229598E-2</v>
      </c>
      <c r="E259">
        <v>-1.114799E-2</v>
      </c>
    </row>
    <row r="260" spans="1:5" x14ac:dyDescent="0.3">
      <c r="A260" s="8">
        <v>23</v>
      </c>
      <c r="B260" s="8">
        <v>6</v>
      </c>
      <c r="C260" s="8">
        <v>3606</v>
      </c>
      <c r="D260" s="16">
        <v>-2.430096E-2</v>
      </c>
      <c r="E260">
        <v>-1.215048E-2</v>
      </c>
    </row>
    <row r="261" spans="1:5" x14ac:dyDescent="0.3">
      <c r="A261" s="8">
        <v>23</v>
      </c>
      <c r="B261" s="8">
        <v>7</v>
      </c>
      <c r="C261" s="8">
        <v>3566</v>
      </c>
      <c r="D261" s="16">
        <v>2.7868710000000001E-2</v>
      </c>
      <c r="E261">
        <v>1.3934355000000001E-2</v>
      </c>
    </row>
    <row r="262" spans="1:5" x14ac:dyDescent="0.3">
      <c r="A262" s="8">
        <v>23</v>
      </c>
      <c r="B262" s="8">
        <v>8</v>
      </c>
      <c r="C262" s="8">
        <v>3603</v>
      </c>
      <c r="D262" s="16">
        <v>-8.3101909999999998E-3</v>
      </c>
      <c r="E262">
        <v>-4.1550954999999999E-3</v>
      </c>
    </row>
    <row r="263" spans="1:5" x14ac:dyDescent="0.3">
      <c r="A263" s="8">
        <v>23</v>
      </c>
      <c r="B263" s="8">
        <v>9</v>
      </c>
      <c r="C263" s="8">
        <v>3609</v>
      </c>
      <c r="D263" s="16">
        <v>-2.8777560000000001E-2</v>
      </c>
      <c r="E263">
        <v>-1.438878E-2</v>
      </c>
    </row>
    <row r="264" spans="1:5" x14ac:dyDescent="0.3">
      <c r="A264" s="8">
        <v>23</v>
      </c>
      <c r="B264" s="8">
        <v>10</v>
      </c>
      <c r="C264" s="8">
        <v>3612</v>
      </c>
      <c r="D264" s="16">
        <v>-2.8663180000000001E-3</v>
      </c>
      <c r="E264">
        <v>-1.433159E-3</v>
      </c>
    </row>
    <row r="265" spans="1:5" x14ac:dyDescent="0.3">
      <c r="A265" s="8">
        <v>23</v>
      </c>
      <c r="B265" s="8">
        <v>11</v>
      </c>
      <c r="C265" s="8">
        <v>3600</v>
      </c>
      <c r="D265" s="16">
        <v>-4.8581329999999999E-2</v>
      </c>
      <c r="E265">
        <v>-2.4290664999999999E-2</v>
      </c>
    </row>
    <row r="266" spans="1:5" x14ac:dyDescent="0.3">
      <c r="A266" s="8">
        <v>23</v>
      </c>
      <c r="B266" s="8">
        <v>12</v>
      </c>
      <c r="C266" s="8">
        <v>3605</v>
      </c>
      <c r="D266" s="16">
        <v>-3.5883659999999998E-2</v>
      </c>
      <c r="E266">
        <v>-1.7941829999999999E-2</v>
      </c>
    </row>
    <row r="267" spans="1:5" x14ac:dyDescent="0.3">
      <c r="A267" s="8">
        <v>23</v>
      </c>
      <c r="B267" s="8">
        <v>13</v>
      </c>
      <c r="C267" s="8">
        <v>3594</v>
      </c>
      <c r="D267" s="16">
        <v>-3.0831180000000001E-3</v>
      </c>
      <c r="E267">
        <v>-1.5415590000000001E-3</v>
      </c>
    </row>
    <row r="268" spans="1:5" x14ac:dyDescent="0.3">
      <c r="A268" s="8">
        <v>23</v>
      </c>
      <c r="B268" s="8">
        <v>14</v>
      </c>
      <c r="C268" s="8">
        <v>3597</v>
      </c>
      <c r="D268" s="16">
        <v>1.1473550000000001E-2</v>
      </c>
      <c r="E268">
        <v>5.7367750000000004E-3</v>
      </c>
    </row>
    <row r="269" spans="1:5" x14ac:dyDescent="0.3">
      <c r="A269" s="8">
        <v>23</v>
      </c>
      <c r="B269" s="8">
        <v>15</v>
      </c>
      <c r="C269" s="8">
        <v>3625</v>
      </c>
      <c r="D269" s="16">
        <v>1.9843299999999999E-3</v>
      </c>
      <c r="E269">
        <v>9.9216499999999993E-4</v>
      </c>
    </row>
    <row r="270" spans="1:5" x14ac:dyDescent="0.3">
      <c r="A270" s="8">
        <v>23</v>
      </c>
      <c r="B270" s="8">
        <v>16</v>
      </c>
      <c r="C270" s="8">
        <v>3592</v>
      </c>
      <c r="D270" s="16">
        <v>-5.3650269999999996E-3</v>
      </c>
      <c r="E270">
        <v>-2.6825134999999998E-3</v>
      </c>
    </row>
    <row r="271" spans="1:5" x14ac:dyDescent="0.3">
      <c r="A271" s="8">
        <v>23</v>
      </c>
      <c r="B271" s="8">
        <v>17</v>
      </c>
      <c r="C271" s="8">
        <v>3615</v>
      </c>
      <c r="D271" s="16">
        <v>4.2868009999999998E-2</v>
      </c>
      <c r="E271">
        <v>2.1434004999999999E-2</v>
      </c>
    </row>
    <row r="272" spans="1:5" x14ac:dyDescent="0.3">
      <c r="A272" s="8">
        <v>23</v>
      </c>
      <c r="B272" s="8">
        <v>18</v>
      </c>
      <c r="C272" s="8">
        <v>3607</v>
      </c>
      <c r="D272" s="16">
        <v>2.2991439999999998E-2</v>
      </c>
      <c r="E272">
        <v>1.1495719999999999E-2</v>
      </c>
    </row>
    <row r="273" spans="1:5" x14ac:dyDescent="0.3">
      <c r="A273" s="8">
        <v>23</v>
      </c>
      <c r="B273" s="8">
        <v>19</v>
      </c>
      <c r="C273" s="8">
        <v>3570</v>
      </c>
      <c r="D273" s="16">
        <v>1.1974490000000001E-2</v>
      </c>
      <c r="E273">
        <v>5.9872450000000004E-3</v>
      </c>
    </row>
    <row r="274" spans="1:5" x14ac:dyDescent="0.3">
      <c r="A274" s="8">
        <v>23</v>
      </c>
      <c r="B274" s="8">
        <v>20</v>
      </c>
      <c r="C274" s="8">
        <v>3583</v>
      </c>
      <c r="D274" s="16">
        <v>-1.99481E-2</v>
      </c>
      <c r="E274">
        <v>-9.9740499999999999E-3</v>
      </c>
    </row>
    <row r="275" spans="1:5" x14ac:dyDescent="0.3">
      <c r="A275" s="8">
        <v>23</v>
      </c>
      <c r="B275" s="8">
        <v>21</v>
      </c>
      <c r="C275" s="8">
        <v>3632</v>
      </c>
      <c r="D275" s="16">
        <v>-1.530548E-2</v>
      </c>
      <c r="E275">
        <v>-7.6527399999999999E-3</v>
      </c>
    </row>
    <row r="276" spans="1:5" x14ac:dyDescent="0.3">
      <c r="A276" s="8">
        <v>23</v>
      </c>
      <c r="B276" s="8">
        <v>22</v>
      </c>
      <c r="C276" s="8">
        <v>3585</v>
      </c>
      <c r="D276" s="16">
        <v>-3.6193969999999999E-2</v>
      </c>
      <c r="E276">
        <v>-1.8096984999999999E-2</v>
      </c>
    </row>
    <row r="277" spans="1:5" x14ac:dyDescent="0.3">
      <c r="A277" s="8">
        <v>23</v>
      </c>
      <c r="B277" s="8">
        <v>23</v>
      </c>
      <c r="C277" s="8">
        <v>3875</v>
      </c>
      <c r="D277" s="16">
        <v>0.9937821</v>
      </c>
      <c r="E277"/>
    </row>
    <row r="278" spans="1:5" x14ac:dyDescent="0.3">
      <c r="A278" s="8">
        <v>24</v>
      </c>
      <c r="B278" s="8">
        <v>1</v>
      </c>
      <c r="C278" s="8">
        <v>3637</v>
      </c>
      <c r="D278" s="16">
        <v>5.1081099999999999E-3</v>
      </c>
      <c r="E278">
        <v>2.554055E-3</v>
      </c>
    </row>
    <row r="279" spans="1:5" x14ac:dyDescent="0.3">
      <c r="A279" s="8">
        <v>24</v>
      </c>
      <c r="B279" s="8">
        <v>2</v>
      </c>
      <c r="C279" s="8">
        <v>3617</v>
      </c>
      <c r="D279" s="16">
        <v>-3.7602040000000001E-3</v>
      </c>
      <c r="E279">
        <v>-1.880102E-3</v>
      </c>
    </row>
    <row r="280" spans="1:5" x14ac:dyDescent="0.3">
      <c r="A280" s="8">
        <v>24</v>
      </c>
      <c r="B280" s="8">
        <v>3</v>
      </c>
      <c r="C280" s="8">
        <v>3643</v>
      </c>
      <c r="D280" s="16">
        <v>1.8508960000000001E-2</v>
      </c>
      <c r="E280">
        <v>9.2544800000000007E-3</v>
      </c>
    </row>
    <row r="281" spans="1:5" x14ac:dyDescent="0.3">
      <c r="A281" s="8">
        <v>24</v>
      </c>
      <c r="B281" s="8">
        <v>4</v>
      </c>
      <c r="C281" s="8">
        <v>3583</v>
      </c>
      <c r="D281" s="16">
        <v>2.6494940000000002E-2</v>
      </c>
      <c r="E281">
        <v>1.3247470000000001E-2</v>
      </c>
    </row>
    <row r="282" spans="1:5" x14ac:dyDescent="0.3">
      <c r="A282" s="8">
        <v>24</v>
      </c>
      <c r="B282" s="8">
        <v>5</v>
      </c>
      <c r="C282" s="8">
        <v>3616</v>
      </c>
      <c r="D282" s="16">
        <v>-1.410551E-2</v>
      </c>
      <c r="E282">
        <v>-7.052755E-3</v>
      </c>
    </row>
    <row r="283" spans="1:5" x14ac:dyDescent="0.3">
      <c r="A283" s="8">
        <v>24</v>
      </c>
      <c r="B283" s="8">
        <v>6</v>
      </c>
      <c r="C283" s="8">
        <v>3616</v>
      </c>
      <c r="D283" s="16">
        <v>4.9024370000000004E-4</v>
      </c>
      <c r="E283">
        <v>2.4512185000000002E-4</v>
      </c>
    </row>
    <row r="284" spans="1:5" x14ac:dyDescent="0.3">
      <c r="A284" s="8">
        <v>24</v>
      </c>
      <c r="B284" s="8">
        <v>7</v>
      </c>
      <c r="C284" s="8">
        <v>3585</v>
      </c>
      <c r="D284" s="16">
        <v>-1.9186800000000001E-3</v>
      </c>
      <c r="E284">
        <v>-9.5934000000000004E-4</v>
      </c>
    </row>
    <row r="285" spans="1:5" x14ac:dyDescent="0.3">
      <c r="A285" s="8">
        <v>24</v>
      </c>
      <c r="B285" s="8">
        <v>8</v>
      </c>
      <c r="C285" s="8">
        <v>3621</v>
      </c>
      <c r="D285" s="16">
        <v>5.6429820000000004E-3</v>
      </c>
      <c r="E285">
        <v>2.8214910000000002E-3</v>
      </c>
    </row>
    <row r="286" spans="1:5" x14ac:dyDescent="0.3">
      <c r="A286" s="8">
        <v>24</v>
      </c>
      <c r="B286" s="8">
        <v>9</v>
      </c>
      <c r="C286" s="8">
        <v>3625</v>
      </c>
      <c r="D286" s="16">
        <v>-3.3762250000000001E-2</v>
      </c>
      <c r="E286">
        <v>-1.6881125E-2</v>
      </c>
    </row>
    <row r="287" spans="1:5" x14ac:dyDescent="0.3">
      <c r="A287" s="8">
        <v>24</v>
      </c>
      <c r="B287" s="8">
        <v>10</v>
      </c>
      <c r="C287" s="8">
        <v>3618</v>
      </c>
      <c r="D287" s="16">
        <v>-6.3935510000000001E-2</v>
      </c>
      <c r="E287">
        <v>-3.1967755E-2</v>
      </c>
    </row>
    <row r="288" spans="1:5" x14ac:dyDescent="0.3">
      <c r="A288" s="8">
        <v>24</v>
      </c>
      <c r="B288" s="8">
        <v>11</v>
      </c>
      <c r="C288" s="8">
        <v>3628</v>
      </c>
      <c r="D288" s="16">
        <v>-3.438104E-3</v>
      </c>
      <c r="E288">
        <v>-1.719052E-3</v>
      </c>
    </row>
    <row r="289" spans="1:5" x14ac:dyDescent="0.3">
      <c r="A289" s="8">
        <v>24</v>
      </c>
      <c r="B289" s="8">
        <v>12</v>
      </c>
      <c r="C289" s="8">
        <v>3641</v>
      </c>
      <c r="D289" s="16">
        <v>-3.78661E-2</v>
      </c>
      <c r="E289">
        <v>-1.893305E-2</v>
      </c>
    </row>
    <row r="290" spans="1:5" x14ac:dyDescent="0.3">
      <c r="A290" s="8">
        <v>24</v>
      </c>
      <c r="B290" s="8">
        <v>13</v>
      </c>
      <c r="C290" s="8">
        <v>3627</v>
      </c>
      <c r="D290" s="16">
        <v>-1.268996E-2</v>
      </c>
      <c r="E290">
        <v>-6.3449800000000001E-3</v>
      </c>
    </row>
    <row r="291" spans="1:5" x14ac:dyDescent="0.3">
      <c r="A291" s="8">
        <v>24</v>
      </c>
      <c r="B291" s="8">
        <v>14</v>
      </c>
      <c r="C291" s="8">
        <v>3615</v>
      </c>
      <c r="D291" s="16">
        <v>-1.53531E-2</v>
      </c>
      <c r="E291">
        <v>-7.6765499999999999E-3</v>
      </c>
    </row>
    <row r="292" spans="1:5" x14ac:dyDescent="0.3">
      <c r="A292" s="8">
        <v>24</v>
      </c>
      <c r="B292" s="8">
        <v>15</v>
      </c>
      <c r="C292" s="8">
        <v>3623</v>
      </c>
      <c r="D292" s="16">
        <v>-2.6384749999999998E-2</v>
      </c>
      <c r="E292">
        <v>-1.3192374999999999E-2</v>
      </c>
    </row>
    <row r="293" spans="1:5" x14ac:dyDescent="0.3">
      <c r="A293" s="8">
        <v>24</v>
      </c>
      <c r="B293" s="8">
        <v>16</v>
      </c>
      <c r="C293" s="8">
        <v>3606</v>
      </c>
      <c r="D293" s="16">
        <v>-1.1772329999999999E-2</v>
      </c>
      <c r="E293">
        <v>-5.8861649999999996E-3</v>
      </c>
    </row>
    <row r="294" spans="1:5" x14ac:dyDescent="0.3">
      <c r="A294" s="8">
        <v>24</v>
      </c>
      <c r="B294" s="8">
        <v>17</v>
      </c>
      <c r="C294" s="8">
        <v>3632</v>
      </c>
      <c r="D294" s="16">
        <v>-4.4474650000000003E-3</v>
      </c>
      <c r="E294">
        <v>-2.2237325000000001E-3</v>
      </c>
    </row>
    <row r="295" spans="1:5" x14ac:dyDescent="0.3">
      <c r="A295" s="8">
        <v>24</v>
      </c>
      <c r="B295" s="8">
        <v>18</v>
      </c>
      <c r="C295" s="8">
        <v>3628</v>
      </c>
      <c r="D295" s="16">
        <v>-5.0797990000000001E-2</v>
      </c>
      <c r="E295">
        <v>-2.5398995000000001E-2</v>
      </c>
    </row>
    <row r="296" spans="1:5" x14ac:dyDescent="0.3">
      <c r="A296" s="8">
        <v>24</v>
      </c>
      <c r="B296" s="8">
        <v>19</v>
      </c>
      <c r="C296" s="8">
        <v>3595</v>
      </c>
      <c r="D296" s="16">
        <v>6.2324870000000001E-3</v>
      </c>
      <c r="E296">
        <v>3.1162435E-3</v>
      </c>
    </row>
    <row r="297" spans="1:5" x14ac:dyDescent="0.3">
      <c r="A297" s="8">
        <v>24</v>
      </c>
      <c r="B297" s="8">
        <v>20</v>
      </c>
      <c r="C297" s="8">
        <v>3602</v>
      </c>
      <c r="D297" s="16">
        <v>-2.071988E-2</v>
      </c>
      <c r="E297">
        <v>-1.035994E-2</v>
      </c>
    </row>
    <row r="298" spans="1:5" x14ac:dyDescent="0.3">
      <c r="A298" s="8">
        <v>24</v>
      </c>
      <c r="B298" s="8">
        <v>21</v>
      </c>
      <c r="C298" s="8">
        <v>3659</v>
      </c>
      <c r="D298" s="16">
        <v>1.030997E-2</v>
      </c>
      <c r="E298">
        <v>5.1549849999999999E-3</v>
      </c>
    </row>
    <row r="299" spans="1:5" x14ac:dyDescent="0.3">
      <c r="A299" s="8">
        <v>24</v>
      </c>
      <c r="B299" s="8">
        <v>22</v>
      </c>
      <c r="C299" s="8">
        <v>3624</v>
      </c>
      <c r="D299" s="16">
        <v>-3.7171959999999999E-3</v>
      </c>
      <c r="E299">
        <v>-1.8585979999999999E-3</v>
      </c>
    </row>
    <row r="300" spans="1:5" x14ac:dyDescent="0.3">
      <c r="A300" s="8">
        <v>24</v>
      </c>
      <c r="B300" s="8">
        <v>23</v>
      </c>
      <c r="C300" s="8">
        <v>3617</v>
      </c>
      <c r="D300" s="16">
        <v>2.3600139999999999E-2</v>
      </c>
      <c r="E300">
        <v>1.1800069999999999E-2</v>
      </c>
    </row>
    <row r="301" spans="1:5" x14ac:dyDescent="0.3">
      <c r="A301" s="8">
        <v>24</v>
      </c>
      <c r="B301" s="8">
        <v>24</v>
      </c>
      <c r="C301" s="8">
        <v>3898</v>
      </c>
      <c r="D301" s="16">
        <v>1.00386</v>
      </c>
      <c r="E301"/>
    </row>
    <row r="302" spans="1:5" x14ac:dyDescent="0.3">
      <c r="A302" s="8">
        <v>25</v>
      </c>
      <c r="B302" s="8">
        <v>1</v>
      </c>
      <c r="C302" s="8">
        <v>3611</v>
      </c>
      <c r="D302" s="16">
        <v>-4.3901780000000001E-2</v>
      </c>
      <c r="E302">
        <v>-2.1950890000000001E-2</v>
      </c>
    </row>
    <row r="303" spans="1:5" x14ac:dyDescent="0.3">
      <c r="A303" s="8">
        <v>25</v>
      </c>
      <c r="B303" s="8">
        <v>2</v>
      </c>
      <c r="C303" s="8">
        <v>3596</v>
      </c>
      <c r="D303" s="16">
        <v>-6.4030829999999997E-2</v>
      </c>
      <c r="E303">
        <v>-3.2015414999999998E-2</v>
      </c>
    </row>
    <row r="304" spans="1:5" x14ac:dyDescent="0.3">
      <c r="A304" s="8">
        <v>25</v>
      </c>
      <c r="B304" s="8">
        <v>3</v>
      </c>
      <c r="C304" s="8">
        <v>3604</v>
      </c>
      <c r="D304" s="16">
        <v>2.0529349999999998E-2</v>
      </c>
      <c r="E304">
        <v>1.0264674999999999E-2</v>
      </c>
    </row>
    <row r="305" spans="1:5" x14ac:dyDescent="0.3">
      <c r="A305" s="8">
        <v>25</v>
      </c>
      <c r="B305" s="8">
        <v>4</v>
      </c>
      <c r="C305" s="8">
        <v>3563</v>
      </c>
      <c r="D305" s="16">
        <v>-2.6078460000000001E-2</v>
      </c>
      <c r="E305">
        <v>-1.3039230000000001E-2</v>
      </c>
    </row>
    <row r="306" spans="1:5" x14ac:dyDescent="0.3">
      <c r="A306" s="8">
        <v>25</v>
      </c>
      <c r="B306" s="8">
        <v>5</v>
      </c>
      <c r="C306" s="8">
        <v>3589</v>
      </c>
      <c r="D306" s="16">
        <v>-2.571443E-2</v>
      </c>
      <c r="E306">
        <v>-1.2857215E-2</v>
      </c>
    </row>
    <row r="307" spans="1:5" x14ac:dyDescent="0.3">
      <c r="A307" s="8">
        <v>25</v>
      </c>
      <c r="B307" s="8">
        <v>6</v>
      </c>
      <c r="C307" s="8">
        <v>3589</v>
      </c>
      <c r="D307" s="16">
        <v>-6.0002880000000003E-3</v>
      </c>
      <c r="E307">
        <v>-3.0001440000000002E-3</v>
      </c>
    </row>
    <row r="308" spans="1:5" x14ac:dyDescent="0.3">
      <c r="A308" s="8">
        <v>25</v>
      </c>
      <c r="B308" s="8">
        <v>7</v>
      </c>
      <c r="C308" s="8">
        <v>3565</v>
      </c>
      <c r="D308" s="16">
        <v>7.5373749999999998E-3</v>
      </c>
      <c r="E308">
        <v>3.7686874999999999E-3</v>
      </c>
    </row>
    <row r="309" spans="1:5" x14ac:dyDescent="0.3">
      <c r="A309" s="8">
        <v>25</v>
      </c>
      <c r="B309" s="8">
        <v>8</v>
      </c>
      <c r="C309" s="8">
        <v>3586</v>
      </c>
      <c r="D309" s="16">
        <v>-1.7599500000000001E-2</v>
      </c>
      <c r="E309">
        <v>-8.7997500000000003E-3</v>
      </c>
    </row>
    <row r="310" spans="1:5" x14ac:dyDescent="0.3">
      <c r="A310" s="8">
        <v>25</v>
      </c>
      <c r="B310" s="8">
        <v>9</v>
      </c>
      <c r="C310" s="8">
        <v>3598</v>
      </c>
      <c r="D310" s="16">
        <v>7.5526040000000003E-2</v>
      </c>
      <c r="E310">
        <v>3.7763020000000001E-2</v>
      </c>
    </row>
    <row r="311" spans="1:5" x14ac:dyDescent="0.3">
      <c r="A311" s="8">
        <v>25</v>
      </c>
      <c r="B311" s="8">
        <v>10</v>
      </c>
      <c r="C311" s="8">
        <v>3607</v>
      </c>
      <c r="D311" s="16">
        <v>3.104939E-2</v>
      </c>
      <c r="E311">
        <v>1.5524695E-2</v>
      </c>
    </row>
    <row r="312" spans="1:5" x14ac:dyDescent="0.3">
      <c r="A312" s="8">
        <v>25</v>
      </c>
      <c r="B312" s="8">
        <v>11</v>
      </c>
      <c r="C312" s="8">
        <v>3593</v>
      </c>
      <c r="D312" s="16">
        <v>-3.6842310000000003E-2</v>
      </c>
      <c r="E312">
        <v>-1.8421155000000002E-2</v>
      </c>
    </row>
    <row r="313" spans="1:5" x14ac:dyDescent="0.3">
      <c r="A313" s="8">
        <v>25</v>
      </c>
      <c r="B313" s="8">
        <v>12</v>
      </c>
      <c r="C313" s="8">
        <v>3604</v>
      </c>
      <c r="D313" s="16">
        <v>-8.8496189999999995E-3</v>
      </c>
      <c r="E313">
        <v>-4.4248094999999998E-3</v>
      </c>
    </row>
    <row r="314" spans="1:5" x14ac:dyDescent="0.3">
      <c r="A314" s="8">
        <v>25</v>
      </c>
      <c r="B314" s="8">
        <v>13</v>
      </c>
      <c r="C314" s="8">
        <v>3589</v>
      </c>
      <c r="D314" s="16">
        <v>-6.0271719999999999E-3</v>
      </c>
      <c r="E314">
        <v>-3.013586E-3</v>
      </c>
    </row>
    <row r="315" spans="1:5" x14ac:dyDescent="0.3">
      <c r="A315" s="8">
        <v>25</v>
      </c>
      <c r="B315" s="8">
        <v>14</v>
      </c>
      <c r="C315" s="8">
        <v>3575</v>
      </c>
      <c r="D315" s="16">
        <v>-3.4500089999999997E-2</v>
      </c>
      <c r="E315">
        <v>-1.7250044999999999E-2</v>
      </c>
    </row>
    <row r="316" spans="1:5" x14ac:dyDescent="0.3">
      <c r="A316" s="8">
        <v>25</v>
      </c>
      <c r="B316" s="8">
        <v>15</v>
      </c>
      <c r="C316" s="8">
        <v>3617</v>
      </c>
      <c r="D316" s="16">
        <v>-9.5695880000000004E-3</v>
      </c>
      <c r="E316">
        <v>-4.7847940000000002E-3</v>
      </c>
    </row>
    <row r="317" spans="1:5" x14ac:dyDescent="0.3">
      <c r="A317" s="8">
        <v>25</v>
      </c>
      <c r="B317" s="8">
        <v>16</v>
      </c>
      <c r="C317" s="8">
        <v>3580</v>
      </c>
      <c r="D317" s="16">
        <v>-3.4039420000000001E-2</v>
      </c>
      <c r="E317">
        <v>-1.701971E-2</v>
      </c>
    </row>
    <row r="318" spans="1:5" x14ac:dyDescent="0.3">
      <c r="A318" s="8">
        <v>25</v>
      </c>
      <c r="B318" s="8">
        <v>17</v>
      </c>
      <c r="C318" s="8">
        <v>3599</v>
      </c>
      <c r="D318" s="16">
        <v>-4.129331E-2</v>
      </c>
      <c r="E318">
        <v>-2.0646655E-2</v>
      </c>
    </row>
    <row r="319" spans="1:5" x14ac:dyDescent="0.3">
      <c r="A319" s="8">
        <v>25</v>
      </c>
      <c r="B319" s="8">
        <v>18</v>
      </c>
      <c r="C319" s="8">
        <v>3589</v>
      </c>
      <c r="D319" s="16">
        <v>-2.905392E-2</v>
      </c>
      <c r="E319">
        <v>-1.452696E-2</v>
      </c>
    </row>
    <row r="320" spans="1:5" x14ac:dyDescent="0.3">
      <c r="A320" s="8">
        <v>25</v>
      </c>
      <c r="B320" s="8">
        <v>19</v>
      </c>
      <c r="C320" s="8">
        <v>3557</v>
      </c>
      <c r="D320" s="16">
        <v>-3.2657949999999998E-2</v>
      </c>
      <c r="E320">
        <v>-1.6328974999999999E-2</v>
      </c>
    </row>
    <row r="321" spans="1:5" x14ac:dyDescent="0.3">
      <c r="A321" s="8">
        <v>25</v>
      </c>
      <c r="B321" s="8">
        <v>20</v>
      </c>
      <c r="C321" s="8">
        <v>3571</v>
      </c>
      <c r="D321" s="16">
        <v>-5.0311269999999998E-3</v>
      </c>
      <c r="E321">
        <v>-2.5155634999999999E-3</v>
      </c>
    </row>
    <row r="322" spans="1:5" x14ac:dyDescent="0.3">
      <c r="A322" s="8">
        <v>25</v>
      </c>
      <c r="B322" s="8">
        <v>21</v>
      </c>
      <c r="C322" s="8">
        <v>3620</v>
      </c>
      <c r="D322" s="16">
        <v>-2.2800939999999999E-2</v>
      </c>
      <c r="E322">
        <v>-1.1400469999999999E-2</v>
      </c>
    </row>
    <row r="323" spans="1:5" x14ac:dyDescent="0.3">
      <c r="A323" s="8">
        <v>25</v>
      </c>
      <c r="B323" s="8">
        <v>22</v>
      </c>
      <c r="C323" s="8">
        <v>3588</v>
      </c>
      <c r="D323" s="16">
        <v>-3.3425990000000003E-2</v>
      </c>
      <c r="E323">
        <v>-1.6712995000000001E-2</v>
      </c>
    </row>
    <row r="324" spans="1:5" x14ac:dyDescent="0.3">
      <c r="A324" s="8">
        <v>25</v>
      </c>
      <c r="B324" s="8">
        <v>23</v>
      </c>
      <c r="C324" s="8">
        <v>3578</v>
      </c>
      <c r="D324" s="16">
        <v>1.501532E-2</v>
      </c>
      <c r="E324">
        <v>7.5076600000000002E-3</v>
      </c>
    </row>
    <row r="325" spans="1:5" x14ac:dyDescent="0.3">
      <c r="A325" s="8">
        <v>25</v>
      </c>
      <c r="B325" s="8">
        <v>24</v>
      </c>
      <c r="C325" s="8">
        <v>3605</v>
      </c>
      <c r="D325" s="16">
        <v>-1.141935E-3</v>
      </c>
      <c r="E325">
        <v>-5.7096749999999998E-4</v>
      </c>
    </row>
    <row r="326" spans="1:5" x14ac:dyDescent="0.3">
      <c r="A326" s="8">
        <v>25</v>
      </c>
      <c r="B326" s="8">
        <v>25</v>
      </c>
      <c r="C326" s="8">
        <v>3865</v>
      </c>
      <c r="D326" s="16">
        <v>1.0515159999999999</v>
      </c>
      <c r="E326"/>
    </row>
    <row r="327" spans="1:5" x14ac:dyDescent="0.3">
      <c r="A327" s="8">
        <v>26</v>
      </c>
      <c r="B327" s="8">
        <v>1</v>
      </c>
      <c r="C327" s="8">
        <v>3657</v>
      </c>
      <c r="D327" s="16">
        <v>-2.0471980000000001E-2</v>
      </c>
      <c r="E327">
        <v>-1.023599E-2</v>
      </c>
    </row>
    <row r="328" spans="1:5" x14ac:dyDescent="0.3">
      <c r="A328" s="8">
        <v>26</v>
      </c>
      <c r="B328" s="8">
        <v>2</v>
      </c>
      <c r="C328" s="8">
        <v>3632</v>
      </c>
      <c r="D328" s="16">
        <v>8.5968280000000008E-3</v>
      </c>
      <c r="E328">
        <v>4.2984140000000004E-3</v>
      </c>
    </row>
    <row r="329" spans="1:5" x14ac:dyDescent="0.3">
      <c r="A329" s="8">
        <v>26</v>
      </c>
      <c r="B329" s="8">
        <v>3</v>
      </c>
      <c r="C329" s="8">
        <v>3646</v>
      </c>
      <c r="D329" s="16">
        <v>-3.809322E-3</v>
      </c>
      <c r="E329">
        <v>-1.904661E-3</v>
      </c>
    </row>
    <row r="330" spans="1:5" x14ac:dyDescent="0.3">
      <c r="A330" s="8">
        <v>26</v>
      </c>
      <c r="B330" s="8">
        <v>4</v>
      </c>
      <c r="C330" s="8">
        <v>3587</v>
      </c>
      <c r="D330" s="16">
        <v>-3.4260609999999997E-2</v>
      </c>
      <c r="E330">
        <v>-1.7130304999999998E-2</v>
      </c>
    </row>
    <row r="331" spans="1:5" x14ac:dyDescent="0.3">
      <c r="A331" s="8">
        <v>26</v>
      </c>
      <c r="B331" s="8">
        <v>5</v>
      </c>
      <c r="C331" s="8">
        <v>3627</v>
      </c>
      <c r="D331" s="16">
        <v>-3.9914900000000003E-2</v>
      </c>
      <c r="E331">
        <v>-1.9957450000000002E-2</v>
      </c>
    </row>
    <row r="332" spans="1:5" x14ac:dyDescent="0.3">
      <c r="A332" s="8">
        <v>26</v>
      </c>
      <c r="B332" s="8">
        <v>6</v>
      </c>
      <c r="C332" s="8">
        <v>3629</v>
      </c>
      <c r="D332" s="16">
        <v>-3.8424430000000001E-3</v>
      </c>
      <c r="E332">
        <v>-1.9212215E-3</v>
      </c>
    </row>
    <row r="333" spans="1:5" x14ac:dyDescent="0.3">
      <c r="A333" s="8">
        <v>26</v>
      </c>
      <c r="B333" s="8">
        <v>7</v>
      </c>
      <c r="C333" s="8">
        <v>3595</v>
      </c>
      <c r="D333" s="16">
        <v>-2.9986589999999999E-3</v>
      </c>
      <c r="E333">
        <v>-1.4993294999999999E-3</v>
      </c>
    </row>
    <row r="334" spans="1:5" x14ac:dyDescent="0.3">
      <c r="A334" s="8">
        <v>26</v>
      </c>
      <c r="B334" s="8">
        <v>8</v>
      </c>
      <c r="C334" s="8">
        <v>3632</v>
      </c>
      <c r="D334" s="16">
        <v>1.8649599999999999E-3</v>
      </c>
      <c r="E334">
        <v>9.3247999999999996E-4</v>
      </c>
    </row>
    <row r="335" spans="1:5" x14ac:dyDescent="0.3">
      <c r="A335" s="8">
        <v>26</v>
      </c>
      <c r="B335" s="8">
        <v>9</v>
      </c>
      <c r="C335" s="8">
        <v>3628</v>
      </c>
      <c r="D335" s="16">
        <v>-2.0657519999999999E-2</v>
      </c>
      <c r="E335">
        <v>-1.0328759999999999E-2</v>
      </c>
    </row>
    <row r="336" spans="1:5" x14ac:dyDescent="0.3">
      <c r="A336" s="8">
        <v>26</v>
      </c>
      <c r="B336" s="8">
        <v>10</v>
      </c>
      <c r="C336" s="8">
        <v>3631</v>
      </c>
      <c r="D336" s="16">
        <v>-1.4099459999999999E-2</v>
      </c>
      <c r="E336">
        <v>-7.0497299999999997E-3</v>
      </c>
    </row>
    <row r="337" spans="1:5" x14ac:dyDescent="0.3">
      <c r="A337" s="8">
        <v>26</v>
      </c>
      <c r="B337" s="8">
        <v>11</v>
      </c>
      <c r="C337" s="8">
        <v>3619</v>
      </c>
      <c r="D337" s="16">
        <v>9.5990780000000005E-3</v>
      </c>
      <c r="E337">
        <v>4.7995390000000002E-3</v>
      </c>
    </row>
    <row r="338" spans="1:5" x14ac:dyDescent="0.3">
      <c r="A338" s="8">
        <v>26</v>
      </c>
      <c r="B338" s="8">
        <v>12</v>
      </c>
      <c r="C338" s="8">
        <v>3635</v>
      </c>
      <c r="D338" s="16">
        <v>-1.348464E-3</v>
      </c>
      <c r="E338">
        <v>-6.7423199999999998E-4</v>
      </c>
    </row>
    <row r="339" spans="1:5" x14ac:dyDescent="0.3">
      <c r="A339" s="8">
        <v>26</v>
      </c>
      <c r="B339" s="8">
        <v>13</v>
      </c>
      <c r="C339" s="8">
        <v>3628</v>
      </c>
      <c r="D339" s="16">
        <v>-3.8598689999999998E-2</v>
      </c>
      <c r="E339">
        <v>-1.9299344999999999E-2</v>
      </c>
    </row>
    <row r="340" spans="1:5" x14ac:dyDescent="0.3">
      <c r="A340" s="8">
        <v>26</v>
      </c>
      <c r="B340" s="8">
        <v>14</v>
      </c>
      <c r="C340" s="8">
        <v>3620</v>
      </c>
      <c r="D340" s="16">
        <v>-1.668035E-2</v>
      </c>
      <c r="E340">
        <v>-8.340175E-3</v>
      </c>
    </row>
    <row r="341" spans="1:5" x14ac:dyDescent="0.3">
      <c r="A341" s="8">
        <v>26</v>
      </c>
      <c r="B341" s="8">
        <v>15</v>
      </c>
      <c r="C341" s="8">
        <v>3639</v>
      </c>
      <c r="D341" s="16">
        <v>5.9604259999999996E-3</v>
      </c>
      <c r="E341">
        <v>2.9802129999999998E-3</v>
      </c>
    </row>
    <row r="342" spans="1:5" x14ac:dyDescent="0.3">
      <c r="A342" s="8">
        <v>26</v>
      </c>
      <c r="B342" s="8">
        <v>16</v>
      </c>
      <c r="C342" s="8">
        <v>3611</v>
      </c>
      <c r="D342" s="16">
        <v>9.3306859999999995E-3</v>
      </c>
      <c r="E342">
        <v>4.6653429999999997E-3</v>
      </c>
    </row>
    <row r="343" spans="1:5" x14ac:dyDescent="0.3">
      <c r="A343" s="8">
        <v>26</v>
      </c>
      <c r="B343" s="8">
        <v>17</v>
      </c>
      <c r="C343" s="8">
        <v>3623</v>
      </c>
      <c r="D343" s="16">
        <v>-4.3304790000000003E-2</v>
      </c>
      <c r="E343">
        <v>-2.1652395000000001E-2</v>
      </c>
    </row>
    <row r="344" spans="1:5" x14ac:dyDescent="0.3">
      <c r="A344" s="8">
        <v>26</v>
      </c>
      <c r="B344" s="8">
        <v>18</v>
      </c>
      <c r="C344" s="8">
        <v>3631</v>
      </c>
      <c r="D344" s="16">
        <v>-9.6337320000000008E-3</v>
      </c>
      <c r="E344">
        <v>-4.8168660000000004E-3</v>
      </c>
    </row>
    <row r="345" spans="1:5" x14ac:dyDescent="0.3">
      <c r="A345" s="8">
        <v>26</v>
      </c>
      <c r="B345" s="8">
        <v>19</v>
      </c>
      <c r="C345" s="8">
        <v>3593</v>
      </c>
      <c r="D345" s="16">
        <v>-6.7491239999999996E-3</v>
      </c>
      <c r="E345">
        <v>-3.3745619999999998E-3</v>
      </c>
    </row>
    <row r="346" spans="1:5" x14ac:dyDescent="0.3">
      <c r="A346" s="8">
        <v>26</v>
      </c>
      <c r="B346" s="8">
        <v>20</v>
      </c>
      <c r="C346" s="8">
        <v>3603</v>
      </c>
      <c r="D346" s="16">
        <v>-2.0940629999999998E-2</v>
      </c>
      <c r="E346">
        <v>-1.0470314999999999E-2</v>
      </c>
    </row>
    <row r="347" spans="1:5" x14ac:dyDescent="0.3">
      <c r="A347" s="8">
        <v>26</v>
      </c>
      <c r="B347" s="8">
        <v>21</v>
      </c>
      <c r="C347" s="8">
        <v>3661</v>
      </c>
      <c r="D347" s="16">
        <v>-3.1831659999999998E-2</v>
      </c>
      <c r="E347">
        <v>-1.5915829999999999E-2</v>
      </c>
    </row>
    <row r="348" spans="1:5" x14ac:dyDescent="0.3">
      <c r="A348" s="8">
        <v>26</v>
      </c>
      <c r="B348" s="8">
        <v>22</v>
      </c>
      <c r="C348" s="8">
        <v>3607</v>
      </c>
      <c r="D348" s="16">
        <v>2.9840800000000001E-3</v>
      </c>
      <c r="E348">
        <v>1.49204E-3</v>
      </c>
    </row>
    <row r="349" spans="1:5" x14ac:dyDescent="0.3">
      <c r="A349" s="8">
        <v>26</v>
      </c>
      <c r="B349" s="8">
        <v>23</v>
      </c>
      <c r="C349" s="8">
        <v>3616</v>
      </c>
      <c r="D349" s="16">
        <v>-1.001631E-2</v>
      </c>
      <c r="E349">
        <v>-5.0081550000000002E-3</v>
      </c>
    </row>
    <row r="350" spans="1:5" x14ac:dyDescent="0.3">
      <c r="A350" s="8">
        <v>26</v>
      </c>
      <c r="B350" s="8">
        <v>24</v>
      </c>
      <c r="C350" s="8">
        <v>3633</v>
      </c>
      <c r="D350" s="16">
        <v>-4.9980049999999998E-2</v>
      </c>
      <c r="E350">
        <v>-2.4990024999999999E-2</v>
      </c>
    </row>
    <row r="351" spans="1:5" x14ac:dyDescent="0.3">
      <c r="A351" s="8">
        <v>26</v>
      </c>
      <c r="B351" s="8">
        <v>25</v>
      </c>
      <c r="C351" s="8">
        <v>3611</v>
      </c>
      <c r="D351" s="16">
        <v>-9.1819050000000006E-3</v>
      </c>
      <c r="E351">
        <v>-4.5909525000000003E-3</v>
      </c>
    </row>
    <row r="352" spans="1:5" x14ac:dyDescent="0.3">
      <c r="A352" s="8">
        <v>26</v>
      </c>
      <c r="B352" s="8">
        <v>26</v>
      </c>
      <c r="C352" s="8">
        <v>3906</v>
      </c>
      <c r="D352" s="16">
        <v>0.97158580000000005</v>
      </c>
      <c r="E352"/>
    </row>
    <row r="353" spans="1:5" x14ac:dyDescent="0.3">
      <c r="A353" s="8">
        <v>27</v>
      </c>
      <c r="B353" s="8">
        <v>1</v>
      </c>
      <c r="C353" s="8">
        <v>3608</v>
      </c>
      <c r="D353" s="16">
        <v>-1.638713E-2</v>
      </c>
      <c r="E353">
        <v>-8.1935649999999999E-3</v>
      </c>
    </row>
    <row r="354" spans="1:5" x14ac:dyDescent="0.3">
      <c r="A354" s="8">
        <v>27</v>
      </c>
      <c r="B354" s="8">
        <v>2</v>
      </c>
      <c r="C354" s="8">
        <v>3587</v>
      </c>
      <c r="D354" s="16">
        <v>-2.7295670000000001E-2</v>
      </c>
      <c r="E354">
        <v>-1.3647835000000001E-2</v>
      </c>
    </row>
    <row r="355" spans="1:5" x14ac:dyDescent="0.3">
      <c r="A355" s="8">
        <v>27</v>
      </c>
      <c r="B355" s="8">
        <v>3</v>
      </c>
      <c r="C355" s="8">
        <v>3608</v>
      </c>
      <c r="D355" s="16">
        <v>-2.2710770000000002E-2</v>
      </c>
      <c r="E355">
        <v>-1.1355385000000001E-2</v>
      </c>
    </row>
    <row r="356" spans="1:5" x14ac:dyDescent="0.3">
      <c r="A356" s="8">
        <v>27</v>
      </c>
      <c r="B356" s="8">
        <v>4</v>
      </c>
      <c r="C356" s="8">
        <v>3556</v>
      </c>
      <c r="D356" s="16">
        <v>-1.269292E-2</v>
      </c>
      <c r="E356">
        <v>-6.3464599999999999E-3</v>
      </c>
    </row>
    <row r="357" spans="1:5" x14ac:dyDescent="0.3">
      <c r="A357" s="8">
        <v>27</v>
      </c>
      <c r="B357" s="8">
        <v>5</v>
      </c>
      <c r="C357" s="8">
        <v>3584</v>
      </c>
      <c r="D357" s="16">
        <v>-6.5465979999999993E-2</v>
      </c>
      <c r="E357">
        <v>-3.2732989999999997E-2</v>
      </c>
    </row>
    <row r="358" spans="1:5" x14ac:dyDescent="0.3">
      <c r="A358" s="8">
        <v>27</v>
      </c>
      <c r="B358" s="8">
        <v>6</v>
      </c>
      <c r="C358" s="8">
        <v>3587</v>
      </c>
      <c r="D358" s="16">
        <v>-1.001207E-2</v>
      </c>
      <c r="E358">
        <v>-5.0060349999999998E-3</v>
      </c>
    </row>
    <row r="359" spans="1:5" x14ac:dyDescent="0.3">
      <c r="A359" s="8">
        <v>27</v>
      </c>
      <c r="B359" s="8">
        <v>7</v>
      </c>
      <c r="C359" s="8">
        <v>3553</v>
      </c>
      <c r="D359" s="16">
        <v>8.5150739999999992E-3</v>
      </c>
      <c r="E359">
        <v>4.2575369999999996E-3</v>
      </c>
    </row>
    <row r="360" spans="1:5" x14ac:dyDescent="0.3">
      <c r="A360" s="8">
        <v>27</v>
      </c>
      <c r="B360" s="8">
        <v>8</v>
      </c>
      <c r="C360" s="8">
        <v>3593</v>
      </c>
      <c r="D360" s="16">
        <v>-6.7206030000000003E-3</v>
      </c>
      <c r="E360">
        <v>-3.3603015000000002E-3</v>
      </c>
    </row>
    <row r="361" spans="1:5" x14ac:dyDescent="0.3">
      <c r="A361" s="8">
        <v>27</v>
      </c>
      <c r="B361" s="8">
        <v>9</v>
      </c>
      <c r="C361" s="8">
        <v>3588</v>
      </c>
      <c r="D361" s="16">
        <v>-9.3281270000000003E-3</v>
      </c>
      <c r="E361">
        <v>-4.6640635000000001E-3</v>
      </c>
    </row>
    <row r="362" spans="1:5" x14ac:dyDescent="0.3">
      <c r="A362" s="8">
        <v>27</v>
      </c>
      <c r="B362" s="8">
        <v>10</v>
      </c>
      <c r="C362" s="8">
        <v>3594</v>
      </c>
      <c r="D362" s="16">
        <v>-2.681074E-2</v>
      </c>
      <c r="E362">
        <v>-1.340537E-2</v>
      </c>
    </row>
    <row r="363" spans="1:5" x14ac:dyDescent="0.3">
      <c r="A363" s="8">
        <v>27</v>
      </c>
      <c r="B363" s="8">
        <v>11</v>
      </c>
      <c r="C363" s="8">
        <v>3593</v>
      </c>
      <c r="D363" s="16">
        <v>-1.2688400000000001E-2</v>
      </c>
      <c r="E363">
        <v>-6.3442000000000004E-3</v>
      </c>
    </row>
    <row r="364" spans="1:5" x14ac:dyDescent="0.3">
      <c r="A364" s="8">
        <v>27</v>
      </c>
      <c r="B364" s="8">
        <v>12</v>
      </c>
      <c r="C364" s="8">
        <v>3590</v>
      </c>
      <c r="D364" s="16">
        <v>-1.395091E-2</v>
      </c>
      <c r="E364">
        <v>-6.9754550000000002E-3</v>
      </c>
    </row>
    <row r="365" spans="1:5" x14ac:dyDescent="0.3">
      <c r="A365" s="8">
        <v>27</v>
      </c>
      <c r="B365" s="8">
        <v>13</v>
      </c>
      <c r="C365" s="8">
        <v>3586</v>
      </c>
      <c r="D365" s="16">
        <v>1.375409E-2</v>
      </c>
      <c r="E365">
        <v>6.877045E-3</v>
      </c>
    </row>
    <row r="366" spans="1:5" x14ac:dyDescent="0.3">
      <c r="A366" s="8">
        <v>27</v>
      </c>
      <c r="B366" s="8">
        <v>14</v>
      </c>
      <c r="C366" s="8">
        <v>3588</v>
      </c>
      <c r="D366" s="16">
        <v>-1.364273E-2</v>
      </c>
      <c r="E366">
        <v>-6.8213650000000002E-3</v>
      </c>
    </row>
    <row r="367" spans="1:5" x14ac:dyDescent="0.3">
      <c r="A367" s="8">
        <v>27</v>
      </c>
      <c r="B367" s="8">
        <v>15</v>
      </c>
      <c r="C367" s="8">
        <v>3601</v>
      </c>
      <c r="D367" s="16">
        <v>-1.701163E-2</v>
      </c>
      <c r="E367">
        <v>-8.5058149999999999E-3</v>
      </c>
    </row>
    <row r="368" spans="1:5" x14ac:dyDescent="0.3">
      <c r="A368" s="8">
        <v>27</v>
      </c>
      <c r="B368" s="8">
        <v>16</v>
      </c>
      <c r="C368" s="8">
        <v>3572</v>
      </c>
      <c r="D368" s="16">
        <v>-2.32523E-2</v>
      </c>
      <c r="E368">
        <v>-1.162615E-2</v>
      </c>
    </row>
    <row r="369" spans="1:5" x14ac:dyDescent="0.3">
      <c r="A369" s="8">
        <v>27</v>
      </c>
      <c r="B369" s="8">
        <v>17</v>
      </c>
      <c r="C369" s="8">
        <v>3598</v>
      </c>
      <c r="D369" s="16">
        <v>-8.6960909999999995E-3</v>
      </c>
      <c r="E369">
        <v>-4.3480454999999998E-3</v>
      </c>
    </row>
    <row r="370" spans="1:5" x14ac:dyDescent="0.3">
      <c r="A370" s="8">
        <v>27</v>
      </c>
      <c r="B370" s="8">
        <v>18</v>
      </c>
      <c r="C370" s="8">
        <v>3605</v>
      </c>
      <c r="D370" s="16">
        <v>2.5802589999999998E-4</v>
      </c>
      <c r="E370">
        <v>1.2901294999999999E-4</v>
      </c>
    </row>
    <row r="371" spans="1:5" x14ac:dyDescent="0.3">
      <c r="A371" s="8">
        <v>27</v>
      </c>
      <c r="B371" s="8">
        <v>19</v>
      </c>
      <c r="C371" s="8">
        <v>3558</v>
      </c>
      <c r="D371" s="16">
        <v>1.6460369999999999E-3</v>
      </c>
      <c r="E371">
        <v>8.2301849999999997E-4</v>
      </c>
    </row>
    <row r="372" spans="1:5" x14ac:dyDescent="0.3">
      <c r="A372" s="8">
        <v>27</v>
      </c>
      <c r="B372" s="8">
        <v>20</v>
      </c>
      <c r="C372" s="8">
        <v>3560</v>
      </c>
      <c r="D372" s="16">
        <v>-1.802848E-2</v>
      </c>
      <c r="E372">
        <v>-9.0142399999999998E-3</v>
      </c>
    </row>
    <row r="373" spans="1:5" x14ac:dyDescent="0.3">
      <c r="A373" s="8">
        <v>27</v>
      </c>
      <c r="B373" s="8">
        <v>21</v>
      </c>
      <c r="C373" s="8">
        <v>3603</v>
      </c>
      <c r="D373" s="16">
        <v>-3.0833969999999999E-2</v>
      </c>
      <c r="E373">
        <v>-1.5416984999999999E-2</v>
      </c>
    </row>
    <row r="374" spans="1:5" x14ac:dyDescent="0.3">
      <c r="A374" s="8">
        <v>27</v>
      </c>
      <c r="B374" s="8">
        <v>22</v>
      </c>
      <c r="C374" s="8">
        <v>3577</v>
      </c>
      <c r="D374" s="16">
        <v>-2.6836309999999999E-2</v>
      </c>
      <c r="E374">
        <v>-1.3418154999999999E-2</v>
      </c>
    </row>
    <row r="375" spans="1:5" x14ac:dyDescent="0.3">
      <c r="A375" s="8">
        <v>27</v>
      </c>
      <c r="B375" s="8">
        <v>23</v>
      </c>
      <c r="C375" s="8">
        <v>3569</v>
      </c>
      <c r="D375" s="16">
        <v>-2.9618209999999999E-2</v>
      </c>
      <c r="E375">
        <v>-1.4809104999999999E-2</v>
      </c>
    </row>
    <row r="376" spans="1:5" x14ac:dyDescent="0.3">
      <c r="A376" s="8">
        <v>27</v>
      </c>
      <c r="B376" s="8">
        <v>24</v>
      </c>
      <c r="C376" s="8">
        <v>3606</v>
      </c>
      <c r="D376" s="16">
        <v>1.13811E-2</v>
      </c>
      <c r="E376">
        <v>5.6905499999999999E-3</v>
      </c>
    </row>
    <row r="377" spans="1:5" x14ac:dyDescent="0.3">
      <c r="A377" s="8">
        <v>27</v>
      </c>
      <c r="B377" s="8">
        <v>25</v>
      </c>
      <c r="C377" s="8">
        <v>3576</v>
      </c>
      <c r="D377" s="16">
        <v>1.6185540000000002E-2</v>
      </c>
      <c r="E377">
        <v>8.0927700000000009E-3</v>
      </c>
    </row>
    <row r="378" spans="1:5" x14ac:dyDescent="0.3">
      <c r="A378" s="8">
        <v>27</v>
      </c>
      <c r="B378" s="8">
        <v>26</v>
      </c>
      <c r="C378" s="8">
        <v>3605</v>
      </c>
      <c r="D378" s="16">
        <v>5.0017740000000001E-4</v>
      </c>
      <c r="E378">
        <v>2.500887E-4</v>
      </c>
    </row>
    <row r="379" spans="1:5" x14ac:dyDescent="0.3">
      <c r="A379" s="8">
        <v>27</v>
      </c>
      <c r="B379" s="8">
        <v>27</v>
      </c>
      <c r="C379" s="8">
        <v>3862</v>
      </c>
      <c r="D379" s="16">
        <v>1.024551</v>
      </c>
      <c r="E379"/>
    </row>
    <row r="380" spans="1:5" x14ac:dyDescent="0.3">
      <c r="A380" s="8">
        <v>28</v>
      </c>
      <c r="B380" s="8">
        <v>1</v>
      </c>
      <c r="C380" s="8">
        <v>3570</v>
      </c>
      <c r="D380" s="16">
        <v>-3.6324780000000001E-2</v>
      </c>
      <c r="E380">
        <v>-1.816239E-2</v>
      </c>
    </row>
    <row r="381" spans="1:5" x14ac:dyDescent="0.3">
      <c r="A381" s="8">
        <v>28</v>
      </c>
      <c r="B381" s="8">
        <v>2</v>
      </c>
      <c r="C381" s="8">
        <v>3551</v>
      </c>
      <c r="D381" s="16">
        <v>-9.9247430000000002E-4</v>
      </c>
      <c r="E381">
        <v>-4.9623715000000001E-4</v>
      </c>
    </row>
    <row r="382" spans="1:5" x14ac:dyDescent="0.3">
      <c r="A382" s="8">
        <v>28</v>
      </c>
      <c r="B382" s="8">
        <v>3</v>
      </c>
      <c r="C382" s="8">
        <v>3580</v>
      </c>
      <c r="D382" s="16">
        <v>-1.252344E-2</v>
      </c>
      <c r="E382">
        <v>-6.2617200000000001E-3</v>
      </c>
    </row>
    <row r="383" spans="1:5" x14ac:dyDescent="0.3">
      <c r="A383" s="8">
        <v>28</v>
      </c>
      <c r="B383" s="8">
        <v>4</v>
      </c>
      <c r="C383" s="8">
        <v>3535</v>
      </c>
      <c r="D383" s="16">
        <v>-2.0569529999999999E-2</v>
      </c>
      <c r="E383">
        <v>-1.0284765E-2</v>
      </c>
    </row>
    <row r="384" spans="1:5" x14ac:dyDescent="0.3">
      <c r="A384" s="8">
        <v>28</v>
      </c>
      <c r="B384" s="8">
        <v>5</v>
      </c>
      <c r="C384" s="8">
        <v>3558</v>
      </c>
      <c r="D384" s="16">
        <v>-1.804623E-2</v>
      </c>
      <c r="E384">
        <v>-9.023115E-3</v>
      </c>
    </row>
    <row r="385" spans="1:5" x14ac:dyDescent="0.3">
      <c r="A385" s="8">
        <v>28</v>
      </c>
      <c r="B385" s="8">
        <v>6</v>
      </c>
      <c r="C385" s="8">
        <v>3559</v>
      </c>
      <c r="D385" s="16">
        <v>-1.3807949999999999E-2</v>
      </c>
      <c r="E385">
        <v>-6.9039749999999997E-3</v>
      </c>
    </row>
    <row r="386" spans="1:5" x14ac:dyDescent="0.3">
      <c r="A386" s="8">
        <v>28</v>
      </c>
      <c r="B386" s="8">
        <v>7</v>
      </c>
      <c r="C386" s="8">
        <v>3527</v>
      </c>
      <c r="D386" s="16">
        <v>-3.3363009999999999E-2</v>
      </c>
      <c r="E386">
        <v>-1.6681504999999999E-2</v>
      </c>
    </row>
    <row r="387" spans="1:5" x14ac:dyDescent="0.3">
      <c r="A387" s="8">
        <v>28</v>
      </c>
      <c r="B387" s="8">
        <v>8</v>
      </c>
      <c r="C387" s="8">
        <v>3551</v>
      </c>
      <c r="D387" s="16">
        <v>-4.3472810000000001E-2</v>
      </c>
      <c r="E387">
        <v>-2.1736405E-2</v>
      </c>
    </row>
    <row r="388" spans="1:5" x14ac:dyDescent="0.3">
      <c r="A388" s="8">
        <v>28</v>
      </c>
      <c r="B388" s="8">
        <v>9</v>
      </c>
      <c r="C388" s="8">
        <v>3554</v>
      </c>
      <c r="D388" s="16">
        <v>4.8136669999999999E-2</v>
      </c>
      <c r="E388">
        <v>2.4068335E-2</v>
      </c>
    </row>
    <row r="389" spans="1:5" x14ac:dyDescent="0.3">
      <c r="A389" s="8">
        <v>28</v>
      </c>
      <c r="B389" s="8">
        <v>10</v>
      </c>
      <c r="C389" s="8">
        <v>3561</v>
      </c>
      <c r="D389" s="16">
        <v>-8.5850200000000005E-3</v>
      </c>
      <c r="E389">
        <v>-4.2925100000000002E-3</v>
      </c>
    </row>
    <row r="390" spans="1:5" x14ac:dyDescent="0.3">
      <c r="A390" s="8">
        <v>28</v>
      </c>
      <c r="B390" s="8">
        <v>11</v>
      </c>
      <c r="C390" s="8">
        <v>3545</v>
      </c>
      <c r="D390" s="16">
        <v>-1.8477770000000001E-2</v>
      </c>
      <c r="E390">
        <v>-9.2388850000000005E-3</v>
      </c>
    </row>
    <row r="391" spans="1:5" x14ac:dyDescent="0.3">
      <c r="A391" s="8">
        <v>28</v>
      </c>
      <c r="B391" s="8">
        <v>12</v>
      </c>
      <c r="C391" s="8">
        <v>3563</v>
      </c>
      <c r="D391" s="16">
        <v>-3.8027400000000003E-2</v>
      </c>
      <c r="E391">
        <v>-1.9013700000000001E-2</v>
      </c>
    </row>
    <row r="392" spans="1:5" x14ac:dyDescent="0.3">
      <c r="A392" s="8">
        <v>28</v>
      </c>
      <c r="B392" s="8">
        <v>13</v>
      </c>
      <c r="C392" s="8">
        <v>3551</v>
      </c>
      <c r="D392" s="16">
        <v>-2.9565230000000001E-2</v>
      </c>
      <c r="E392">
        <v>-1.4782615000000001E-2</v>
      </c>
    </row>
    <row r="393" spans="1:5" x14ac:dyDescent="0.3">
      <c r="A393" s="8">
        <v>28</v>
      </c>
      <c r="B393" s="8">
        <v>14</v>
      </c>
      <c r="C393" s="8">
        <v>3539</v>
      </c>
      <c r="D393" s="16">
        <v>-2.1388380000000001E-3</v>
      </c>
      <c r="E393">
        <v>-1.0694190000000001E-3</v>
      </c>
    </row>
    <row r="394" spans="1:5" x14ac:dyDescent="0.3">
      <c r="A394" s="8">
        <v>28</v>
      </c>
      <c r="B394" s="8">
        <v>15</v>
      </c>
      <c r="C394" s="8">
        <v>3558</v>
      </c>
      <c r="D394" s="16">
        <v>-4.5780889999999996E-3</v>
      </c>
      <c r="E394">
        <v>-2.2890444999999998E-3</v>
      </c>
    </row>
    <row r="395" spans="1:5" x14ac:dyDescent="0.3">
      <c r="A395" s="8">
        <v>28</v>
      </c>
      <c r="B395" s="8">
        <v>16</v>
      </c>
      <c r="C395" s="8">
        <v>3536</v>
      </c>
      <c r="D395" s="16">
        <v>1.1296280000000001E-2</v>
      </c>
      <c r="E395">
        <v>5.6481400000000003E-3</v>
      </c>
    </row>
    <row r="396" spans="1:5" x14ac:dyDescent="0.3">
      <c r="A396" s="8">
        <v>28</v>
      </c>
      <c r="B396" s="8">
        <v>17</v>
      </c>
      <c r="C396" s="8">
        <v>3560</v>
      </c>
      <c r="D396" s="16">
        <v>-1.7949509999999998E-2</v>
      </c>
      <c r="E396">
        <v>-8.9747549999999992E-3</v>
      </c>
    </row>
    <row r="397" spans="1:5" x14ac:dyDescent="0.3">
      <c r="A397" s="8">
        <v>28</v>
      </c>
      <c r="B397" s="8">
        <v>18</v>
      </c>
      <c r="C397" s="8">
        <v>3554</v>
      </c>
      <c r="D397" s="16">
        <v>1.2128109999999999E-2</v>
      </c>
      <c r="E397">
        <v>6.0640549999999996E-3</v>
      </c>
    </row>
    <row r="398" spans="1:5" x14ac:dyDescent="0.3">
      <c r="A398" s="8">
        <v>28</v>
      </c>
      <c r="B398" s="8">
        <v>19</v>
      </c>
      <c r="C398" s="8">
        <v>3526</v>
      </c>
      <c r="D398" s="16">
        <v>-1.541534E-2</v>
      </c>
      <c r="E398">
        <v>-7.7076699999999998E-3</v>
      </c>
    </row>
    <row r="399" spans="1:5" x14ac:dyDescent="0.3">
      <c r="A399" s="8">
        <v>28</v>
      </c>
      <c r="B399" s="8">
        <v>20</v>
      </c>
      <c r="C399" s="8">
        <v>3524</v>
      </c>
      <c r="D399" s="16">
        <v>-1.2770500000000001E-2</v>
      </c>
      <c r="E399">
        <v>-6.3852500000000003E-3</v>
      </c>
    </row>
    <row r="400" spans="1:5" x14ac:dyDescent="0.3">
      <c r="A400" s="8">
        <v>28</v>
      </c>
      <c r="B400" s="8">
        <v>21</v>
      </c>
      <c r="C400" s="8">
        <v>3581</v>
      </c>
      <c r="D400" s="16">
        <v>-2.6122860000000001E-2</v>
      </c>
      <c r="E400">
        <v>-1.3061430000000001E-2</v>
      </c>
    </row>
    <row r="401" spans="1:5" x14ac:dyDescent="0.3">
      <c r="A401" s="8">
        <v>28</v>
      </c>
      <c r="B401" s="8">
        <v>22</v>
      </c>
      <c r="C401" s="8">
        <v>3539</v>
      </c>
      <c r="D401" s="16">
        <v>-5.2889269999999997E-3</v>
      </c>
      <c r="E401">
        <v>-2.6444634999999998E-3</v>
      </c>
    </row>
    <row r="402" spans="1:5" x14ac:dyDescent="0.3">
      <c r="A402" s="8">
        <v>28</v>
      </c>
      <c r="B402" s="8">
        <v>23</v>
      </c>
      <c r="C402" s="8">
        <v>3539</v>
      </c>
      <c r="D402" s="16">
        <v>-1.9503099999999999E-2</v>
      </c>
      <c r="E402">
        <v>-9.7515499999999995E-3</v>
      </c>
    </row>
    <row r="403" spans="1:5" x14ac:dyDescent="0.3">
      <c r="A403" s="8">
        <v>28</v>
      </c>
      <c r="B403" s="8">
        <v>24</v>
      </c>
      <c r="C403" s="8">
        <v>3576</v>
      </c>
      <c r="D403" s="16">
        <v>2.448732E-2</v>
      </c>
      <c r="E403">
        <v>1.224366E-2</v>
      </c>
    </row>
    <row r="404" spans="1:5" x14ac:dyDescent="0.3">
      <c r="A404" s="8">
        <v>28</v>
      </c>
      <c r="B404" s="8">
        <v>25</v>
      </c>
      <c r="C404" s="8">
        <v>3549</v>
      </c>
      <c r="D404" s="16">
        <v>-1.6974119999999999E-2</v>
      </c>
      <c r="E404">
        <v>-8.4870599999999994E-3</v>
      </c>
    </row>
    <row r="405" spans="1:5" x14ac:dyDescent="0.3">
      <c r="A405" s="8">
        <v>28</v>
      </c>
      <c r="B405" s="8">
        <v>26</v>
      </c>
      <c r="C405" s="8">
        <v>3570</v>
      </c>
      <c r="D405" s="16">
        <v>-1.6153529999999999E-2</v>
      </c>
      <c r="E405">
        <v>-8.0767649999999996E-3</v>
      </c>
    </row>
    <row r="406" spans="1:5" x14ac:dyDescent="0.3">
      <c r="A406" s="8">
        <v>28</v>
      </c>
      <c r="B406" s="8">
        <v>27</v>
      </c>
      <c r="C406" s="8">
        <v>3537</v>
      </c>
      <c r="D406" s="16">
        <v>2.9847149999999999E-2</v>
      </c>
      <c r="E406">
        <v>1.4923575E-2</v>
      </c>
    </row>
    <row r="407" spans="1:5" x14ac:dyDescent="0.3">
      <c r="A407" s="8">
        <v>28</v>
      </c>
      <c r="B407" s="8">
        <v>28</v>
      </c>
      <c r="C407" s="8">
        <v>3828</v>
      </c>
      <c r="D407" s="16">
        <v>1.0232680000000001</v>
      </c>
      <c r="E407"/>
    </row>
    <row r="408" spans="1:5" x14ac:dyDescent="0.3">
      <c r="A408" s="8">
        <v>29</v>
      </c>
      <c r="B408" s="8">
        <v>1</v>
      </c>
      <c r="C408" s="8">
        <v>3583</v>
      </c>
      <c r="D408" s="16">
        <v>-4.4826820000000003E-2</v>
      </c>
      <c r="E408">
        <v>-2.2413410000000002E-2</v>
      </c>
    </row>
    <row r="409" spans="1:5" x14ac:dyDescent="0.3">
      <c r="A409" s="8">
        <v>29</v>
      </c>
      <c r="B409" s="8">
        <v>2</v>
      </c>
      <c r="C409" s="8">
        <v>3573</v>
      </c>
      <c r="D409" s="16">
        <v>-2.711529E-2</v>
      </c>
      <c r="E409">
        <v>-1.3557645E-2</v>
      </c>
    </row>
    <row r="410" spans="1:5" x14ac:dyDescent="0.3">
      <c r="A410" s="8">
        <v>29</v>
      </c>
      <c r="B410" s="8">
        <v>3</v>
      </c>
      <c r="C410" s="8">
        <v>3596</v>
      </c>
      <c r="D410" s="16">
        <v>-5.625321E-3</v>
      </c>
      <c r="E410">
        <v>-2.8126605E-3</v>
      </c>
    </row>
    <row r="411" spans="1:5" x14ac:dyDescent="0.3">
      <c r="A411" s="8">
        <v>29</v>
      </c>
      <c r="B411" s="8">
        <v>4</v>
      </c>
      <c r="C411" s="8">
        <v>3546</v>
      </c>
      <c r="D411" s="16">
        <v>-2.6874200000000001E-2</v>
      </c>
      <c r="E411">
        <v>-1.34371E-2</v>
      </c>
    </row>
    <row r="412" spans="1:5" x14ac:dyDescent="0.3">
      <c r="A412" s="8">
        <v>29</v>
      </c>
      <c r="B412" s="8">
        <v>5</v>
      </c>
      <c r="C412" s="8">
        <v>3571</v>
      </c>
      <c r="D412" s="16">
        <v>-4.6112720000000003E-2</v>
      </c>
      <c r="E412">
        <v>-2.3056360000000001E-2</v>
      </c>
    </row>
    <row r="413" spans="1:5" x14ac:dyDescent="0.3">
      <c r="A413" s="8">
        <v>29</v>
      </c>
      <c r="B413" s="8">
        <v>6</v>
      </c>
      <c r="C413" s="8">
        <v>3563</v>
      </c>
      <c r="D413" s="16">
        <v>-4.4400929999999998E-2</v>
      </c>
      <c r="E413">
        <v>-2.2200464999999999E-2</v>
      </c>
    </row>
    <row r="414" spans="1:5" x14ac:dyDescent="0.3">
      <c r="A414" s="8">
        <v>29</v>
      </c>
      <c r="B414" s="8">
        <v>7</v>
      </c>
      <c r="C414" s="8">
        <v>3536</v>
      </c>
      <c r="D414" s="16">
        <v>-8.9644919999999993E-3</v>
      </c>
      <c r="E414">
        <v>-4.4822459999999996E-3</v>
      </c>
    </row>
    <row r="415" spans="1:5" x14ac:dyDescent="0.3">
      <c r="A415" s="8">
        <v>29</v>
      </c>
      <c r="B415" s="8">
        <v>8</v>
      </c>
      <c r="C415" s="8">
        <v>3577</v>
      </c>
      <c r="D415" s="16">
        <v>-1.089306E-2</v>
      </c>
      <c r="E415">
        <v>-5.4465299999999998E-3</v>
      </c>
    </row>
    <row r="416" spans="1:5" x14ac:dyDescent="0.3">
      <c r="A416" s="8">
        <v>29</v>
      </c>
      <c r="B416" s="8">
        <v>9</v>
      </c>
      <c r="C416" s="8">
        <v>3591</v>
      </c>
      <c r="D416" s="16">
        <v>-2.4367099999999999E-2</v>
      </c>
      <c r="E416">
        <v>-1.218355E-2</v>
      </c>
    </row>
    <row r="417" spans="1:5" x14ac:dyDescent="0.3">
      <c r="A417" s="8">
        <v>29</v>
      </c>
      <c r="B417" s="8">
        <v>10</v>
      </c>
      <c r="C417" s="8">
        <v>3564</v>
      </c>
      <c r="D417" s="16">
        <v>-5.3845179999999996E-3</v>
      </c>
      <c r="E417">
        <v>-2.6922589999999998E-3</v>
      </c>
    </row>
    <row r="418" spans="1:5" x14ac:dyDescent="0.3">
      <c r="A418" s="8">
        <v>29</v>
      </c>
      <c r="B418" s="8">
        <v>11</v>
      </c>
      <c r="C418" s="8">
        <v>3570</v>
      </c>
      <c r="D418" s="16">
        <v>-6.3951679999999997E-3</v>
      </c>
      <c r="E418">
        <v>-3.1975839999999998E-3</v>
      </c>
    </row>
    <row r="419" spans="1:5" x14ac:dyDescent="0.3">
      <c r="A419" s="8">
        <v>29</v>
      </c>
      <c r="B419" s="8">
        <v>12</v>
      </c>
      <c r="C419" s="8">
        <v>3584</v>
      </c>
      <c r="D419" s="16">
        <v>-3.7090129999999999E-2</v>
      </c>
      <c r="E419">
        <v>-1.8545064999999999E-2</v>
      </c>
    </row>
    <row r="420" spans="1:5" x14ac:dyDescent="0.3">
      <c r="A420" s="8">
        <v>29</v>
      </c>
      <c r="B420" s="8">
        <v>13</v>
      </c>
      <c r="C420" s="8">
        <v>3583</v>
      </c>
      <c r="D420" s="16">
        <v>-3.9658470000000001E-2</v>
      </c>
      <c r="E420">
        <v>-1.9829235000000001E-2</v>
      </c>
    </row>
    <row r="421" spans="1:5" x14ac:dyDescent="0.3">
      <c r="A421" s="8">
        <v>29</v>
      </c>
      <c r="B421" s="8">
        <v>14</v>
      </c>
      <c r="C421" s="8">
        <v>3573</v>
      </c>
      <c r="D421" s="16">
        <v>-1.489892E-2</v>
      </c>
      <c r="E421">
        <v>-7.4494599999999998E-3</v>
      </c>
    </row>
    <row r="422" spans="1:5" x14ac:dyDescent="0.3">
      <c r="A422" s="8">
        <v>29</v>
      </c>
      <c r="B422" s="8">
        <v>15</v>
      </c>
      <c r="C422" s="8">
        <v>3580</v>
      </c>
      <c r="D422" s="16">
        <v>-1.5461880000000001E-2</v>
      </c>
      <c r="E422">
        <v>-7.7309400000000004E-3</v>
      </c>
    </row>
    <row r="423" spans="1:5" x14ac:dyDescent="0.3">
      <c r="A423" s="8">
        <v>29</v>
      </c>
      <c r="B423" s="8">
        <v>16</v>
      </c>
      <c r="C423" s="8">
        <v>3562</v>
      </c>
      <c r="D423" s="16">
        <v>-5.5184800000000001E-3</v>
      </c>
      <c r="E423">
        <v>-2.75924E-3</v>
      </c>
    </row>
    <row r="424" spans="1:5" x14ac:dyDescent="0.3">
      <c r="A424" s="8">
        <v>29</v>
      </c>
      <c r="B424" s="8">
        <v>17</v>
      </c>
      <c r="C424" s="8">
        <v>3581</v>
      </c>
      <c r="D424" s="16">
        <v>2.2217320000000001E-3</v>
      </c>
      <c r="E424">
        <v>1.1108660000000001E-3</v>
      </c>
    </row>
    <row r="425" spans="1:5" x14ac:dyDescent="0.3">
      <c r="A425" s="8">
        <v>29</v>
      </c>
      <c r="B425" s="8">
        <v>18</v>
      </c>
      <c r="C425" s="8">
        <v>3575</v>
      </c>
      <c r="D425" s="16">
        <v>6.3816769999999997E-3</v>
      </c>
      <c r="E425">
        <v>3.1908384999999998E-3</v>
      </c>
    </row>
    <row r="426" spans="1:5" x14ac:dyDescent="0.3">
      <c r="A426" s="8">
        <v>29</v>
      </c>
      <c r="B426" s="8">
        <v>19</v>
      </c>
      <c r="C426" s="8">
        <v>3544</v>
      </c>
      <c r="D426" s="16">
        <v>-3.1751679999999997E-2</v>
      </c>
      <c r="E426">
        <v>-1.5875839999999999E-2</v>
      </c>
    </row>
    <row r="427" spans="1:5" x14ac:dyDescent="0.3">
      <c r="A427" s="8">
        <v>29</v>
      </c>
      <c r="B427" s="8">
        <v>20</v>
      </c>
      <c r="C427" s="8">
        <v>3551</v>
      </c>
      <c r="D427" s="16">
        <v>-4.1273709999999998E-2</v>
      </c>
      <c r="E427">
        <v>-2.0636854999999999E-2</v>
      </c>
    </row>
    <row r="428" spans="1:5" x14ac:dyDescent="0.3">
      <c r="A428" s="8">
        <v>29</v>
      </c>
      <c r="B428" s="8">
        <v>21</v>
      </c>
      <c r="C428" s="8">
        <v>3612</v>
      </c>
      <c r="D428" s="16">
        <v>-8.4301319999999999E-3</v>
      </c>
      <c r="E428">
        <v>-4.215066E-3</v>
      </c>
    </row>
    <row r="429" spans="1:5" x14ac:dyDescent="0.3">
      <c r="A429" s="8">
        <v>29</v>
      </c>
      <c r="B429" s="8">
        <v>22</v>
      </c>
      <c r="C429" s="8">
        <v>3570</v>
      </c>
      <c r="D429" s="16">
        <v>-4.0766209999999997E-2</v>
      </c>
      <c r="E429">
        <v>-2.0383104999999999E-2</v>
      </c>
    </row>
    <row r="430" spans="1:5" x14ac:dyDescent="0.3">
      <c r="A430" s="8">
        <v>29</v>
      </c>
      <c r="B430" s="8">
        <v>23</v>
      </c>
      <c r="C430" s="8">
        <v>3566</v>
      </c>
      <c r="D430" s="16">
        <v>-1.6048030000000001E-2</v>
      </c>
      <c r="E430">
        <v>-8.0240150000000007E-3</v>
      </c>
    </row>
    <row r="431" spans="1:5" x14ac:dyDescent="0.3">
      <c r="A431" s="8">
        <v>29</v>
      </c>
      <c r="B431" s="8">
        <v>24</v>
      </c>
      <c r="C431" s="8">
        <v>3594</v>
      </c>
      <c r="D431" s="16">
        <v>-3.4948880000000002E-2</v>
      </c>
      <c r="E431">
        <v>-1.7474440000000001E-2</v>
      </c>
    </row>
    <row r="432" spans="1:5" x14ac:dyDescent="0.3">
      <c r="A432" s="8">
        <v>29</v>
      </c>
      <c r="B432" s="8">
        <v>25</v>
      </c>
      <c r="C432" s="8">
        <v>3557</v>
      </c>
      <c r="D432" s="16">
        <v>-8.974882E-3</v>
      </c>
      <c r="E432">
        <v>-4.487441E-3</v>
      </c>
    </row>
    <row r="433" spans="1:5" x14ac:dyDescent="0.3">
      <c r="A433" s="8">
        <v>29</v>
      </c>
      <c r="B433" s="8">
        <v>26</v>
      </c>
      <c r="C433" s="8">
        <v>3587</v>
      </c>
      <c r="D433" s="16">
        <v>1.8682500000000001E-2</v>
      </c>
      <c r="E433">
        <v>9.3412500000000006E-3</v>
      </c>
    </row>
    <row r="434" spans="1:5" x14ac:dyDescent="0.3">
      <c r="A434" s="8">
        <v>29</v>
      </c>
      <c r="B434" s="8">
        <v>27</v>
      </c>
      <c r="C434" s="8">
        <v>3555</v>
      </c>
      <c r="D434" s="16">
        <v>1.1128020000000001E-2</v>
      </c>
      <c r="E434">
        <v>5.5640100000000003E-3</v>
      </c>
    </row>
    <row r="435" spans="1:5" x14ac:dyDescent="0.3">
      <c r="A435" s="8">
        <v>29</v>
      </c>
      <c r="B435" s="8">
        <v>28</v>
      </c>
      <c r="C435" s="8">
        <v>3523</v>
      </c>
      <c r="D435" s="16">
        <v>4.2783700000000001E-2</v>
      </c>
      <c r="E435">
        <v>2.139185E-2</v>
      </c>
    </row>
    <row r="436" spans="1:5" x14ac:dyDescent="0.3">
      <c r="A436" s="8">
        <v>29</v>
      </c>
      <c r="B436" s="8">
        <v>29</v>
      </c>
      <c r="C436" s="8">
        <v>3846</v>
      </c>
      <c r="D436" s="16">
        <v>0.96865480000000004</v>
      </c>
      <c r="E436"/>
    </row>
    <row r="437" spans="1:5" x14ac:dyDescent="0.3">
      <c r="A437" s="8">
        <v>30</v>
      </c>
      <c r="B437" s="8">
        <v>1</v>
      </c>
      <c r="C437" s="8">
        <v>3607</v>
      </c>
      <c r="D437" s="16">
        <v>-1.52508E-2</v>
      </c>
      <c r="E437">
        <v>-7.6254000000000001E-3</v>
      </c>
    </row>
    <row r="438" spans="1:5" x14ac:dyDescent="0.3">
      <c r="A438" s="8">
        <v>30</v>
      </c>
      <c r="B438" s="8">
        <v>2</v>
      </c>
      <c r="C438" s="8">
        <v>3583</v>
      </c>
      <c r="D438" s="16">
        <v>-6.0199010000000002E-3</v>
      </c>
      <c r="E438">
        <v>-3.0099505000000001E-3</v>
      </c>
    </row>
    <row r="439" spans="1:5" x14ac:dyDescent="0.3">
      <c r="A439" s="8">
        <v>30</v>
      </c>
      <c r="B439" s="8">
        <v>3</v>
      </c>
      <c r="C439" s="8">
        <v>3603</v>
      </c>
      <c r="D439" s="16">
        <v>-5.3430489999999997E-2</v>
      </c>
      <c r="E439">
        <v>-2.6715244999999999E-2</v>
      </c>
    </row>
    <row r="440" spans="1:5" x14ac:dyDescent="0.3">
      <c r="A440" s="8">
        <v>30</v>
      </c>
      <c r="B440" s="8">
        <v>4</v>
      </c>
      <c r="C440" s="8">
        <v>3565</v>
      </c>
      <c r="D440" s="16">
        <v>-2.033536E-2</v>
      </c>
      <c r="E440">
        <v>-1.016768E-2</v>
      </c>
    </row>
    <row r="441" spans="1:5" x14ac:dyDescent="0.3">
      <c r="A441" s="8">
        <v>30</v>
      </c>
      <c r="B441" s="8">
        <v>5</v>
      </c>
      <c r="C441" s="8">
        <v>3582</v>
      </c>
      <c r="D441" s="16">
        <v>5.3175929999999998E-3</v>
      </c>
      <c r="E441">
        <v>2.6587964999999999E-3</v>
      </c>
    </row>
    <row r="442" spans="1:5" x14ac:dyDescent="0.3">
      <c r="A442" s="8">
        <v>30</v>
      </c>
      <c r="B442" s="8">
        <v>6</v>
      </c>
      <c r="C442" s="8">
        <v>3590</v>
      </c>
      <c r="D442" s="16">
        <v>-2.9298020000000001E-2</v>
      </c>
      <c r="E442">
        <v>-1.4649010000000001E-2</v>
      </c>
    </row>
    <row r="443" spans="1:5" x14ac:dyDescent="0.3">
      <c r="A443" s="8">
        <v>30</v>
      </c>
      <c r="B443" s="8">
        <v>7</v>
      </c>
      <c r="C443" s="8">
        <v>3555</v>
      </c>
      <c r="D443" s="16">
        <v>-2.7537369999999999E-2</v>
      </c>
      <c r="E443">
        <v>-1.3768684999999999E-2</v>
      </c>
    </row>
    <row r="444" spans="1:5" x14ac:dyDescent="0.3">
      <c r="A444" s="8">
        <v>30</v>
      </c>
      <c r="B444" s="8">
        <v>8</v>
      </c>
      <c r="C444" s="8">
        <v>3583</v>
      </c>
      <c r="D444" s="16">
        <v>-4.2602880000000003E-2</v>
      </c>
      <c r="E444">
        <v>-2.1301440000000001E-2</v>
      </c>
    </row>
    <row r="445" spans="1:5" x14ac:dyDescent="0.3">
      <c r="A445" s="8">
        <v>30</v>
      </c>
      <c r="B445" s="8">
        <v>9</v>
      </c>
      <c r="C445" s="8">
        <v>3595</v>
      </c>
      <c r="D445" s="16">
        <v>-2.7868750000000001E-2</v>
      </c>
      <c r="E445">
        <v>-1.3934375000000001E-2</v>
      </c>
    </row>
    <row r="446" spans="1:5" x14ac:dyDescent="0.3">
      <c r="A446" s="8">
        <v>30</v>
      </c>
      <c r="B446" s="8">
        <v>10</v>
      </c>
      <c r="C446" s="8">
        <v>3580</v>
      </c>
      <c r="D446" s="16">
        <v>-5.4955279999999997E-4</v>
      </c>
      <c r="E446">
        <v>-2.7477639999999999E-4</v>
      </c>
    </row>
    <row r="447" spans="1:5" x14ac:dyDescent="0.3">
      <c r="A447" s="8">
        <v>30</v>
      </c>
      <c r="B447" s="8">
        <v>11</v>
      </c>
      <c r="C447" s="8">
        <v>3591</v>
      </c>
      <c r="D447" s="16">
        <v>-1.8359199999999999E-2</v>
      </c>
      <c r="E447">
        <v>-9.1795999999999996E-3</v>
      </c>
    </row>
    <row r="448" spans="1:5" x14ac:dyDescent="0.3">
      <c r="A448" s="8">
        <v>30</v>
      </c>
      <c r="B448" s="8">
        <v>12</v>
      </c>
      <c r="C448" s="8">
        <v>3595</v>
      </c>
      <c r="D448" s="16">
        <v>-2.2911440000000002E-2</v>
      </c>
      <c r="E448">
        <v>-1.1455720000000001E-2</v>
      </c>
    </row>
    <row r="449" spans="1:5" x14ac:dyDescent="0.3">
      <c r="A449" s="8">
        <v>30</v>
      </c>
      <c r="B449" s="8">
        <v>13</v>
      </c>
      <c r="C449" s="8">
        <v>3596</v>
      </c>
      <c r="D449" s="16">
        <v>-1.1318999999999999E-2</v>
      </c>
      <c r="E449">
        <v>-5.6594999999999996E-3</v>
      </c>
    </row>
    <row r="450" spans="1:5" x14ac:dyDescent="0.3">
      <c r="A450" s="8">
        <v>30</v>
      </c>
      <c r="B450" s="8">
        <v>14</v>
      </c>
      <c r="C450" s="8">
        <v>3577</v>
      </c>
      <c r="D450" s="16">
        <v>1.352993E-3</v>
      </c>
      <c r="E450">
        <v>6.7649650000000002E-4</v>
      </c>
    </row>
    <row r="451" spans="1:5" x14ac:dyDescent="0.3">
      <c r="A451" s="8">
        <v>30</v>
      </c>
      <c r="B451" s="8">
        <v>15</v>
      </c>
      <c r="C451" s="8">
        <v>3596</v>
      </c>
      <c r="D451" s="16">
        <v>-1.8783230000000001E-2</v>
      </c>
      <c r="E451">
        <v>-9.3916150000000007E-3</v>
      </c>
    </row>
    <row r="452" spans="1:5" x14ac:dyDescent="0.3">
      <c r="A452" s="8">
        <v>30</v>
      </c>
      <c r="B452" s="8">
        <v>16</v>
      </c>
      <c r="C452" s="8">
        <v>3572</v>
      </c>
      <c r="D452" s="16">
        <v>1.5764779999999999E-2</v>
      </c>
      <c r="E452">
        <v>7.8823899999999995E-3</v>
      </c>
    </row>
    <row r="453" spans="1:5" x14ac:dyDescent="0.3">
      <c r="A453" s="8">
        <v>30</v>
      </c>
      <c r="B453" s="8">
        <v>17</v>
      </c>
      <c r="C453" s="8">
        <v>3588</v>
      </c>
      <c r="D453" s="16">
        <v>-2.4514299999999999E-2</v>
      </c>
      <c r="E453">
        <v>-1.225715E-2</v>
      </c>
    </row>
    <row r="454" spans="1:5" x14ac:dyDescent="0.3">
      <c r="A454" s="8">
        <v>30</v>
      </c>
      <c r="B454" s="8">
        <v>18</v>
      </c>
      <c r="C454" s="8">
        <v>3588</v>
      </c>
      <c r="D454" s="16">
        <v>-2.2719989999999999E-2</v>
      </c>
      <c r="E454">
        <v>-1.1359994999999999E-2</v>
      </c>
    </row>
    <row r="455" spans="1:5" x14ac:dyDescent="0.3">
      <c r="A455" s="8">
        <v>30</v>
      </c>
      <c r="B455" s="8">
        <v>19</v>
      </c>
      <c r="C455" s="8">
        <v>3561</v>
      </c>
      <c r="D455" s="16">
        <v>-3.2736090000000002E-2</v>
      </c>
      <c r="E455">
        <v>-1.6368045000000001E-2</v>
      </c>
    </row>
    <row r="456" spans="1:5" x14ac:dyDescent="0.3">
      <c r="A456" s="8">
        <v>30</v>
      </c>
      <c r="B456" s="8">
        <v>20</v>
      </c>
      <c r="C456" s="8">
        <v>3564</v>
      </c>
      <c r="D456" s="16">
        <v>-2.7206290000000001E-2</v>
      </c>
      <c r="E456">
        <v>-1.3603145000000001E-2</v>
      </c>
    </row>
    <row r="457" spans="1:5" x14ac:dyDescent="0.3">
      <c r="A457" s="8">
        <v>30</v>
      </c>
      <c r="B457" s="8">
        <v>21</v>
      </c>
      <c r="C457" s="8">
        <v>3614</v>
      </c>
      <c r="D457" s="16">
        <v>-3.2004440000000002E-2</v>
      </c>
      <c r="E457">
        <v>-1.6002220000000001E-2</v>
      </c>
    </row>
    <row r="458" spans="1:5" x14ac:dyDescent="0.3">
      <c r="A458" s="8">
        <v>30</v>
      </c>
      <c r="B458" s="8">
        <v>22</v>
      </c>
      <c r="C458" s="8">
        <v>3569</v>
      </c>
      <c r="D458" s="16">
        <v>2.5006090000000002E-2</v>
      </c>
      <c r="E458">
        <v>1.2503045000000001E-2</v>
      </c>
    </row>
    <row r="459" spans="1:5" x14ac:dyDescent="0.3">
      <c r="A459" s="8">
        <v>30</v>
      </c>
      <c r="B459" s="8">
        <v>23</v>
      </c>
      <c r="C459" s="8">
        <v>3576</v>
      </c>
      <c r="D459" s="16">
        <v>-2.4208179999999999E-2</v>
      </c>
      <c r="E459">
        <v>-1.210409E-2</v>
      </c>
    </row>
    <row r="460" spans="1:5" x14ac:dyDescent="0.3">
      <c r="A460" s="8">
        <v>30</v>
      </c>
      <c r="B460" s="8">
        <v>24</v>
      </c>
      <c r="C460" s="8">
        <v>3592</v>
      </c>
      <c r="D460" s="16">
        <v>-1.0728E-2</v>
      </c>
      <c r="E460">
        <v>-5.3639999999999998E-3</v>
      </c>
    </row>
    <row r="461" spans="1:5" x14ac:dyDescent="0.3">
      <c r="A461" s="8">
        <v>30</v>
      </c>
      <c r="B461" s="8">
        <v>25</v>
      </c>
      <c r="C461" s="8">
        <v>3562</v>
      </c>
      <c r="D461" s="16">
        <v>4.7466899999999996E-3</v>
      </c>
      <c r="E461">
        <v>2.3733449999999998E-3</v>
      </c>
    </row>
    <row r="462" spans="1:5" x14ac:dyDescent="0.3">
      <c r="A462" s="8">
        <v>30</v>
      </c>
      <c r="B462" s="8">
        <v>26</v>
      </c>
      <c r="C462" s="8">
        <v>3596</v>
      </c>
      <c r="D462" s="16">
        <v>-4.745543E-2</v>
      </c>
      <c r="E462">
        <v>-2.3727715E-2</v>
      </c>
    </row>
    <row r="463" spans="1:5" x14ac:dyDescent="0.3">
      <c r="A463" s="8">
        <v>30</v>
      </c>
      <c r="B463" s="8">
        <v>27</v>
      </c>
      <c r="C463" s="8">
        <v>3571</v>
      </c>
      <c r="D463" s="16">
        <v>-2.4236430000000001E-3</v>
      </c>
      <c r="E463">
        <v>-1.2118215E-3</v>
      </c>
    </row>
    <row r="464" spans="1:5" x14ac:dyDescent="0.3">
      <c r="A464" s="8">
        <v>30</v>
      </c>
      <c r="B464" s="8">
        <v>28</v>
      </c>
      <c r="C464" s="8">
        <v>3526</v>
      </c>
      <c r="D464" s="16">
        <v>-3.9713890000000002E-2</v>
      </c>
      <c r="E464">
        <v>-1.9856945000000001E-2</v>
      </c>
    </row>
    <row r="465" spans="1:5" x14ac:dyDescent="0.3">
      <c r="A465" s="8">
        <v>30</v>
      </c>
      <c r="B465" s="8">
        <v>29</v>
      </c>
      <c r="C465" s="8">
        <v>3558</v>
      </c>
      <c r="D465" s="16">
        <v>-1.2691600000000001E-2</v>
      </c>
      <c r="E465">
        <v>-6.3458000000000004E-3</v>
      </c>
    </row>
    <row r="466" spans="1:5" x14ac:dyDescent="0.3">
      <c r="A466" s="8">
        <v>30</v>
      </c>
      <c r="B466" s="8">
        <v>30</v>
      </c>
      <c r="C466" s="8">
        <v>3857</v>
      </c>
      <c r="D466" s="16">
        <v>0.9908015</v>
      </c>
      <c r="E466"/>
    </row>
    <row r="467" spans="1:5" x14ac:dyDescent="0.3">
      <c r="A467" s="8">
        <v>31</v>
      </c>
      <c r="B467" s="8">
        <v>1</v>
      </c>
      <c r="C467" s="8">
        <v>3535</v>
      </c>
      <c r="D467" s="16">
        <v>-7.2997330000000001E-3</v>
      </c>
      <c r="E467">
        <v>-3.6498665E-3</v>
      </c>
    </row>
    <row r="468" spans="1:5" x14ac:dyDescent="0.3">
      <c r="A468" s="8">
        <v>31</v>
      </c>
      <c r="B468" s="8">
        <v>2</v>
      </c>
      <c r="C468" s="8">
        <v>3512</v>
      </c>
      <c r="D468" s="16">
        <v>-2.5636630000000001E-2</v>
      </c>
      <c r="E468">
        <v>-1.2818315E-2</v>
      </c>
    </row>
    <row r="469" spans="1:5" x14ac:dyDescent="0.3">
      <c r="A469" s="8">
        <v>31</v>
      </c>
      <c r="B469" s="8">
        <v>3</v>
      </c>
      <c r="C469" s="8">
        <v>3528</v>
      </c>
      <c r="D469" s="16">
        <v>1.263182E-2</v>
      </c>
      <c r="E469">
        <v>6.3159100000000001E-3</v>
      </c>
    </row>
    <row r="470" spans="1:5" x14ac:dyDescent="0.3">
      <c r="A470" s="8">
        <v>31</v>
      </c>
      <c r="B470" s="8">
        <v>4</v>
      </c>
      <c r="C470" s="8">
        <v>3476</v>
      </c>
      <c r="D470" s="16">
        <v>-1.346046E-2</v>
      </c>
      <c r="E470">
        <v>-6.7302300000000002E-3</v>
      </c>
    </row>
    <row r="471" spans="1:5" x14ac:dyDescent="0.3">
      <c r="A471" s="8">
        <v>31</v>
      </c>
      <c r="B471" s="8">
        <v>5</v>
      </c>
      <c r="C471" s="8">
        <v>3519</v>
      </c>
      <c r="D471" s="16">
        <v>2.9632080000000002E-3</v>
      </c>
      <c r="E471">
        <v>1.4816040000000001E-3</v>
      </c>
    </row>
    <row r="472" spans="1:5" x14ac:dyDescent="0.3">
      <c r="A472" s="8">
        <v>31</v>
      </c>
      <c r="B472" s="8">
        <v>6</v>
      </c>
      <c r="C472" s="8">
        <v>3510</v>
      </c>
      <c r="D472" s="16">
        <v>8.0567799999999995E-3</v>
      </c>
      <c r="E472">
        <v>4.0283899999999997E-3</v>
      </c>
    </row>
    <row r="473" spans="1:5" x14ac:dyDescent="0.3">
      <c r="A473" s="8">
        <v>31</v>
      </c>
      <c r="B473" s="8">
        <v>7</v>
      </c>
      <c r="C473" s="8">
        <v>3482</v>
      </c>
      <c r="D473" s="16">
        <v>-2.1101660000000001E-2</v>
      </c>
      <c r="E473">
        <v>-1.0550830000000001E-2</v>
      </c>
    </row>
    <row r="474" spans="1:5" x14ac:dyDescent="0.3">
      <c r="A474" s="8">
        <v>31</v>
      </c>
      <c r="B474" s="8">
        <v>8</v>
      </c>
      <c r="C474" s="8">
        <v>3503</v>
      </c>
      <c r="D474" s="16">
        <v>-1.3582609999999999E-3</v>
      </c>
      <c r="E474">
        <v>-6.7913049999999997E-4</v>
      </c>
    </row>
    <row r="475" spans="1:5" x14ac:dyDescent="0.3">
      <c r="A475" s="8">
        <v>31</v>
      </c>
      <c r="B475" s="8">
        <v>9</v>
      </c>
      <c r="C475" s="8">
        <v>3518</v>
      </c>
      <c r="D475" s="16">
        <v>6.6013510000000001E-3</v>
      </c>
      <c r="E475">
        <v>3.3006755E-3</v>
      </c>
    </row>
    <row r="476" spans="1:5" x14ac:dyDescent="0.3">
      <c r="A476" s="8">
        <v>31</v>
      </c>
      <c r="B476" s="8">
        <v>10</v>
      </c>
      <c r="C476" s="8">
        <v>3523</v>
      </c>
      <c r="D476" s="16">
        <v>5.4622229999999996E-4</v>
      </c>
      <c r="E476">
        <v>2.7311114999999998E-4</v>
      </c>
    </row>
    <row r="477" spans="1:5" x14ac:dyDescent="0.3">
      <c r="A477" s="8">
        <v>31</v>
      </c>
      <c r="B477" s="8">
        <v>11</v>
      </c>
      <c r="C477" s="8">
        <v>3515</v>
      </c>
      <c r="D477" s="16">
        <v>-2.0266530000000001E-2</v>
      </c>
      <c r="E477">
        <v>-1.0133265000000001E-2</v>
      </c>
    </row>
    <row r="478" spans="1:5" x14ac:dyDescent="0.3">
      <c r="A478" s="8">
        <v>31</v>
      </c>
      <c r="B478" s="8">
        <v>12</v>
      </c>
      <c r="C478" s="8">
        <v>3537</v>
      </c>
      <c r="D478" s="16">
        <v>-9.4426130000000007E-3</v>
      </c>
      <c r="E478">
        <v>-4.7213065000000004E-3</v>
      </c>
    </row>
    <row r="479" spans="1:5" x14ac:dyDescent="0.3">
      <c r="A479" s="8">
        <v>31</v>
      </c>
      <c r="B479" s="8">
        <v>13</v>
      </c>
      <c r="C479" s="8">
        <v>3506</v>
      </c>
      <c r="D479" s="16">
        <v>-5.0036079999999997E-3</v>
      </c>
      <c r="E479">
        <v>-2.5018039999999998E-3</v>
      </c>
    </row>
    <row r="480" spans="1:5" x14ac:dyDescent="0.3">
      <c r="A480" s="8">
        <v>31</v>
      </c>
      <c r="B480" s="8">
        <v>14</v>
      </c>
      <c r="C480" s="8">
        <v>3499</v>
      </c>
      <c r="D480" s="16">
        <v>-1.5124459999999999E-2</v>
      </c>
      <c r="E480">
        <v>-7.5622299999999996E-3</v>
      </c>
    </row>
    <row r="481" spans="1:5" x14ac:dyDescent="0.3">
      <c r="A481" s="8">
        <v>31</v>
      </c>
      <c r="B481" s="8">
        <v>15</v>
      </c>
      <c r="C481" s="8">
        <v>3519</v>
      </c>
      <c r="D481" s="16">
        <v>-2.342348E-2</v>
      </c>
      <c r="E481">
        <v>-1.171174E-2</v>
      </c>
    </row>
    <row r="482" spans="1:5" x14ac:dyDescent="0.3">
      <c r="A482" s="8">
        <v>31</v>
      </c>
      <c r="B482" s="8">
        <v>16</v>
      </c>
      <c r="C482" s="8">
        <v>3501</v>
      </c>
      <c r="D482" s="16">
        <v>-1.2936250000000001E-4</v>
      </c>
      <c r="E482">
        <v>-6.4681250000000003E-5</v>
      </c>
    </row>
    <row r="483" spans="1:5" x14ac:dyDescent="0.3">
      <c r="A483" s="8">
        <v>31</v>
      </c>
      <c r="B483" s="8">
        <v>17</v>
      </c>
      <c r="C483" s="8">
        <v>3509</v>
      </c>
      <c r="D483" s="16">
        <v>-2.269407E-2</v>
      </c>
      <c r="E483">
        <v>-1.1347035E-2</v>
      </c>
    </row>
    <row r="484" spans="1:5" x14ac:dyDescent="0.3">
      <c r="A484" s="8">
        <v>31</v>
      </c>
      <c r="B484" s="8">
        <v>18</v>
      </c>
      <c r="C484" s="8">
        <v>3516</v>
      </c>
      <c r="D484" s="16">
        <v>-1.522743E-2</v>
      </c>
      <c r="E484">
        <v>-7.6137150000000001E-3</v>
      </c>
    </row>
    <row r="485" spans="1:5" x14ac:dyDescent="0.3">
      <c r="A485" s="8">
        <v>31</v>
      </c>
      <c r="B485" s="8">
        <v>19</v>
      </c>
      <c r="C485" s="8">
        <v>3477</v>
      </c>
      <c r="D485" s="16">
        <v>-1.14582E-2</v>
      </c>
      <c r="E485">
        <v>-5.7291E-3</v>
      </c>
    </row>
    <row r="486" spans="1:5" x14ac:dyDescent="0.3">
      <c r="A486" s="8">
        <v>31</v>
      </c>
      <c r="B486" s="8">
        <v>20</v>
      </c>
      <c r="C486" s="8">
        <v>3494</v>
      </c>
      <c r="D486" s="16">
        <v>9.6686870000000005E-3</v>
      </c>
      <c r="E486">
        <v>4.8343435000000002E-3</v>
      </c>
    </row>
    <row r="487" spans="1:5" x14ac:dyDescent="0.3">
      <c r="A487" s="8">
        <v>31</v>
      </c>
      <c r="B487" s="8">
        <v>21</v>
      </c>
      <c r="C487" s="8">
        <v>3543</v>
      </c>
      <c r="D487" s="16">
        <v>-3.473435E-3</v>
      </c>
      <c r="E487">
        <v>-1.7367175E-3</v>
      </c>
    </row>
    <row r="488" spans="1:5" x14ac:dyDescent="0.3">
      <c r="A488" s="8">
        <v>31</v>
      </c>
      <c r="B488" s="8">
        <v>22</v>
      </c>
      <c r="C488" s="8">
        <v>3490</v>
      </c>
      <c r="D488" s="16">
        <v>-4.3503510000000002E-2</v>
      </c>
      <c r="E488">
        <v>-2.1751755000000001E-2</v>
      </c>
    </row>
    <row r="489" spans="1:5" x14ac:dyDescent="0.3">
      <c r="A489" s="8">
        <v>31</v>
      </c>
      <c r="B489" s="8">
        <v>23</v>
      </c>
      <c r="C489" s="8">
        <v>3495</v>
      </c>
      <c r="D489" s="16">
        <v>-4.8860199999999999E-2</v>
      </c>
      <c r="E489">
        <v>-2.44301E-2</v>
      </c>
    </row>
    <row r="490" spans="1:5" x14ac:dyDescent="0.3">
      <c r="A490" s="8">
        <v>31</v>
      </c>
      <c r="B490" s="8">
        <v>24</v>
      </c>
      <c r="C490" s="8">
        <v>3525</v>
      </c>
      <c r="D490" s="16">
        <v>-6.5135369999999998E-2</v>
      </c>
      <c r="E490">
        <v>-3.2567684999999999E-2</v>
      </c>
    </row>
    <row r="491" spans="1:5" x14ac:dyDescent="0.3">
      <c r="A491" s="8">
        <v>31</v>
      </c>
      <c r="B491" s="8">
        <v>25</v>
      </c>
      <c r="C491" s="8">
        <v>3491</v>
      </c>
      <c r="D491" s="16">
        <v>2.2321089999999998E-2</v>
      </c>
      <c r="E491">
        <v>1.1160544999999999E-2</v>
      </c>
    </row>
    <row r="492" spans="1:5" x14ac:dyDescent="0.3">
      <c r="A492" s="8">
        <v>31</v>
      </c>
      <c r="B492" s="8">
        <v>26</v>
      </c>
      <c r="C492" s="8">
        <v>3536</v>
      </c>
      <c r="D492" s="16">
        <v>-2.530164E-2</v>
      </c>
      <c r="E492">
        <v>-1.265082E-2</v>
      </c>
    </row>
    <row r="493" spans="1:5" x14ac:dyDescent="0.3">
      <c r="A493" s="8">
        <v>31</v>
      </c>
      <c r="B493" s="8">
        <v>27</v>
      </c>
      <c r="C493" s="8">
        <v>3485</v>
      </c>
      <c r="D493" s="16">
        <v>-6.0338349999999999E-2</v>
      </c>
      <c r="E493">
        <v>-3.0169174999999999E-2</v>
      </c>
    </row>
    <row r="494" spans="1:5" x14ac:dyDescent="0.3">
      <c r="A494" s="8">
        <v>31</v>
      </c>
      <c r="B494" s="8">
        <v>28</v>
      </c>
      <c r="C494" s="8">
        <v>3463</v>
      </c>
      <c r="D494" s="16">
        <v>6.745661E-3</v>
      </c>
      <c r="E494">
        <v>3.3728305E-3</v>
      </c>
    </row>
    <row r="495" spans="1:5" x14ac:dyDescent="0.3">
      <c r="A495" s="8">
        <v>31</v>
      </c>
      <c r="B495" s="8">
        <v>29</v>
      </c>
      <c r="C495" s="8">
        <v>3481</v>
      </c>
      <c r="D495" s="16">
        <v>-4.0096809999999997E-2</v>
      </c>
      <c r="E495">
        <v>-2.0048404999999998E-2</v>
      </c>
    </row>
    <row r="496" spans="1:5" x14ac:dyDescent="0.3">
      <c r="A496" s="8">
        <v>31</v>
      </c>
      <c r="B496" s="8">
        <v>30</v>
      </c>
      <c r="C496" s="8">
        <v>3480</v>
      </c>
      <c r="D496" s="16">
        <v>1.3617580000000001E-2</v>
      </c>
      <c r="E496">
        <v>6.8087900000000003E-3</v>
      </c>
    </row>
    <row r="497" spans="1:5" x14ac:dyDescent="0.3">
      <c r="A497" s="8">
        <v>31</v>
      </c>
      <c r="B497" s="8">
        <v>31</v>
      </c>
      <c r="C497" s="8">
        <v>3784</v>
      </c>
      <c r="D497" s="16">
        <v>0.95286420000000005</v>
      </c>
      <c r="E497"/>
    </row>
    <row r="498" spans="1:5" x14ac:dyDescent="0.3">
      <c r="A498" s="8">
        <v>32</v>
      </c>
      <c r="B498" s="8">
        <v>1</v>
      </c>
      <c r="C498" s="8">
        <v>3609</v>
      </c>
      <c r="D498" s="16">
        <v>1.071794E-2</v>
      </c>
      <c r="E498">
        <v>5.3589700000000002E-3</v>
      </c>
    </row>
    <row r="499" spans="1:5" x14ac:dyDescent="0.3">
      <c r="A499" s="8">
        <v>32</v>
      </c>
      <c r="B499" s="8">
        <v>2</v>
      </c>
      <c r="C499" s="8">
        <v>3587</v>
      </c>
      <c r="D499" s="16">
        <v>-3.9344089999999998E-2</v>
      </c>
      <c r="E499">
        <v>-1.9672044999999999E-2</v>
      </c>
    </row>
    <row r="500" spans="1:5" x14ac:dyDescent="0.3">
      <c r="A500" s="8">
        <v>32</v>
      </c>
      <c r="B500" s="8">
        <v>3</v>
      </c>
      <c r="C500" s="8">
        <v>3596</v>
      </c>
      <c r="D500" s="16">
        <v>-1.1123320000000001E-2</v>
      </c>
      <c r="E500">
        <v>-5.5616600000000004E-3</v>
      </c>
    </row>
    <row r="501" spans="1:5" x14ac:dyDescent="0.3">
      <c r="A501" s="8">
        <v>32</v>
      </c>
      <c r="B501" s="8">
        <v>4</v>
      </c>
      <c r="C501" s="8">
        <v>3549</v>
      </c>
      <c r="D501" s="16">
        <v>-5.1895919999999998E-2</v>
      </c>
      <c r="E501">
        <v>-2.5947959999999999E-2</v>
      </c>
    </row>
    <row r="502" spans="1:5" x14ac:dyDescent="0.3">
      <c r="A502" s="8">
        <v>32</v>
      </c>
      <c r="B502" s="8">
        <v>5</v>
      </c>
      <c r="C502" s="8">
        <v>3570</v>
      </c>
      <c r="D502" s="16">
        <v>-1.8016339999999999E-2</v>
      </c>
      <c r="E502">
        <v>-9.0081699999999994E-3</v>
      </c>
    </row>
    <row r="503" spans="1:5" x14ac:dyDescent="0.3">
      <c r="A503" s="8">
        <v>32</v>
      </c>
      <c r="B503" s="8">
        <v>6</v>
      </c>
      <c r="C503" s="8">
        <v>3576</v>
      </c>
      <c r="D503" s="16">
        <v>-1.505886E-2</v>
      </c>
      <c r="E503">
        <v>-7.5294300000000002E-3</v>
      </c>
    </row>
    <row r="504" spans="1:5" x14ac:dyDescent="0.3">
      <c r="A504" s="8">
        <v>32</v>
      </c>
      <c r="B504" s="8">
        <v>7</v>
      </c>
      <c r="C504" s="8">
        <v>3552</v>
      </c>
      <c r="D504" s="16">
        <v>-1.8197319999999999E-2</v>
      </c>
      <c r="E504">
        <v>-9.0986599999999997E-3</v>
      </c>
    </row>
    <row r="505" spans="1:5" x14ac:dyDescent="0.3">
      <c r="A505" s="8">
        <v>32</v>
      </c>
      <c r="B505" s="8">
        <v>8</v>
      </c>
      <c r="C505" s="8">
        <v>3567</v>
      </c>
      <c r="D505" s="16">
        <v>-2.6693499999999998E-2</v>
      </c>
      <c r="E505">
        <v>-1.3346749999999999E-2</v>
      </c>
    </row>
    <row r="506" spans="1:5" x14ac:dyDescent="0.3">
      <c r="A506" s="8">
        <v>32</v>
      </c>
      <c r="B506" s="8">
        <v>9</v>
      </c>
      <c r="C506" s="8">
        <v>3576</v>
      </c>
      <c r="D506" s="16">
        <v>3.3779789999999997E-2</v>
      </c>
      <c r="E506">
        <v>1.6889894999999999E-2</v>
      </c>
    </row>
    <row r="507" spans="1:5" x14ac:dyDescent="0.3">
      <c r="A507" s="8">
        <v>32</v>
      </c>
      <c r="B507" s="8">
        <v>10</v>
      </c>
      <c r="C507" s="8">
        <v>3573</v>
      </c>
      <c r="D507" s="16">
        <v>-1.8532699999999999E-2</v>
      </c>
      <c r="E507">
        <v>-9.2663499999999996E-3</v>
      </c>
    </row>
    <row r="508" spans="1:5" x14ac:dyDescent="0.3">
      <c r="A508" s="8">
        <v>32</v>
      </c>
      <c r="B508" s="8">
        <v>11</v>
      </c>
      <c r="C508" s="8">
        <v>3578</v>
      </c>
      <c r="D508" s="16">
        <v>2.514899E-2</v>
      </c>
      <c r="E508">
        <v>1.2574495E-2</v>
      </c>
    </row>
    <row r="509" spans="1:5" x14ac:dyDescent="0.3">
      <c r="A509" s="8">
        <v>32</v>
      </c>
      <c r="B509" s="8">
        <v>12</v>
      </c>
      <c r="C509" s="8">
        <v>3590</v>
      </c>
      <c r="D509" s="16">
        <v>-3.114339E-2</v>
      </c>
      <c r="E509">
        <v>-1.5571695E-2</v>
      </c>
    </row>
    <row r="510" spans="1:5" x14ac:dyDescent="0.3">
      <c r="A510" s="8">
        <v>32</v>
      </c>
      <c r="B510" s="8">
        <v>13</v>
      </c>
      <c r="C510" s="8">
        <v>3569</v>
      </c>
      <c r="D510" s="16">
        <v>-2.1914380000000001E-2</v>
      </c>
      <c r="E510">
        <v>-1.095719E-2</v>
      </c>
    </row>
    <row r="511" spans="1:5" x14ac:dyDescent="0.3">
      <c r="A511" s="8">
        <v>32</v>
      </c>
      <c r="B511" s="8">
        <v>14</v>
      </c>
      <c r="C511" s="8">
        <v>3563</v>
      </c>
      <c r="D511" s="16">
        <v>-2.7458159999999999E-2</v>
      </c>
      <c r="E511">
        <v>-1.3729079999999999E-2</v>
      </c>
    </row>
    <row r="512" spans="1:5" x14ac:dyDescent="0.3">
      <c r="A512" s="8">
        <v>32</v>
      </c>
      <c r="B512" s="8">
        <v>15</v>
      </c>
      <c r="C512" s="8">
        <v>3585</v>
      </c>
      <c r="D512" s="16">
        <v>-2.1960790000000001E-2</v>
      </c>
      <c r="E512">
        <v>-1.0980395E-2</v>
      </c>
    </row>
    <row r="513" spans="1:5" x14ac:dyDescent="0.3">
      <c r="A513" s="8">
        <v>32</v>
      </c>
      <c r="B513" s="8">
        <v>16</v>
      </c>
      <c r="C513" s="8">
        <v>3563</v>
      </c>
      <c r="D513" s="16">
        <v>-2.8288339999999999E-2</v>
      </c>
      <c r="E513">
        <v>-1.4144169999999999E-2</v>
      </c>
    </row>
    <row r="514" spans="1:5" x14ac:dyDescent="0.3">
      <c r="A514" s="8">
        <v>32</v>
      </c>
      <c r="B514" s="8">
        <v>17</v>
      </c>
      <c r="C514" s="8">
        <v>3575</v>
      </c>
      <c r="D514" s="16">
        <v>-8.7277320000000002E-3</v>
      </c>
      <c r="E514">
        <v>-4.3638660000000001E-3</v>
      </c>
    </row>
    <row r="515" spans="1:5" x14ac:dyDescent="0.3">
      <c r="A515" s="8">
        <v>32</v>
      </c>
      <c r="B515" s="8">
        <v>18</v>
      </c>
      <c r="C515" s="8">
        <v>3564</v>
      </c>
      <c r="D515" s="16">
        <v>-2.2050780000000001E-3</v>
      </c>
      <c r="E515">
        <v>-1.102539E-3</v>
      </c>
    </row>
    <row r="516" spans="1:5" x14ac:dyDescent="0.3">
      <c r="A516" s="8">
        <v>32</v>
      </c>
      <c r="B516" s="8">
        <v>19</v>
      </c>
      <c r="C516" s="8">
        <v>3545</v>
      </c>
      <c r="D516" s="16">
        <v>-1.401312E-2</v>
      </c>
      <c r="E516">
        <v>-7.0065600000000002E-3</v>
      </c>
    </row>
    <row r="517" spans="1:5" x14ac:dyDescent="0.3">
      <c r="A517" s="8">
        <v>32</v>
      </c>
      <c r="B517" s="8">
        <v>20</v>
      </c>
      <c r="C517" s="8">
        <v>3552</v>
      </c>
      <c r="D517" s="16">
        <v>2.7200729999999999E-2</v>
      </c>
      <c r="E517">
        <v>1.3600365E-2</v>
      </c>
    </row>
    <row r="518" spans="1:5" x14ac:dyDescent="0.3">
      <c r="A518" s="8">
        <v>32</v>
      </c>
      <c r="B518" s="8">
        <v>21</v>
      </c>
      <c r="C518" s="8">
        <v>3611</v>
      </c>
      <c r="D518" s="16">
        <v>-6.0049229999999997E-3</v>
      </c>
      <c r="E518">
        <v>-3.0024614999999998E-3</v>
      </c>
    </row>
    <row r="519" spans="1:5" x14ac:dyDescent="0.3">
      <c r="A519" s="8">
        <v>32</v>
      </c>
      <c r="B519" s="8">
        <v>22</v>
      </c>
      <c r="C519" s="8">
        <v>3561</v>
      </c>
      <c r="D519" s="16">
        <v>-1.9249860000000001E-2</v>
      </c>
      <c r="E519">
        <v>-9.6249300000000003E-3</v>
      </c>
    </row>
    <row r="520" spans="1:5" x14ac:dyDescent="0.3">
      <c r="A520" s="8">
        <v>32</v>
      </c>
      <c r="B520" s="8">
        <v>23</v>
      </c>
      <c r="C520" s="8">
        <v>3567</v>
      </c>
      <c r="D520" s="16">
        <v>-1.817121E-2</v>
      </c>
      <c r="E520">
        <v>-9.0856050000000001E-3</v>
      </c>
    </row>
    <row r="521" spans="1:5" x14ac:dyDescent="0.3">
      <c r="A521" s="8">
        <v>32</v>
      </c>
      <c r="B521" s="8">
        <v>24</v>
      </c>
      <c r="C521" s="8">
        <v>3595</v>
      </c>
      <c r="D521" s="16">
        <v>-1.31124E-2</v>
      </c>
      <c r="E521">
        <v>-6.5561999999999999E-3</v>
      </c>
    </row>
    <row r="522" spans="1:5" x14ac:dyDescent="0.3">
      <c r="A522" s="8">
        <v>32</v>
      </c>
      <c r="B522" s="8">
        <v>25</v>
      </c>
      <c r="C522" s="8">
        <v>3552</v>
      </c>
      <c r="D522" s="16">
        <v>7.2907329999999998E-3</v>
      </c>
      <c r="E522">
        <v>3.6453664999999999E-3</v>
      </c>
    </row>
    <row r="523" spans="1:5" x14ac:dyDescent="0.3">
      <c r="A523" s="8">
        <v>32</v>
      </c>
      <c r="B523" s="8">
        <v>26</v>
      </c>
      <c r="C523" s="8">
        <v>3584</v>
      </c>
      <c r="D523" s="16">
        <v>-4.5145640000000001E-2</v>
      </c>
      <c r="E523">
        <v>-2.257282E-2</v>
      </c>
    </row>
    <row r="524" spans="1:5" x14ac:dyDescent="0.3">
      <c r="A524" s="8">
        <v>32</v>
      </c>
      <c r="B524" s="8">
        <v>27</v>
      </c>
      <c r="C524" s="8">
        <v>3546</v>
      </c>
      <c r="D524" s="16">
        <v>-3.3497279999999997E-2</v>
      </c>
      <c r="E524">
        <v>-1.6748639999999999E-2</v>
      </c>
    </row>
    <row r="525" spans="1:5" x14ac:dyDescent="0.3">
      <c r="A525" s="8">
        <v>32</v>
      </c>
      <c r="B525" s="8">
        <v>28</v>
      </c>
      <c r="C525" s="8">
        <v>3532</v>
      </c>
      <c r="D525" s="16">
        <v>-1.975584E-2</v>
      </c>
      <c r="E525">
        <v>-9.8779200000000001E-3</v>
      </c>
    </row>
    <row r="526" spans="1:5" x14ac:dyDescent="0.3">
      <c r="A526" s="8">
        <v>32</v>
      </c>
      <c r="B526" s="8">
        <v>29</v>
      </c>
      <c r="C526" s="8">
        <v>3542</v>
      </c>
      <c r="D526" s="16">
        <v>-3.174517E-3</v>
      </c>
      <c r="E526">
        <v>-1.5872585E-3</v>
      </c>
    </row>
    <row r="527" spans="1:5" x14ac:dyDescent="0.3">
      <c r="A527" s="8">
        <v>32</v>
      </c>
      <c r="B527" s="8">
        <v>30</v>
      </c>
      <c r="C527" s="8">
        <v>3558</v>
      </c>
      <c r="D527" s="16">
        <v>-2.6304870000000001E-2</v>
      </c>
      <c r="E527">
        <v>-1.3152435000000001E-2</v>
      </c>
    </row>
    <row r="528" spans="1:5" x14ac:dyDescent="0.3">
      <c r="A528" s="8">
        <v>32</v>
      </c>
      <c r="B528" s="8">
        <v>31</v>
      </c>
      <c r="C528" s="8">
        <v>3479</v>
      </c>
      <c r="D528" s="16">
        <v>-4.1516200000000003E-2</v>
      </c>
      <c r="E528">
        <v>-2.0758100000000002E-2</v>
      </c>
    </row>
    <row r="529" spans="1:5" x14ac:dyDescent="0.3">
      <c r="A529" s="8">
        <v>32</v>
      </c>
      <c r="B529" s="8">
        <v>32</v>
      </c>
      <c r="C529" s="8">
        <v>3846</v>
      </c>
      <c r="D529" s="16">
        <v>1.048702</v>
      </c>
      <c r="E529"/>
    </row>
    <row r="530" spans="1:5" x14ac:dyDescent="0.3">
      <c r="A530" s="8">
        <v>33</v>
      </c>
      <c r="B530" s="8">
        <v>1</v>
      </c>
      <c r="C530" s="8">
        <v>3638</v>
      </c>
      <c r="D530" s="16">
        <v>-9.5737300000000008E-3</v>
      </c>
      <c r="E530">
        <v>-4.7868650000000004E-3</v>
      </c>
    </row>
    <row r="531" spans="1:5" x14ac:dyDescent="0.3">
      <c r="A531" s="8">
        <v>33</v>
      </c>
      <c r="B531" s="8">
        <v>2</v>
      </c>
      <c r="C531" s="8">
        <v>3621</v>
      </c>
      <c r="D531" s="16">
        <v>-3.5120520000000002E-2</v>
      </c>
      <c r="E531">
        <v>-1.7560260000000001E-2</v>
      </c>
    </row>
    <row r="532" spans="1:5" x14ac:dyDescent="0.3">
      <c r="A532" s="8">
        <v>33</v>
      </c>
      <c r="B532" s="8">
        <v>3</v>
      </c>
      <c r="C532" s="8">
        <v>3638</v>
      </c>
      <c r="D532" s="16">
        <v>-8.5787150000000006E-3</v>
      </c>
      <c r="E532">
        <v>-4.2893575000000003E-3</v>
      </c>
    </row>
    <row r="533" spans="1:5" x14ac:dyDescent="0.3">
      <c r="A533" s="8">
        <v>33</v>
      </c>
      <c r="B533" s="8">
        <v>4</v>
      </c>
      <c r="C533" s="8">
        <v>3588</v>
      </c>
      <c r="D533" s="16">
        <v>-2.3910560000000001E-2</v>
      </c>
      <c r="E533">
        <v>-1.195528E-2</v>
      </c>
    </row>
    <row r="534" spans="1:5" x14ac:dyDescent="0.3">
      <c r="A534" s="8">
        <v>33</v>
      </c>
      <c r="B534" s="8">
        <v>5</v>
      </c>
      <c r="C534" s="8">
        <v>3616</v>
      </c>
      <c r="D534" s="16">
        <v>-7.6084570000000004E-2</v>
      </c>
      <c r="E534">
        <v>-3.8042285000000002E-2</v>
      </c>
    </row>
    <row r="535" spans="1:5" x14ac:dyDescent="0.3">
      <c r="A535" s="8">
        <v>33</v>
      </c>
      <c r="B535" s="8">
        <v>6</v>
      </c>
      <c r="C535" s="8">
        <v>3617</v>
      </c>
      <c r="D535" s="16">
        <v>-4.3066689999999998E-2</v>
      </c>
      <c r="E535">
        <v>-2.1533344999999999E-2</v>
      </c>
    </row>
    <row r="536" spans="1:5" x14ac:dyDescent="0.3">
      <c r="A536" s="8">
        <v>33</v>
      </c>
      <c r="B536" s="8">
        <v>7</v>
      </c>
      <c r="C536" s="8">
        <v>3581</v>
      </c>
      <c r="D536" s="16">
        <v>-2.0701009999999999E-4</v>
      </c>
      <c r="E536">
        <v>-1.0350505E-4</v>
      </c>
    </row>
    <row r="537" spans="1:5" x14ac:dyDescent="0.3">
      <c r="A537" s="8">
        <v>33</v>
      </c>
      <c r="B537" s="8">
        <v>8</v>
      </c>
      <c r="C537" s="8">
        <v>3627</v>
      </c>
      <c r="D537" s="16">
        <v>8.4584020000000003E-3</v>
      </c>
      <c r="E537">
        <v>4.2292010000000001E-3</v>
      </c>
    </row>
    <row r="538" spans="1:5" x14ac:dyDescent="0.3">
      <c r="A538" s="8">
        <v>33</v>
      </c>
      <c r="B538" s="8">
        <v>9</v>
      </c>
      <c r="C538" s="8">
        <v>3620</v>
      </c>
      <c r="D538" s="16">
        <v>-3.6643349999999998E-2</v>
      </c>
      <c r="E538">
        <v>-1.8321674999999999E-2</v>
      </c>
    </row>
    <row r="539" spans="1:5" x14ac:dyDescent="0.3">
      <c r="A539" s="8">
        <v>33</v>
      </c>
      <c r="B539" s="8">
        <v>10</v>
      </c>
      <c r="C539" s="8">
        <v>3629</v>
      </c>
      <c r="D539" s="16">
        <v>-4.2741050000000003E-2</v>
      </c>
      <c r="E539">
        <v>-2.1370525000000001E-2</v>
      </c>
    </row>
    <row r="540" spans="1:5" x14ac:dyDescent="0.3">
      <c r="A540" s="8">
        <v>33</v>
      </c>
      <c r="B540" s="8">
        <v>11</v>
      </c>
      <c r="C540" s="8">
        <v>3628</v>
      </c>
      <c r="D540" s="16">
        <v>9.8837790000000005E-3</v>
      </c>
      <c r="E540">
        <v>4.9418895000000003E-3</v>
      </c>
    </row>
    <row r="541" spans="1:5" x14ac:dyDescent="0.3">
      <c r="A541" s="8">
        <v>33</v>
      </c>
      <c r="B541" s="8">
        <v>12</v>
      </c>
      <c r="C541" s="8">
        <v>3635</v>
      </c>
      <c r="D541" s="16">
        <v>4.4310729999999998E-3</v>
      </c>
      <c r="E541">
        <v>2.2155364999999999E-3</v>
      </c>
    </row>
    <row r="542" spans="1:5" x14ac:dyDescent="0.3">
      <c r="A542" s="8">
        <v>33</v>
      </c>
      <c r="B542" s="8">
        <v>13</v>
      </c>
      <c r="C542" s="8">
        <v>3612</v>
      </c>
      <c r="D542" s="16">
        <v>-1.400879E-2</v>
      </c>
      <c r="E542">
        <v>-7.0043950000000001E-3</v>
      </c>
    </row>
    <row r="543" spans="1:5" x14ac:dyDescent="0.3">
      <c r="A543" s="8">
        <v>33</v>
      </c>
      <c r="B543" s="8">
        <v>14</v>
      </c>
      <c r="C543" s="8">
        <v>3606</v>
      </c>
      <c r="D543" s="16">
        <v>4.0577130000000001E-3</v>
      </c>
      <c r="E543">
        <v>2.0288565000000001E-3</v>
      </c>
    </row>
    <row r="544" spans="1:5" x14ac:dyDescent="0.3">
      <c r="A544" s="8">
        <v>33</v>
      </c>
      <c r="B544" s="8">
        <v>15</v>
      </c>
      <c r="C544" s="8">
        <v>3633</v>
      </c>
      <c r="D544" s="16">
        <v>-2.6042369999999999E-2</v>
      </c>
      <c r="E544">
        <v>-1.3021184999999999E-2</v>
      </c>
    </row>
    <row r="545" spans="1:5" x14ac:dyDescent="0.3">
      <c r="A545" s="8">
        <v>33</v>
      </c>
      <c r="B545" s="8">
        <v>16</v>
      </c>
      <c r="C545" s="8">
        <v>3603</v>
      </c>
      <c r="D545" s="16">
        <v>-1.497954E-2</v>
      </c>
      <c r="E545">
        <v>-7.4897699999999998E-3</v>
      </c>
    </row>
    <row r="546" spans="1:5" x14ac:dyDescent="0.3">
      <c r="A546" s="8">
        <v>33</v>
      </c>
      <c r="B546" s="8">
        <v>17</v>
      </c>
      <c r="C546" s="8">
        <v>3632</v>
      </c>
      <c r="D546" s="16">
        <v>2.2177369999999998E-2</v>
      </c>
      <c r="E546">
        <v>1.1088684999999999E-2</v>
      </c>
    </row>
    <row r="547" spans="1:5" x14ac:dyDescent="0.3">
      <c r="A547" s="8">
        <v>33</v>
      </c>
      <c r="B547" s="8">
        <v>18</v>
      </c>
      <c r="C547" s="8">
        <v>3623</v>
      </c>
      <c r="D547" s="16">
        <v>3.6498899999999998E-3</v>
      </c>
      <c r="E547">
        <v>1.8249449999999999E-3</v>
      </c>
    </row>
    <row r="548" spans="1:5" x14ac:dyDescent="0.3">
      <c r="A548" s="8">
        <v>33</v>
      </c>
      <c r="B548" s="8">
        <v>19</v>
      </c>
      <c r="C548" s="8">
        <v>3587</v>
      </c>
      <c r="D548" s="16">
        <v>3.0469820000000002E-2</v>
      </c>
      <c r="E548">
        <v>1.5234910000000001E-2</v>
      </c>
    </row>
    <row r="549" spans="1:5" x14ac:dyDescent="0.3">
      <c r="A549" s="8">
        <v>33</v>
      </c>
      <c r="B549" s="8">
        <v>20</v>
      </c>
      <c r="C549" s="8">
        <v>3602</v>
      </c>
      <c r="D549" s="16">
        <v>8.8189549999999998E-3</v>
      </c>
      <c r="E549">
        <v>4.4094774999999999E-3</v>
      </c>
    </row>
    <row r="550" spans="1:5" x14ac:dyDescent="0.3">
      <c r="A550" s="8">
        <v>33</v>
      </c>
      <c r="B550" s="8">
        <v>21</v>
      </c>
      <c r="C550" s="8">
        <v>3652</v>
      </c>
      <c r="D550" s="16">
        <v>2.9000390000000001E-2</v>
      </c>
      <c r="E550">
        <v>1.4500195E-2</v>
      </c>
    </row>
    <row r="551" spans="1:5" x14ac:dyDescent="0.3">
      <c r="A551" s="8">
        <v>33</v>
      </c>
      <c r="B551" s="8">
        <v>22</v>
      </c>
      <c r="C551" s="8">
        <v>3598</v>
      </c>
      <c r="D551" s="16">
        <v>-2.0249739999999999E-2</v>
      </c>
      <c r="E551">
        <v>-1.0124869999999999E-2</v>
      </c>
    </row>
    <row r="552" spans="1:5" x14ac:dyDescent="0.3">
      <c r="A552" s="8">
        <v>33</v>
      </c>
      <c r="B552" s="8">
        <v>23</v>
      </c>
      <c r="C552" s="8">
        <v>3615</v>
      </c>
      <c r="D552" s="16">
        <v>2.7571579999999998E-2</v>
      </c>
      <c r="E552">
        <v>1.3785789999999999E-2</v>
      </c>
    </row>
    <row r="553" spans="1:5" x14ac:dyDescent="0.3">
      <c r="A553" s="8">
        <v>33</v>
      </c>
      <c r="B553" s="8">
        <v>24</v>
      </c>
      <c r="C553" s="8">
        <v>3632</v>
      </c>
      <c r="D553" s="16">
        <v>8.9426190000000006E-3</v>
      </c>
      <c r="E553">
        <v>4.4713095000000003E-3</v>
      </c>
    </row>
    <row r="554" spans="1:5" x14ac:dyDescent="0.3">
      <c r="A554" s="8">
        <v>33</v>
      </c>
      <c r="B554" s="8">
        <v>25</v>
      </c>
      <c r="C554" s="8">
        <v>3601</v>
      </c>
      <c r="D554" s="16">
        <v>-6.5978889999999998E-2</v>
      </c>
      <c r="E554">
        <v>-3.2989444999999999E-2</v>
      </c>
    </row>
    <row r="555" spans="1:5" x14ac:dyDescent="0.3">
      <c r="A555" s="8">
        <v>33</v>
      </c>
      <c r="B555" s="8">
        <v>26</v>
      </c>
      <c r="C555" s="8">
        <v>3636</v>
      </c>
      <c r="D555" s="16">
        <v>-2.892395E-2</v>
      </c>
      <c r="E555">
        <v>-1.4461975E-2</v>
      </c>
    </row>
    <row r="556" spans="1:5" x14ac:dyDescent="0.3">
      <c r="A556" s="8">
        <v>33</v>
      </c>
      <c r="B556" s="8">
        <v>27</v>
      </c>
      <c r="C556" s="8">
        <v>3609</v>
      </c>
      <c r="D556" s="16">
        <v>2.1402270000000001E-2</v>
      </c>
      <c r="E556">
        <v>1.0701135000000001E-2</v>
      </c>
    </row>
    <row r="557" spans="1:5" x14ac:dyDescent="0.3">
      <c r="A557" s="8">
        <v>33</v>
      </c>
      <c r="B557" s="8">
        <v>28</v>
      </c>
      <c r="C557" s="8">
        <v>3555</v>
      </c>
      <c r="D557" s="16">
        <v>-5.654066E-2</v>
      </c>
      <c r="E557">
        <v>-2.827033E-2</v>
      </c>
    </row>
    <row r="558" spans="1:5" x14ac:dyDescent="0.3">
      <c r="A558" s="8">
        <v>33</v>
      </c>
      <c r="B558" s="8">
        <v>29</v>
      </c>
      <c r="C558" s="8">
        <v>3584</v>
      </c>
      <c r="D558" s="16">
        <v>-1.8429870000000001E-2</v>
      </c>
      <c r="E558">
        <v>-9.2149350000000005E-3</v>
      </c>
    </row>
    <row r="559" spans="1:5" x14ac:dyDescent="0.3">
      <c r="A559" s="8">
        <v>33</v>
      </c>
      <c r="B559" s="8">
        <v>30</v>
      </c>
      <c r="C559" s="8">
        <v>3608</v>
      </c>
      <c r="D559" s="16">
        <v>-1.5846780000000001E-2</v>
      </c>
      <c r="E559">
        <v>-7.9233900000000006E-3</v>
      </c>
    </row>
    <row r="560" spans="1:5" x14ac:dyDescent="0.3">
      <c r="A560" s="8">
        <v>33</v>
      </c>
      <c r="B560" s="8">
        <v>31</v>
      </c>
      <c r="C560" s="8">
        <v>3532</v>
      </c>
      <c r="D560" s="16">
        <v>-8.815659E-3</v>
      </c>
      <c r="E560">
        <v>-4.4078295E-3</v>
      </c>
    </row>
    <row r="561" spans="1:5" x14ac:dyDescent="0.3">
      <c r="A561" s="8">
        <v>33</v>
      </c>
      <c r="B561" s="8">
        <v>32</v>
      </c>
      <c r="C561" s="8">
        <v>3591</v>
      </c>
      <c r="D561" s="16">
        <v>-2.4941390000000001E-2</v>
      </c>
      <c r="E561">
        <v>-1.2470695E-2</v>
      </c>
    </row>
    <row r="562" spans="1:5" x14ac:dyDescent="0.3">
      <c r="A562" s="8">
        <v>33</v>
      </c>
      <c r="B562" s="8">
        <v>33</v>
      </c>
      <c r="C562" s="8">
        <v>3899</v>
      </c>
      <c r="D562" s="16">
        <v>0.99750450000000002</v>
      </c>
      <c r="E562"/>
    </row>
    <row r="563" spans="1:5" x14ac:dyDescent="0.3">
      <c r="A563" s="8">
        <v>34</v>
      </c>
      <c r="B563" s="8">
        <v>1</v>
      </c>
      <c r="C563" s="8">
        <v>3629</v>
      </c>
      <c r="D563" s="16">
        <v>-2.0757749999999998E-2</v>
      </c>
      <c r="E563">
        <v>-1.0378874999999999E-2</v>
      </c>
    </row>
    <row r="564" spans="1:5" x14ac:dyDescent="0.3">
      <c r="A564" s="8">
        <v>34</v>
      </c>
      <c r="B564" s="8">
        <v>2</v>
      </c>
      <c r="C564" s="8">
        <v>3620</v>
      </c>
      <c r="D564" s="16">
        <v>-2.2307509999999999E-2</v>
      </c>
      <c r="E564">
        <v>-1.1153755E-2</v>
      </c>
    </row>
    <row r="565" spans="1:5" x14ac:dyDescent="0.3">
      <c r="A565" s="8">
        <v>34</v>
      </c>
      <c r="B565" s="8">
        <v>3</v>
      </c>
      <c r="C565" s="8">
        <v>3641</v>
      </c>
      <c r="D565" s="16">
        <v>-1.323561E-2</v>
      </c>
      <c r="E565">
        <v>-6.617805E-3</v>
      </c>
    </row>
    <row r="566" spans="1:5" x14ac:dyDescent="0.3">
      <c r="A566" s="8">
        <v>34</v>
      </c>
      <c r="B566" s="8">
        <v>4</v>
      </c>
      <c r="C566" s="8">
        <v>3595</v>
      </c>
      <c r="D566" s="16">
        <v>-8.6280530000000001E-3</v>
      </c>
      <c r="E566">
        <v>-4.3140265000000001E-3</v>
      </c>
    </row>
    <row r="567" spans="1:5" x14ac:dyDescent="0.3">
      <c r="A567" s="8">
        <v>34</v>
      </c>
      <c r="B567" s="8">
        <v>5</v>
      </c>
      <c r="C567" s="8">
        <v>3618</v>
      </c>
      <c r="D567" s="16">
        <v>2.427425E-3</v>
      </c>
      <c r="E567">
        <v>1.2137125E-3</v>
      </c>
    </row>
    <row r="568" spans="1:5" x14ac:dyDescent="0.3">
      <c r="A568" s="8">
        <v>34</v>
      </c>
      <c r="B568" s="8">
        <v>6</v>
      </c>
      <c r="C568" s="8">
        <v>3610</v>
      </c>
      <c r="D568" s="16">
        <v>4.5795089999999998E-3</v>
      </c>
      <c r="E568">
        <v>2.2897544999999999E-3</v>
      </c>
    </row>
    <row r="569" spans="1:5" x14ac:dyDescent="0.3">
      <c r="A569" s="8">
        <v>34</v>
      </c>
      <c r="B569" s="8">
        <v>7</v>
      </c>
      <c r="C569" s="8">
        <v>3575</v>
      </c>
      <c r="D569" s="16">
        <v>-4.7432000000000002E-2</v>
      </c>
      <c r="E569">
        <v>-2.3716000000000001E-2</v>
      </c>
    </row>
    <row r="570" spans="1:5" x14ac:dyDescent="0.3">
      <c r="A570" s="8">
        <v>34</v>
      </c>
      <c r="B570" s="8">
        <v>8</v>
      </c>
      <c r="C570" s="8">
        <v>3617</v>
      </c>
      <c r="D570" s="16">
        <v>-9.5108650000000003E-4</v>
      </c>
      <c r="E570">
        <v>-4.7554325000000001E-4</v>
      </c>
    </row>
    <row r="571" spans="1:5" x14ac:dyDescent="0.3">
      <c r="A571" s="8">
        <v>34</v>
      </c>
      <c r="B571" s="8">
        <v>9</v>
      </c>
      <c r="C571" s="8">
        <v>3626</v>
      </c>
      <c r="D571" s="16">
        <v>-1.849545E-2</v>
      </c>
      <c r="E571">
        <v>-9.247725E-3</v>
      </c>
    </row>
    <row r="572" spans="1:5" x14ac:dyDescent="0.3">
      <c r="A572" s="8">
        <v>34</v>
      </c>
      <c r="B572" s="8">
        <v>10</v>
      </c>
      <c r="C572" s="8">
        <v>3620</v>
      </c>
      <c r="D572" s="16">
        <v>5.4263519999999997E-3</v>
      </c>
      <c r="E572">
        <v>2.7131759999999999E-3</v>
      </c>
    </row>
    <row r="573" spans="1:5" x14ac:dyDescent="0.3">
      <c r="A573" s="8">
        <v>34</v>
      </c>
      <c r="B573" s="8">
        <v>11</v>
      </c>
      <c r="C573" s="8">
        <v>3626</v>
      </c>
      <c r="D573" s="16">
        <v>1.9644419999999999E-2</v>
      </c>
      <c r="E573">
        <v>9.8222099999999996E-3</v>
      </c>
    </row>
    <row r="574" spans="1:5" x14ac:dyDescent="0.3">
      <c r="A574" s="8">
        <v>34</v>
      </c>
      <c r="B574" s="8">
        <v>12</v>
      </c>
      <c r="C574" s="8">
        <v>3631</v>
      </c>
      <c r="D574" s="16">
        <v>-7.1859100000000002E-3</v>
      </c>
      <c r="E574">
        <v>-3.5929550000000001E-3</v>
      </c>
    </row>
    <row r="575" spans="1:5" x14ac:dyDescent="0.3">
      <c r="A575" s="8">
        <v>34</v>
      </c>
      <c r="B575" s="8">
        <v>13</v>
      </c>
      <c r="C575" s="8">
        <v>3615</v>
      </c>
      <c r="D575" s="16">
        <v>8.451577E-3</v>
      </c>
      <c r="E575">
        <v>4.2257885E-3</v>
      </c>
    </row>
    <row r="576" spans="1:5" x14ac:dyDescent="0.3">
      <c r="A576" s="8">
        <v>34</v>
      </c>
      <c r="B576" s="8">
        <v>14</v>
      </c>
      <c r="C576" s="8">
        <v>3605</v>
      </c>
      <c r="D576" s="16">
        <v>-1.5946100000000001E-2</v>
      </c>
      <c r="E576">
        <v>-7.9730500000000006E-3</v>
      </c>
    </row>
    <row r="577" spans="1:5" x14ac:dyDescent="0.3">
      <c r="A577" s="8">
        <v>34</v>
      </c>
      <c r="B577" s="8">
        <v>15</v>
      </c>
      <c r="C577" s="8">
        <v>3636</v>
      </c>
      <c r="D577" s="16">
        <v>3.8475450000000001E-2</v>
      </c>
      <c r="E577">
        <v>1.9237725000000001E-2</v>
      </c>
    </row>
    <row r="578" spans="1:5" x14ac:dyDescent="0.3">
      <c r="A578" s="8">
        <v>34</v>
      </c>
      <c r="B578" s="8">
        <v>16</v>
      </c>
      <c r="C578" s="8">
        <v>3615</v>
      </c>
      <c r="D578" s="16">
        <v>1.182843E-3</v>
      </c>
      <c r="E578">
        <v>5.9142150000000002E-4</v>
      </c>
    </row>
    <row r="579" spans="1:5" x14ac:dyDescent="0.3">
      <c r="A579" s="8">
        <v>34</v>
      </c>
      <c r="B579" s="8">
        <v>17</v>
      </c>
      <c r="C579" s="8">
        <v>3623</v>
      </c>
      <c r="D579" s="16">
        <v>-5.2044359999999998E-2</v>
      </c>
      <c r="E579">
        <v>-2.6022179999999999E-2</v>
      </c>
    </row>
    <row r="580" spans="1:5" x14ac:dyDescent="0.3">
      <c r="A580" s="8">
        <v>34</v>
      </c>
      <c r="B580" s="8">
        <v>18</v>
      </c>
      <c r="C580" s="8">
        <v>3621</v>
      </c>
      <c r="D580" s="16">
        <v>-3.045664E-2</v>
      </c>
      <c r="E580">
        <v>-1.522832E-2</v>
      </c>
    </row>
    <row r="581" spans="1:5" x14ac:dyDescent="0.3">
      <c r="A581" s="8">
        <v>34</v>
      </c>
      <c r="B581" s="8">
        <v>19</v>
      </c>
      <c r="C581" s="8">
        <v>3589</v>
      </c>
      <c r="D581" s="16">
        <v>1.1795129999999999E-2</v>
      </c>
      <c r="E581">
        <v>5.8975649999999996E-3</v>
      </c>
    </row>
    <row r="582" spans="1:5" x14ac:dyDescent="0.3">
      <c r="A582" s="8">
        <v>34</v>
      </c>
      <c r="B582" s="8">
        <v>20</v>
      </c>
      <c r="C582" s="8">
        <v>3591</v>
      </c>
      <c r="D582" s="16">
        <v>-2.4282390000000001E-2</v>
      </c>
      <c r="E582">
        <v>-1.2141195E-2</v>
      </c>
    </row>
    <row r="583" spans="1:5" x14ac:dyDescent="0.3">
      <c r="A583" s="8">
        <v>34</v>
      </c>
      <c r="B583" s="8">
        <v>21</v>
      </c>
      <c r="C583" s="8">
        <v>3643</v>
      </c>
      <c r="D583" s="16">
        <v>-1.4150970000000001E-2</v>
      </c>
      <c r="E583">
        <v>-7.0754850000000003E-3</v>
      </c>
    </row>
    <row r="584" spans="1:5" x14ac:dyDescent="0.3">
      <c r="A584" s="8">
        <v>34</v>
      </c>
      <c r="B584" s="8">
        <v>22</v>
      </c>
      <c r="C584" s="8">
        <v>3607</v>
      </c>
      <c r="D584" s="16">
        <v>-8.7387439999999997E-3</v>
      </c>
      <c r="E584">
        <v>-4.3693719999999998E-3</v>
      </c>
    </row>
    <row r="585" spans="1:5" x14ac:dyDescent="0.3">
      <c r="A585" s="8">
        <v>34</v>
      </c>
      <c r="B585" s="8">
        <v>23</v>
      </c>
      <c r="C585" s="8">
        <v>3612</v>
      </c>
      <c r="D585" s="16">
        <v>-3.1703139999999998E-2</v>
      </c>
      <c r="E585">
        <v>-1.5851569999999999E-2</v>
      </c>
    </row>
    <row r="586" spans="1:5" x14ac:dyDescent="0.3">
      <c r="A586" s="8">
        <v>34</v>
      </c>
      <c r="B586" s="8">
        <v>24</v>
      </c>
      <c r="C586" s="8">
        <v>3631</v>
      </c>
      <c r="D586" s="16">
        <v>-3.9732379999999998E-2</v>
      </c>
      <c r="E586">
        <v>-1.9866189999999999E-2</v>
      </c>
    </row>
    <row r="587" spans="1:5" x14ac:dyDescent="0.3">
      <c r="A587" s="8">
        <v>34</v>
      </c>
      <c r="B587" s="8">
        <v>25</v>
      </c>
      <c r="C587" s="8">
        <v>3605</v>
      </c>
      <c r="D587" s="16">
        <v>-3.5668949999999998E-2</v>
      </c>
      <c r="E587">
        <v>-1.7834474999999999E-2</v>
      </c>
    </row>
    <row r="588" spans="1:5" x14ac:dyDescent="0.3">
      <c r="A588" s="8">
        <v>34</v>
      </c>
      <c r="B588" s="8">
        <v>26</v>
      </c>
      <c r="C588" s="8">
        <v>3623</v>
      </c>
      <c r="D588" s="16">
        <v>-2.832869E-2</v>
      </c>
      <c r="E588">
        <v>-1.4164345E-2</v>
      </c>
    </row>
    <row r="589" spans="1:5" x14ac:dyDescent="0.3">
      <c r="A589" s="8">
        <v>34</v>
      </c>
      <c r="B589" s="8">
        <v>27</v>
      </c>
      <c r="C589" s="8">
        <v>3601</v>
      </c>
      <c r="D589" s="16">
        <v>-6.2005280000000003E-3</v>
      </c>
      <c r="E589">
        <v>-3.1002640000000001E-3</v>
      </c>
    </row>
    <row r="590" spans="1:5" x14ac:dyDescent="0.3">
      <c r="A590" s="8">
        <v>34</v>
      </c>
      <c r="B590" s="8">
        <v>28</v>
      </c>
      <c r="C590" s="8">
        <v>3568</v>
      </c>
      <c r="D590" s="16">
        <v>-3.5245440000000003E-2</v>
      </c>
      <c r="E590">
        <v>-1.7622720000000001E-2</v>
      </c>
    </row>
    <row r="591" spans="1:5" x14ac:dyDescent="0.3">
      <c r="A591" s="8">
        <v>34</v>
      </c>
      <c r="B591" s="8">
        <v>29</v>
      </c>
      <c r="C591" s="8">
        <v>3586</v>
      </c>
      <c r="D591" s="16">
        <v>-3.6144219999999998E-2</v>
      </c>
      <c r="E591">
        <v>-1.8072109999999999E-2</v>
      </c>
    </row>
    <row r="592" spans="1:5" x14ac:dyDescent="0.3">
      <c r="A592" s="8">
        <v>34</v>
      </c>
      <c r="B592" s="8">
        <v>30</v>
      </c>
      <c r="C592" s="8">
        <v>3599</v>
      </c>
      <c r="D592" s="16">
        <v>-1.405991E-2</v>
      </c>
      <c r="E592">
        <v>-7.0299550000000001E-3</v>
      </c>
    </row>
    <row r="593" spans="1:5" x14ac:dyDescent="0.3">
      <c r="A593" s="8">
        <v>34</v>
      </c>
      <c r="B593" s="8">
        <v>31</v>
      </c>
      <c r="C593" s="8">
        <v>3513</v>
      </c>
      <c r="D593" s="16">
        <v>3.155558E-2</v>
      </c>
      <c r="E593">
        <v>1.577779E-2</v>
      </c>
    </row>
    <row r="594" spans="1:5" x14ac:dyDescent="0.3">
      <c r="A594" s="8">
        <v>34</v>
      </c>
      <c r="B594" s="8">
        <v>32</v>
      </c>
      <c r="C594" s="8">
        <v>3592</v>
      </c>
      <c r="D594" s="16">
        <v>-5.2177929999999997E-2</v>
      </c>
      <c r="E594">
        <v>-2.6088964999999999E-2</v>
      </c>
    </row>
    <row r="595" spans="1:5" x14ac:dyDescent="0.3">
      <c r="A595" s="8">
        <v>34</v>
      </c>
      <c r="B595" s="8">
        <v>33</v>
      </c>
      <c r="C595" s="8">
        <v>3626</v>
      </c>
      <c r="D595" s="16">
        <v>-2.3564310000000002E-2</v>
      </c>
      <c r="E595">
        <v>-1.1782155000000001E-2</v>
      </c>
    </row>
    <row r="596" spans="1:5" x14ac:dyDescent="0.3">
      <c r="A596" s="8">
        <v>34</v>
      </c>
      <c r="B596" s="8">
        <v>34</v>
      </c>
      <c r="C596" s="8">
        <v>3893</v>
      </c>
      <c r="D596" s="16">
        <v>0.98653469999999999</v>
      </c>
      <c r="E596"/>
    </row>
    <row r="597" spans="1:5" x14ac:dyDescent="0.3">
      <c r="A597" s="8">
        <v>35</v>
      </c>
      <c r="B597" s="8">
        <v>1</v>
      </c>
      <c r="C597" s="8">
        <v>3621</v>
      </c>
      <c r="D597" s="16">
        <v>-2.885308E-2</v>
      </c>
      <c r="E597">
        <v>-1.442654E-2</v>
      </c>
    </row>
    <row r="598" spans="1:5" x14ac:dyDescent="0.3">
      <c r="A598" s="8">
        <v>35</v>
      </c>
      <c r="B598" s="8">
        <v>2</v>
      </c>
      <c r="C598" s="8">
        <v>3603</v>
      </c>
      <c r="D598" s="16">
        <v>-2.5935880000000001E-2</v>
      </c>
      <c r="E598">
        <v>-1.2967940000000001E-2</v>
      </c>
    </row>
    <row r="599" spans="1:5" x14ac:dyDescent="0.3">
      <c r="A599" s="8">
        <v>35</v>
      </c>
      <c r="B599" s="8">
        <v>3</v>
      </c>
      <c r="C599" s="8">
        <v>3611</v>
      </c>
      <c r="D599" s="16">
        <v>-1.4847839999999999E-2</v>
      </c>
      <c r="E599">
        <v>-7.4239199999999997E-3</v>
      </c>
    </row>
    <row r="600" spans="1:5" x14ac:dyDescent="0.3">
      <c r="A600" s="8">
        <v>35</v>
      </c>
      <c r="B600" s="8">
        <v>4</v>
      </c>
      <c r="C600" s="8">
        <v>3579</v>
      </c>
      <c r="D600" s="16">
        <v>-3.3051949999999997E-2</v>
      </c>
      <c r="E600">
        <v>-1.6525974999999998E-2</v>
      </c>
    </row>
    <row r="601" spans="1:5" x14ac:dyDescent="0.3">
      <c r="A601" s="8">
        <v>35</v>
      </c>
      <c r="B601" s="8">
        <v>5</v>
      </c>
      <c r="C601" s="8">
        <v>3603</v>
      </c>
      <c r="D601" s="16">
        <v>-4.2047109999999999E-2</v>
      </c>
      <c r="E601">
        <v>-2.1023554999999999E-2</v>
      </c>
    </row>
    <row r="602" spans="1:5" x14ac:dyDescent="0.3">
      <c r="A602" s="8">
        <v>35</v>
      </c>
      <c r="B602" s="8">
        <v>6</v>
      </c>
      <c r="C602" s="8">
        <v>3586</v>
      </c>
      <c r="D602" s="16">
        <v>2.2761099999999999E-2</v>
      </c>
      <c r="E602">
        <v>1.138055E-2</v>
      </c>
    </row>
    <row r="603" spans="1:5" x14ac:dyDescent="0.3">
      <c r="A603" s="8">
        <v>35</v>
      </c>
      <c r="B603" s="8">
        <v>7</v>
      </c>
      <c r="C603" s="8">
        <v>3565</v>
      </c>
      <c r="D603" s="16">
        <v>-4.6945059999999997E-2</v>
      </c>
      <c r="E603">
        <v>-2.3472529999999998E-2</v>
      </c>
    </row>
    <row r="604" spans="1:5" x14ac:dyDescent="0.3">
      <c r="A604" s="8">
        <v>35</v>
      </c>
      <c r="B604" s="8">
        <v>8</v>
      </c>
      <c r="C604" s="8">
        <v>3594</v>
      </c>
      <c r="D604" s="16">
        <v>-2.299153E-2</v>
      </c>
      <c r="E604">
        <v>-1.1495765E-2</v>
      </c>
    </row>
    <row r="605" spans="1:5" x14ac:dyDescent="0.3">
      <c r="A605" s="8">
        <v>35</v>
      </c>
      <c r="B605" s="8">
        <v>9</v>
      </c>
      <c r="C605" s="8">
        <v>3601</v>
      </c>
      <c r="D605" s="16">
        <v>2.370247E-2</v>
      </c>
      <c r="E605">
        <v>1.1851235E-2</v>
      </c>
    </row>
    <row r="606" spans="1:5" x14ac:dyDescent="0.3">
      <c r="A606" s="8">
        <v>35</v>
      </c>
      <c r="B606" s="8">
        <v>10</v>
      </c>
      <c r="C606" s="8">
        <v>3606</v>
      </c>
      <c r="D606" s="16">
        <v>1.8476579999999999E-2</v>
      </c>
      <c r="E606">
        <v>9.2382899999999997E-3</v>
      </c>
    </row>
    <row r="607" spans="1:5" x14ac:dyDescent="0.3">
      <c r="A607" s="8">
        <v>35</v>
      </c>
      <c r="B607" s="8">
        <v>11</v>
      </c>
      <c r="C607" s="8">
        <v>3603</v>
      </c>
      <c r="D607" s="16">
        <v>-9.1437429999999993E-3</v>
      </c>
      <c r="E607">
        <v>-4.5718714999999997E-3</v>
      </c>
    </row>
    <row r="608" spans="1:5" x14ac:dyDescent="0.3">
      <c r="A608" s="8">
        <v>35</v>
      </c>
      <c r="B608" s="8">
        <v>12</v>
      </c>
      <c r="C608" s="8">
        <v>3606</v>
      </c>
      <c r="D608" s="16">
        <v>-2.7519879999999999E-3</v>
      </c>
      <c r="E608">
        <v>-1.375994E-3</v>
      </c>
    </row>
    <row r="609" spans="1:5" x14ac:dyDescent="0.3">
      <c r="A609" s="8">
        <v>35</v>
      </c>
      <c r="B609" s="8">
        <v>13</v>
      </c>
      <c r="C609" s="8">
        <v>3599</v>
      </c>
      <c r="D609" s="16">
        <v>-1.916139E-2</v>
      </c>
      <c r="E609">
        <v>-9.5806950000000002E-3</v>
      </c>
    </row>
    <row r="610" spans="1:5" x14ac:dyDescent="0.3">
      <c r="A610" s="8">
        <v>35</v>
      </c>
      <c r="B610" s="8">
        <v>14</v>
      </c>
      <c r="C610" s="8">
        <v>3576</v>
      </c>
      <c r="D610" s="16">
        <v>-2.7883419999999999E-2</v>
      </c>
      <c r="E610">
        <v>-1.394171E-2</v>
      </c>
    </row>
    <row r="611" spans="1:5" x14ac:dyDescent="0.3">
      <c r="A611" s="8">
        <v>35</v>
      </c>
      <c r="B611" s="8">
        <v>15</v>
      </c>
      <c r="C611" s="8">
        <v>3617</v>
      </c>
      <c r="D611" s="16">
        <v>5.7524140000000001E-2</v>
      </c>
      <c r="E611">
        <v>2.8762070000000001E-2</v>
      </c>
    </row>
    <row r="612" spans="1:5" x14ac:dyDescent="0.3">
      <c r="A612" s="8">
        <v>35</v>
      </c>
      <c r="B612" s="8">
        <v>16</v>
      </c>
      <c r="C612" s="8">
        <v>3584</v>
      </c>
      <c r="D612" s="16">
        <v>-9.1685080000000006E-3</v>
      </c>
      <c r="E612">
        <v>-4.5842540000000003E-3</v>
      </c>
    </row>
    <row r="613" spans="1:5" x14ac:dyDescent="0.3">
      <c r="A613" s="8">
        <v>35</v>
      </c>
      <c r="B613" s="8">
        <v>17</v>
      </c>
      <c r="C613" s="8">
        <v>3602</v>
      </c>
      <c r="D613" s="16">
        <v>-7.0168289999999994E-2</v>
      </c>
      <c r="E613">
        <v>-3.5084144999999997E-2</v>
      </c>
    </row>
    <row r="614" spans="1:5" x14ac:dyDescent="0.3">
      <c r="A614" s="8">
        <v>35</v>
      </c>
      <c r="B614" s="8">
        <v>18</v>
      </c>
      <c r="C614" s="8">
        <v>3599</v>
      </c>
      <c r="D614" s="16">
        <v>-3.6899340000000003E-2</v>
      </c>
      <c r="E614">
        <v>-1.8449670000000001E-2</v>
      </c>
    </row>
    <row r="615" spans="1:5" x14ac:dyDescent="0.3">
      <c r="A615" s="8">
        <v>35</v>
      </c>
      <c r="B615" s="8">
        <v>19</v>
      </c>
      <c r="C615" s="8">
        <v>3566</v>
      </c>
      <c r="D615" s="16">
        <v>-2.4769380000000001E-2</v>
      </c>
      <c r="E615">
        <v>-1.238469E-2</v>
      </c>
    </row>
    <row r="616" spans="1:5" x14ac:dyDescent="0.3">
      <c r="A616" s="8">
        <v>35</v>
      </c>
      <c r="B616" s="8">
        <v>20</v>
      </c>
      <c r="C616" s="8">
        <v>3581</v>
      </c>
      <c r="D616" s="16">
        <v>2.120791E-2</v>
      </c>
      <c r="E616">
        <v>1.0603955E-2</v>
      </c>
    </row>
    <row r="617" spans="1:5" x14ac:dyDescent="0.3">
      <c r="A617" s="8">
        <v>35</v>
      </c>
      <c r="B617" s="8">
        <v>21</v>
      </c>
      <c r="C617" s="8">
        <v>3631</v>
      </c>
      <c r="D617" s="16">
        <v>-1.715069E-2</v>
      </c>
      <c r="E617">
        <v>-8.5753449999999998E-3</v>
      </c>
    </row>
    <row r="618" spans="1:5" x14ac:dyDescent="0.3">
      <c r="A618" s="8">
        <v>35</v>
      </c>
      <c r="B618" s="8">
        <v>22</v>
      </c>
      <c r="C618" s="8">
        <v>3575</v>
      </c>
      <c r="D618" s="16">
        <v>2.5599860000000002E-3</v>
      </c>
      <c r="E618">
        <v>1.2799930000000001E-3</v>
      </c>
    </row>
    <row r="619" spans="1:5" x14ac:dyDescent="0.3">
      <c r="A619" s="8">
        <v>35</v>
      </c>
      <c r="B619" s="8">
        <v>23</v>
      </c>
      <c r="C619" s="8">
        <v>3586</v>
      </c>
      <c r="D619" s="16">
        <v>-5.1405680000000002E-2</v>
      </c>
      <c r="E619">
        <v>-2.5702840000000001E-2</v>
      </c>
    </row>
    <row r="620" spans="1:5" x14ac:dyDescent="0.3">
      <c r="A620" s="8">
        <v>35</v>
      </c>
      <c r="B620" s="8">
        <v>24</v>
      </c>
      <c r="C620" s="8">
        <v>3613</v>
      </c>
      <c r="D620" s="16">
        <v>-2.2388620000000001E-2</v>
      </c>
      <c r="E620">
        <v>-1.1194310000000001E-2</v>
      </c>
    </row>
    <row r="621" spans="1:5" x14ac:dyDescent="0.3">
      <c r="A621" s="8">
        <v>35</v>
      </c>
      <c r="B621" s="8">
        <v>25</v>
      </c>
      <c r="C621" s="8">
        <v>3595</v>
      </c>
      <c r="D621" s="16">
        <v>-3.4570549999999999E-2</v>
      </c>
      <c r="E621">
        <v>-1.7285274999999999E-2</v>
      </c>
    </row>
    <row r="622" spans="1:5" x14ac:dyDescent="0.3">
      <c r="A622" s="8">
        <v>35</v>
      </c>
      <c r="B622" s="8">
        <v>26</v>
      </c>
      <c r="C622" s="8">
        <v>3619</v>
      </c>
      <c r="D622" s="16">
        <v>7.5842569999999996E-3</v>
      </c>
      <c r="E622">
        <v>3.7921284999999998E-3</v>
      </c>
    </row>
    <row r="623" spans="1:5" x14ac:dyDescent="0.3">
      <c r="A623" s="8">
        <v>35</v>
      </c>
      <c r="B623" s="8">
        <v>27</v>
      </c>
      <c r="C623" s="8">
        <v>3574</v>
      </c>
      <c r="D623" s="16">
        <v>-2.5610310000000001E-2</v>
      </c>
      <c r="E623">
        <v>-1.2805155E-2</v>
      </c>
    </row>
    <row r="624" spans="1:5" x14ac:dyDescent="0.3">
      <c r="A624" s="8">
        <v>35</v>
      </c>
      <c r="B624" s="8">
        <v>28</v>
      </c>
      <c r="C624" s="8">
        <v>3551</v>
      </c>
      <c r="D624" s="16">
        <v>1.1218479999999999E-2</v>
      </c>
      <c r="E624">
        <v>5.6092399999999997E-3</v>
      </c>
    </row>
    <row r="625" spans="1:5" x14ac:dyDescent="0.3">
      <c r="A625" s="8">
        <v>35</v>
      </c>
      <c r="B625" s="8">
        <v>29</v>
      </c>
      <c r="C625" s="8">
        <v>3573</v>
      </c>
      <c r="D625" s="16">
        <v>8.6072189999999993E-3</v>
      </c>
      <c r="E625">
        <v>4.3036094999999996E-3</v>
      </c>
    </row>
    <row r="626" spans="1:5" x14ac:dyDescent="0.3">
      <c r="A626" s="8">
        <v>35</v>
      </c>
      <c r="B626" s="8">
        <v>30</v>
      </c>
      <c r="C626" s="8">
        <v>3580</v>
      </c>
      <c r="D626" s="16">
        <v>-1.8065109999999999E-2</v>
      </c>
      <c r="E626">
        <v>-9.0325549999999994E-3</v>
      </c>
    </row>
    <row r="627" spans="1:5" x14ac:dyDescent="0.3">
      <c r="A627" s="8">
        <v>35</v>
      </c>
      <c r="B627" s="8">
        <v>31</v>
      </c>
      <c r="C627" s="8">
        <v>3502</v>
      </c>
      <c r="D627" s="16">
        <v>-1.971856E-2</v>
      </c>
      <c r="E627">
        <v>-9.8592799999999998E-3</v>
      </c>
    </row>
    <row r="628" spans="1:5" x14ac:dyDescent="0.3">
      <c r="A628" s="8">
        <v>35</v>
      </c>
      <c r="B628" s="8">
        <v>32</v>
      </c>
      <c r="C628" s="8">
        <v>3564</v>
      </c>
      <c r="D628" s="16">
        <v>-2.06532E-2</v>
      </c>
      <c r="E628">
        <v>-1.03266E-2</v>
      </c>
    </row>
    <row r="629" spans="1:5" x14ac:dyDescent="0.3">
      <c r="A629" s="8">
        <v>35</v>
      </c>
      <c r="B629" s="8">
        <v>33</v>
      </c>
      <c r="C629" s="8">
        <v>3609</v>
      </c>
      <c r="D629" s="16">
        <v>-5.3359289999999997E-2</v>
      </c>
      <c r="E629">
        <v>-2.6679644999999998E-2</v>
      </c>
    </row>
    <row r="630" spans="1:5" x14ac:dyDescent="0.3">
      <c r="A630" s="8">
        <v>35</v>
      </c>
      <c r="B630" s="8">
        <v>34</v>
      </c>
      <c r="C630" s="8">
        <v>3616</v>
      </c>
      <c r="D630" s="16">
        <v>2.090589E-2</v>
      </c>
      <c r="E630">
        <v>1.0452945E-2</v>
      </c>
    </row>
    <row r="631" spans="1:5" x14ac:dyDescent="0.3">
      <c r="A631" s="8">
        <v>35</v>
      </c>
      <c r="B631" s="8">
        <v>35</v>
      </c>
      <c r="C631" s="8">
        <v>3868</v>
      </c>
      <c r="D631" s="16">
        <v>1.0771200000000001</v>
      </c>
      <c r="E631"/>
    </row>
    <row r="632" spans="1:5" x14ac:dyDescent="0.3">
      <c r="A632" s="8">
        <v>36</v>
      </c>
      <c r="B632" s="8">
        <v>1</v>
      </c>
      <c r="C632" s="8">
        <v>3612</v>
      </c>
      <c r="D632" s="16">
        <v>-4.5904739999999999E-2</v>
      </c>
      <c r="E632">
        <v>-2.295237E-2</v>
      </c>
    </row>
    <row r="633" spans="1:5" x14ac:dyDescent="0.3">
      <c r="A633" s="8">
        <v>36</v>
      </c>
      <c r="B633" s="8">
        <v>2</v>
      </c>
      <c r="C633" s="8">
        <v>3597</v>
      </c>
      <c r="D633" s="16">
        <v>2.8092770000000002E-3</v>
      </c>
      <c r="E633">
        <v>1.4046385000000001E-3</v>
      </c>
    </row>
    <row r="634" spans="1:5" x14ac:dyDescent="0.3">
      <c r="A634" s="8">
        <v>36</v>
      </c>
      <c r="B634" s="8">
        <v>3</v>
      </c>
      <c r="C634" s="8">
        <v>3612</v>
      </c>
      <c r="D634" s="16">
        <v>-1.7240370000000001E-2</v>
      </c>
      <c r="E634">
        <v>-8.6201850000000007E-3</v>
      </c>
    </row>
    <row r="635" spans="1:5" x14ac:dyDescent="0.3">
      <c r="A635" s="8">
        <v>36</v>
      </c>
      <c r="B635" s="8">
        <v>4</v>
      </c>
      <c r="C635" s="8">
        <v>3573</v>
      </c>
      <c r="D635" s="16">
        <v>1.493685E-3</v>
      </c>
      <c r="E635">
        <v>7.4684250000000001E-4</v>
      </c>
    </row>
    <row r="636" spans="1:5" x14ac:dyDescent="0.3">
      <c r="A636" s="8">
        <v>36</v>
      </c>
      <c r="B636" s="8">
        <v>5</v>
      </c>
      <c r="C636" s="8">
        <v>3592</v>
      </c>
      <c r="D636" s="16">
        <v>1.3734980000000001E-2</v>
      </c>
      <c r="E636">
        <v>6.8674900000000004E-3</v>
      </c>
    </row>
    <row r="637" spans="1:5" x14ac:dyDescent="0.3">
      <c r="A637" s="8">
        <v>36</v>
      </c>
      <c r="B637" s="8">
        <v>6</v>
      </c>
      <c r="C637" s="8">
        <v>3598</v>
      </c>
      <c r="D637" s="16">
        <v>2.8840710000000002E-3</v>
      </c>
      <c r="E637">
        <v>1.4420355000000001E-3</v>
      </c>
    </row>
    <row r="638" spans="1:5" x14ac:dyDescent="0.3">
      <c r="A638" s="8">
        <v>36</v>
      </c>
      <c r="B638" s="8">
        <v>7</v>
      </c>
      <c r="C638" s="8">
        <v>3561</v>
      </c>
      <c r="D638" s="16">
        <v>-4.0924530000000001E-2</v>
      </c>
      <c r="E638">
        <v>-2.0462265E-2</v>
      </c>
    </row>
    <row r="639" spans="1:5" x14ac:dyDescent="0.3">
      <c r="A639" s="8">
        <v>36</v>
      </c>
      <c r="B639" s="8">
        <v>8</v>
      </c>
      <c r="C639" s="8">
        <v>3594</v>
      </c>
      <c r="D639" s="16">
        <v>-1.3716529999999999E-2</v>
      </c>
      <c r="E639">
        <v>-6.8582649999999997E-3</v>
      </c>
    </row>
    <row r="640" spans="1:5" x14ac:dyDescent="0.3">
      <c r="A640" s="8">
        <v>36</v>
      </c>
      <c r="B640" s="8">
        <v>9</v>
      </c>
      <c r="C640" s="8">
        <v>3599</v>
      </c>
      <c r="D640" s="16">
        <v>-4.890883E-2</v>
      </c>
      <c r="E640">
        <v>-2.4454415E-2</v>
      </c>
    </row>
    <row r="641" spans="1:5" x14ac:dyDescent="0.3">
      <c r="A641" s="8">
        <v>36</v>
      </c>
      <c r="B641" s="8">
        <v>10</v>
      </c>
      <c r="C641" s="8">
        <v>3613</v>
      </c>
      <c r="D641" s="16">
        <v>-1.6896299999999999E-3</v>
      </c>
      <c r="E641">
        <v>-8.4481499999999995E-4</v>
      </c>
    </row>
    <row r="642" spans="1:5" x14ac:dyDescent="0.3">
      <c r="A642" s="8">
        <v>36</v>
      </c>
      <c r="B642" s="8">
        <v>11</v>
      </c>
      <c r="C642" s="8">
        <v>3593</v>
      </c>
      <c r="D642" s="16">
        <v>-1.920529E-2</v>
      </c>
      <c r="E642">
        <v>-9.6026449999999999E-3</v>
      </c>
    </row>
    <row r="643" spans="1:5" x14ac:dyDescent="0.3">
      <c r="A643" s="8">
        <v>36</v>
      </c>
      <c r="B643" s="8">
        <v>12</v>
      </c>
      <c r="C643" s="8">
        <v>3607</v>
      </c>
      <c r="D643" s="16">
        <v>-1.486702E-2</v>
      </c>
      <c r="E643">
        <v>-7.4335099999999999E-3</v>
      </c>
    </row>
    <row r="644" spans="1:5" x14ac:dyDescent="0.3">
      <c r="A644" s="8">
        <v>36</v>
      </c>
      <c r="B644" s="8">
        <v>13</v>
      </c>
      <c r="C644" s="8">
        <v>3595</v>
      </c>
      <c r="D644" s="16">
        <v>-4.1941590000000003E-3</v>
      </c>
      <c r="E644">
        <v>-2.0970795000000001E-3</v>
      </c>
    </row>
    <row r="645" spans="1:5" x14ac:dyDescent="0.3">
      <c r="A645" s="8">
        <v>36</v>
      </c>
      <c r="B645" s="8">
        <v>14</v>
      </c>
      <c r="C645" s="8">
        <v>3580</v>
      </c>
      <c r="D645" s="16">
        <v>3.1513810000000003E-2</v>
      </c>
      <c r="E645">
        <v>1.5756905000000002E-2</v>
      </c>
    </row>
    <row r="646" spans="1:5" x14ac:dyDescent="0.3">
      <c r="A646" s="8">
        <v>36</v>
      </c>
      <c r="B646" s="8">
        <v>15</v>
      </c>
      <c r="C646" s="8">
        <v>3613</v>
      </c>
      <c r="D646" s="16">
        <v>-1.499015E-3</v>
      </c>
      <c r="E646">
        <v>-7.4950750000000001E-4</v>
      </c>
    </row>
    <row r="647" spans="1:5" x14ac:dyDescent="0.3">
      <c r="A647" s="8">
        <v>36</v>
      </c>
      <c r="B647" s="8">
        <v>16</v>
      </c>
      <c r="C647" s="8">
        <v>3599</v>
      </c>
      <c r="D647" s="16">
        <v>-2.6406240000000001E-2</v>
      </c>
      <c r="E647">
        <v>-1.320312E-2</v>
      </c>
    </row>
    <row r="648" spans="1:5" x14ac:dyDescent="0.3">
      <c r="A648" s="8">
        <v>36</v>
      </c>
      <c r="B648" s="8">
        <v>17</v>
      </c>
      <c r="C648" s="8">
        <v>3605</v>
      </c>
      <c r="D648" s="16">
        <v>1.2745029999999999E-2</v>
      </c>
      <c r="E648">
        <v>6.3725149999999996E-3</v>
      </c>
    </row>
    <row r="649" spans="1:5" x14ac:dyDescent="0.3">
      <c r="A649" s="8">
        <v>36</v>
      </c>
      <c r="B649" s="8">
        <v>18</v>
      </c>
      <c r="C649" s="8">
        <v>3600</v>
      </c>
      <c r="D649" s="16">
        <v>-1.3358760000000001E-2</v>
      </c>
      <c r="E649">
        <v>-6.6793800000000004E-3</v>
      </c>
    </row>
    <row r="650" spans="1:5" x14ac:dyDescent="0.3">
      <c r="A650" s="8">
        <v>36</v>
      </c>
      <c r="B650" s="8">
        <v>19</v>
      </c>
      <c r="C650" s="8">
        <v>3555</v>
      </c>
      <c r="D650" s="16">
        <v>-3.2641570000000002E-2</v>
      </c>
      <c r="E650">
        <v>-1.6320785000000001E-2</v>
      </c>
    </row>
    <row r="651" spans="1:5" x14ac:dyDescent="0.3">
      <c r="A651" s="8">
        <v>36</v>
      </c>
      <c r="B651" s="8">
        <v>20</v>
      </c>
      <c r="C651" s="8">
        <v>3586</v>
      </c>
      <c r="D651" s="16">
        <v>-4.2519340000000003E-2</v>
      </c>
      <c r="E651">
        <v>-2.1259670000000001E-2</v>
      </c>
    </row>
    <row r="652" spans="1:5" x14ac:dyDescent="0.3">
      <c r="A652" s="8">
        <v>36</v>
      </c>
      <c r="B652" s="8">
        <v>21</v>
      </c>
      <c r="C652" s="8">
        <v>3627</v>
      </c>
      <c r="D652" s="16">
        <v>1.6718650000000002E-2</v>
      </c>
      <c r="E652">
        <v>8.3593250000000008E-3</v>
      </c>
    </row>
    <row r="653" spans="1:5" x14ac:dyDescent="0.3">
      <c r="A653" s="8">
        <v>36</v>
      </c>
      <c r="B653" s="8">
        <v>22</v>
      </c>
      <c r="C653" s="8">
        <v>3581</v>
      </c>
      <c r="D653" s="16">
        <v>-1.6723769999999999E-2</v>
      </c>
      <c r="E653">
        <v>-8.3618849999999995E-3</v>
      </c>
    </row>
    <row r="654" spans="1:5" x14ac:dyDescent="0.3">
      <c r="A654" s="8">
        <v>36</v>
      </c>
      <c r="B654" s="8">
        <v>23</v>
      </c>
      <c r="C654" s="8">
        <v>3584</v>
      </c>
      <c r="D654" s="16">
        <v>5.2461469999999996E-3</v>
      </c>
      <c r="E654">
        <v>2.6230734999999998E-3</v>
      </c>
    </row>
    <row r="655" spans="1:5" x14ac:dyDescent="0.3">
      <c r="A655" s="8">
        <v>36</v>
      </c>
      <c r="B655" s="8">
        <v>24</v>
      </c>
      <c r="C655" s="8">
        <v>3612</v>
      </c>
      <c r="D655" s="16">
        <v>-1.6438379999999999E-2</v>
      </c>
      <c r="E655">
        <v>-8.2191899999999995E-3</v>
      </c>
    </row>
    <row r="656" spans="1:5" x14ac:dyDescent="0.3">
      <c r="A656" s="8">
        <v>36</v>
      </c>
      <c r="B656" s="8">
        <v>25</v>
      </c>
      <c r="C656" s="8">
        <v>3588</v>
      </c>
      <c r="D656" s="16">
        <v>-2.164228E-2</v>
      </c>
      <c r="E656">
        <v>-1.082114E-2</v>
      </c>
    </row>
    <row r="657" spans="1:5" x14ac:dyDescent="0.3">
      <c r="A657" s="8">
        <v>36</v>
      </c>
      <c r="B657" s="8">
        <v>26</v>
      </c>
      <c r="C657" s="8">
        <v>3613</v>
      </c>
      <c r="D657" s="16">
        <v>-3.6079880000000002E-2</v>
      </c>
      <c r="E657">
        <v>-1.8039940000000001E-2</v>
      </c>
    </row>
    <row r="658" spans="1:5" x14ac:dyDescent="0.3">
      <c r="A658" s="8">
        <v>36</v>
      </c>
      <c r="B658" s="8">
        <v>27</v>
      </c>
      <c r="C658" s="8">
        <v>3574</v>
      </c>
      <c r="D658" s="16">
        <v>-6.5391970000000001E-3</v>
      </c>
      <c r="E658">
        <v>-3.2695985E-3</v>
      </c>
    </row>
    <row r="659" spans="1:5" x14ac:dyDescent="0.3">
      <c r="A659" s="8">
        <v>36</v>
      </c>
      <c r="B659" s="8">
        <v>28</v>
      </c>
      <c r="C659" s="8">
        <v>3540</v>
      </c>
      <c r="D659" s="16">
        <v>-3.9410090000000002E-2</v>
      </c>
      <c r="E659">
        <v>-1.9705045000000001E-2</v>
      </c>
    </row>
    <row r="660" spans="1:5" x14ac:dyDescent="0.3">
      <c r="A660" s="8">
        <v>36</v>
      </c>
      <c r="B660" s="8">
        <v>29</v>
      </c>
      <c r="C660" s="8">
        <v>3555</v>
      </c>
      <c r="D660" s="16">
        <v>-2.6012219999999999E-2</v>
      </c>
      <c r="E660">
        <v>-1.300611E-2</v>
      </c>
    </row>
    <row r="661" spans="1:5" x14ac:dyDescent="0.3">
      <c r="A661" s="8">
        <v>36</v>
      </c>
      <c r="B661" s="8">
        <v>30</v>
      </c>
      <c r="C661" s="8">
        <v>3554</v>
      </c>
      <c r="D661" s="16">
        <v>1.983505E-2</v>
      </c>
      <c r="E661">
        <v>9.917525E-3</v>
      </c>
    </row>
    <row r="662" spans="1:5" x14ac:dyDescent="0.3">
      <c r="A662" s="8">
        <v>36</v>
      </c>
      <c r="B662" s="8">
        <v>31</v>
      </c>
      <c r="C662" s="8">
        <v>3503</v>
      </c>
      <c r="D662" s="16">
        <v>-4.596861E-2</v>
      </c>
      <c r="E662">
        <v>-2.2984305E-2</v>
      </c>
    </row>
    <row r="663" spans="1:5" x14ac:dyDescent="0.3">
      <c r="A663" s="8">
        <v>36</v>
      </c>
      <c r="B663" s="8">
        <v>32</v>
      </c>
      <c r="C663" s="8">
        <v>3558</v>
      </c>
      <c r="D663" s="16">
        <v>-2.3739989999999999E-2</v>
      </c>
      <c r="E663">
        <v>-1.1869995E-2</v>
      </c>
    </row>
    <row r="664" spans="1:5" x14ac:dyDescent="0.3">
      <c r="A664" s="8">
        <v>36</v>
      </c>
      <c r="B664" s="8">
        <v>33</v>
      </c>
      <c r="C664" s="8">
        <v>3597</v>
      </c>
      <c r="D664" s="16">
        <v>-1.484284E-2</v>
      </c>
      <c r="E664">
        <v>-7.4214199999999998E-3</v>
      </c>
    </row>
    <row r="665" spans="1:5" x14ac:dyDescent="0.3">
      <c r="A665" s="8">
        <v>36</v>
      </c>
      <c r="B665" s="8">
        <v>34</v>
      </c>
      <c r="C665" s="8">
        <v>3583</v>
      </c>
      <c r="D665" s="16">
        <v>8.0493619999999998E-4</v>
      </c>
      <c r="E665">
        <v>4.0246809999999999E-4</v>
      </c>
    </row>
    <row r="666" spans="1:5" x14ac:dyDescent="0.3">
      <c r="A666" s="8">
        <v>36</v>
      </c>
      <c r="B666" s="8">
        <v>35</v>
      </c>
      <c r="C666" s="8">
        <v>3582</v>
      </c>
      <c r="D666" s="16">
        <v>-3.4994919999999999E-2</v>
      </c>
      <c r="E666">
        <v>-1.7497459999999999E-2</v>
      </c>
    </row>
    <row r="667" spans="1:5" x14ac:dyDescent="0.3">
      <c r="A667" s="8">
        <v>36</v>
      </c>
      <c r="B667" s="8">
        <v>36</v>
      </c>
      <c r="C667" s="8">
        <v>3870</v>
      </c>
      <c r="D667" s="16">
        <v>1.0460929999999999</v>
      </c>
      <c r="E667"/>
    </row>
    <row r="668" spans="1:5" x14ac:dyDescent="0.3">
      <c r="A668" s="8">
        <v>37</v>
      </c>
      <c r="B668" s="8">
        <v>1</v>
      </c>
      <c r="C668" s="8">
        <v>3576</v>
      </c>
      <c r="D668" s="16">
        <v>-2.4399359999999998E-2</v>
      </c>
      <c r="E668">
        <v>-1.2199679999999999E-2</v>
      </c>
    </row>
    <row r="669" spans="1:5" x14ac:dyDescent="0.3">
      <c r="A669" s="8">
        <v>37</v>
      </c>
      <c r="B669" s="8">
        <v>2</v>
      </c>
      <c r="C669" s="8">
        <v>3570</v>
      </c>
      <c r="D669" s="16">
        <v>-4.482444E-2</v>
      </c>
      <c r="E669">
        <v>-2.241222E-2</v>
      </c>
    </row>
    <row r="670" spans="1:5" x14ac:dyDescent="0.3">
      <c r="A670" s="8">
        <v>37</v>
      </c>
      <c r="B670" s="8">
        <v>3</v>
      </c>
      <c r="C670" s="8">
        <v>3585</v>
      </c>
      <c r="D670" s="16">
        <v>2.4700099999999999E-3</v>
      </c>
      <c r="E670">
        <v>1.235005E-3</v>
      </c>
    </row>
    <row r="671" spans="1:5" x14ac:dyDescent="0.3">
      <c r="A671" s="8">
        <v>37</v>
      </c>
      <c r="B671" s="8">
        <v>4</v>
      </c>
      <c r="C671" s="8">
        <v>3546</v>
      </c>
      <c r="D671" s="16">
        <v>-2.0420810000000001E-2</v>
      </c>
      <c r="E671">
        <v>-1.0210405000000001E-2</v>
      </c>
    </row>
    <row r="672" spans="1:5" x14ac:dyDescent="0.3">
      <c r="A672" s="8">
        <v>37</v>
      </c>
      <c r="B672" s="8">
        <v>5</v>
      </c>
      <c r="C672" s="8">
        <v>3552</v>
      </c>
      <c r="D672" s="16">
        <v>2.8196240000000001E-2</v>
      </c>
      <c r="E672">
        <v>1.409812E-2</v>
      </c>
    </row>
    <row r="673" spans="1:5" x14ac:dyDescent="0.3">
      <c r="A673" s="8">
        <v>37</v>
      </c>
      <c r="B673" s="8">
        <v>6</v>
      </c>
      <c r="C673" s="8">
        <v>3552</v>
      </c>
      <c r="D673" s="16">
        <v>-4.9629310000000003E-3</v>
      </c>
      <c r="E673">
        <v>-2.4814655000000001E-3</v>
      </c>
    </row>
    <row r="674" spans="1:5" x14ac:dyDescent="0.3">
      <c r="A674" s="8">
        <v>37</v>
      </c>
      <c r="B674" s="8">
        <v>7</v>
      </c>
      <c r="C674" s="8">
        <v>3530</v>
      </c>
      <c r="D674" s="16">
        <v>-3.9078599999999998E-2</v>
      </c>
      <c r="E674">
        <v>-1.9539299999999999E-2</v>
      </c>
    </row>
    <row r="675" spans="1:5" x14ac:dyDescent="0.3">
      <c r="A675" s="8">
        <v>37</v>
      </c>
      <c r="B675" s="8">
        <v>8</v>
      </c>
      <c r="C675" s="8">
        <v>3574</v>
      </c>
      <c r="D675" s="16">
        <v>-2.3590280000000002E-2</v>
      </c>
      <c r="E675">
        <v>-1.1795140000000001E-2</v>
      </c>
    </row>
    <row r="676" spans="1:5" x14ac:dyDescent="0.3">
      <c r="A676" s="8">
        <v>37</v>
      </c>
      <c r="B676" s="8">
        <v>9</v>
      </c>
      <c r="C676" s="8">
        <v>3564</v>
      </c>
      <c r="D676" s="16">
        <v>-5.2283980000000001E-2</v>
      </c>
      <c r="E676">
        <v>-2.614199E-2</v>
      </c>
    </row>
    <row r="677" spans="1:5" x14ac:dyDescent="0.3">
      <c r="A677" s="8">
        <v>37</v>
      </c>
      <c r="B677" s="8">
        <v>10</v>
      </c>
      <c r="C677" s="8">
        <v>3564</v>
      </c>
      <c r="D677" s="16">
        <v>-1.49601E-2</v>
      </c>
      <c r="E677">
        <v>-7.4800500000000002E-3</v>
      </c>
    </row>
    <row r="678" spans="1:5" x14ac:dyDescent="0.3">
      <c r="A678" s="8">
        <v>37</v>
      </c>
      <c r="B678" s="8">
        <v>11</v>
      </c>
      <c r="C678" s="8">
        <v>3571</v>
      </c>
      <c r="D678" s="16">
        <v>-1.260004E-2</v>
      </c>
      <c r="E678">
        <v>-6.3000199999999999E-3</v>
      </c>
    </row>
    <row r="679" spans="1:5" x14ac:dyDescent="0.3">
      <c r="A679" s="8">
        <v>37</v>
      </c>
      <c r="B679" s="8">
        <v>12</v>
      </c>
      <c r="C679" s="8">
        <v>3578</v>
      </c>
      <c r="D679" s="16">
        <v>-1.2543960000000001E-3</v>
      </c>
      <c r="E679">
        <v>-6.2719800000000003E-4</v>
      </c>
    </row>
    <row r="680" spans="1:5" x14ac:dyDescent="0.3">
      <c r="A680" s="8">
        <v>37</v>
      </c>
      <c r="B680" s="8">
        <v>13</v>
      </c>
      <c r="C680" s="8">
        <v>3561</v>
      </c>
      <c r="D680" s="16">
        <v>-5.7830610000000004E-4</v>
      </c>
      <c r="E680">
        <v>-2.8915305000000002E-4</v>
      </c>
    </row>
    <row r="681" spans="1:5" x14ac:dyDescent="0.3">
      <c r="A681" s="8">
        <v>37</v>
      </c>
      <c r="B681" s="8">
        <v>14</v>
      </c>
      <c r="C681" s="8">
        <v>3554</v>
      </c>
      <c r="D681" s="16">
        <v>-2.6991540000000001E-2</v>
      </c>
      <c r="E681">
        <v>-1.3495770000000001E-2</v>
      </c>
    </row>
    <row r="682" spans="1:5" x14ac:dyDescent="0.3">
      <c r="A682" s="8">
        <v>37</v>
      </c>
      <c r="B682" s="8">
        <v>15</v>
      </c>
      <c r="C682" s="8">
        <v>3581</v>
      </c>
      <c r="D682" s="16">
        <v>-2.2234420000000001E-2</v>
      </c>
      <c r="E682">
        <v>-1.1117210000000001E-2</v>
      </c>
    </row>
    <row r="683" spans="1:5" x14ac:dyDescent="0.3">
      <c r="A683" s="8">
        <v>37</v>
      </c>
      <c r="B683" s="8">
        <v>16</v>
      </c>
      <c r="C683" s="8">
        <v>3555</v>
      </c>
      <c r="D683" s="16">
        <v>3.7753780000000001E-2</v>
      </c>
      <c r="E683">
        <v>1.887689E-2</v>
      </c>
    </row>
    <row r="684" spans="1:5" x14ac:dyDescent="0.3">
      <c r="A684" s="8">
        <v>37</v>
      </c>
      <c r="B684" s="8">
        <v>17</v>
      </c>
      <c r="C684" s="8">
        <v>3571</v>
      </c>
      <c r="D684" s="16">
        <v>-2.3719560000000001E-2</v>
      </c>
      <c r="E684">
        <v>-1.185978E-2</v>
      </c>
    </row>
    <row r="685" spans="1:5" x14ac:dyDescent="0.3">
      <c r="A685" s="8">
        <v>37</v>
      </c>
      <c r="B685" s="8">
        <v>18</v>
      </c>
      <c r="C685" s="8">
        <v>3570</v>
      </c>
      <c r="D685" s="16">
        <v>-1.098271E-2</v>
      </c>
      <c r="E685">
        <v>-5.4913549999999998E-3</v>
      </c>
    </row>
    <row r="686" spans="1:5" x14ac:dyDescent="0.3">
      <c r="A686" s="8">
        <v>37</v>
      </c>
      <c r="B686" s="8">
        <v>19</v>
      </c>
      <c r="C686" s="8">
        <v>3547</v>
      </c>
      <c r="D686" s="16">
        <v>-1.7946420000000001E-2</v>
      </c>
      <c r="E686">
        <v>-8.9732100000000006E-3</v>
      </c>
    </row>
    <row r="687" spans="1:5" x14ac:dyDescent="0.3">
      <c r="A687" s="8">
        <v>37</v>
      </c>
      <c r="B687" s="8">
        <v>20</v>
      </c>
      <c r="C687" s="8">
        <v>3537</v>
      </c>
      <c r="D687" s="16">
        <v>3.9245030000000002E-3</v>
      </c>
      <c r="E687">
        <v>1.9622515000000001E-3</v>
      </c>
    </row>
    <row r="688" spans="1:5" x14ac:dyDescent="0.3">
      <c r="A688" s="8">
        <v>37</v>
      </c>
      <c r="B688" s="8">
        <v>21</v>
      </c>
      <c r="C688" s="8">
        <v>3593</v>
      </c>
      <c r="D688" s="16">
        <v>-1.577672E-3</v>
      </c>
      <c r="E688">
        <v>-7.8883600000000001E-4</v>
      </c>
    </row>
    <row r="689" spans="1:5" x14ac:dyDescent="0.3">
      <c r="A689" s="8">
        <v>37</v>
      </c>
      <c r="B689" s="8">
        <v>22</v>
      </c>
      <c r="C689" s="8">
        <v>3555</v>
      </c>
      <c r="D689" s="16">
        <v>-2.145128E-2</v>
      </c>
      <c r="E689">
        <v>-1.072564E-2</v>
      </c>
    </row>
    <row r="690" spans="1:5" x14ac:dyDescent="0.3">
      <c r="A690" s="8">
        <v>37</v>
      </c>
      <c r="B690" s="8">
        <v>23</v>
      </c>
      <c r="C690" s="8">
        <v>3548</v>
      </c>
      <c r="D690" s="16">
        <v>1.5384470000000001E-2</v>
      </c>
      <c r="E690">
        <v>7.6922350000000004E-3</v>
      </c>
    </row>
    <row r="691" spans="1:5" x14ac:dyDescent="0.3">
      <c r="A691" s="8">
        <v>37</v>
      </c>
      <c r="B691" s="8">
        <v>24</v>
      </c>
      <c r="C691" s="8">
        <v>3584</v>
      </c>
      <c r="D691" s="16">
        <v>1.487755E-2</v>
      </c>
      <c r="E691">
        <v>7.4387749999999999E-3</v>
      </c>
    </row>
    <row r="692" spans="1:5" x14ac:dyDescent="0.3">
      <c r="A692" s="8">
        <v>37</v>
      </c>
      <c r="B692" s="8">
        <v>25</v>
      </c>
      <c r="C692" s="8">
        <v>3544</v>
      </c>
      <c r="D692" s="16">
        <v>-8.3308659999999993E-3</v>
      </c>
      <c r="E692">
        <v>-4.1654329999999996E-3</v>
      </c>
    </row>
    <row r="693" spans="1:5" x14ac:dyDescent="0.3">
      <c r="A693" s="8">
        <v>37</v>
      </c>
      <c r="B693" s="8">
        <v>26</v>
      </c>
      <c r="C693" s="8">
        <v>3590</v>
      </c>
      <c r="D693" s="16">
        <v>7.3627780000000004E-3</v>
      </c>
      <c r="E693">
        <v>3.6813890000000002E-3</v>
      </c>
    </row>
    <row r="694" spans="1:5" x14ac:dyDescent="0.3">
      <c r="A694" s="8">
        <v>37</v>
      </c>
      <c r="B694" s="8">
        <v>27</v>
      </c>
      <c r="C694" s="8">
        <v>3552</v>
      </c>
      <c r="D694" s="16">
        <v>-2.0176960000000001E-2</v>
      </c>
      <c r="E694">
        <v>-1.008848E-2</v>
      </c>
    </row>
    <row r="695" spans="1:5" x14ac:dyDescent="0.3">
      <c r="A695" s="8">
        <v>37</v>
      </c>
      <c r="B695" s="8">
        <v>28</v>
      </c>
      <c r="C695" s="8">
        <v>3509</v>
      </c>
      <c r="D695" s="16">
        <v>-2.326431E-2</v>
      </c>
      <c r="E695">
        <v>-1.1632155E-2</v>
      </c>
    </row>
    <row r="696" spans="1:5" x14ac:dyDescent="0.3">
      <c r="A696" s="8">
        <v>37</v>
      </c>
      <c r="B696" s="8">
        <v>29</v>
      </c>
      <c r="C696" s="8">
        <v>3534</v>
      </c>
      <c r="D696" s="16">
        <v>-1.155775E-2</v>
      </c>
      <c r="E696">
        <v>-5.7788750000000002E-3</v>
      </c>
    </row>
    <row r="697" spans="1:5" x14ac:dyDescent="0.3">
      <c r="A697" s="8">
        <v>37</v>
      </c>
      <c r="B697" s="8">
        <v>30</v>
      </c>
      <c r="C697" s="8">
        <v>3542</v>
      </c>
      <c r="D697" s="16">
        <v>-2.4421370000000001E-2</v>
      </c>
      <c r="E697">
        <v>-1.2210685000000001E-2</v>
      </c>
    </row>
    <row r="698" spans="1:5" x14ac:dyDescent="0.3">
      <c r="A698" s="8">
        <v>37</v>
      </c>
      <c r="B698" s="8">
        <v>31</v>
      </c>
      <c r="C698" s="8">
        <v>3479</v>
      </c>
      <c r="D698" s="16">
        <v>-2.4395509999999999E-2</v>
      </c>
      <c r="E698">
        <v>-1.2197754999999999E-2</v>
      </c>
    </row>
    <row r="699" spans="1:5" x14ac:dyDescent="0.3">
      <c r="A699" s="8">
        <v>37</v>
      </c>
      <c r="B699" s="8">
        <v>32</v>
      </c>
      <c r="C699" s="8">
        <v>3540</v>
      </c>
      <c r="D699" s="16">
        <v>6.3118519999999997E-2</v>
      </c>
      <c r="E699">
        <v>3.1559259999999999E-2</v>
      </c>
    </row>
    <row r="700" spans="1:5" x14ac:dyDescent="0.3">
      <c r="A700" s="8">
        <v>37</v>
      </c>
      <c r="B700" s="8">
        <v>33</v>
      </c>
      <c r="C700" s="8">
        <v>3579</v>
      </c>
      <c r="D700" s="16">
        <v>-2.3960909999999998E-2</v>
      </c>
      <c r="E700">
        <v>-1.1980454999999999E-2</v>
      </c>
    </row>
    <row r="701" spans="1:5" x14ac:dyDescent="0.3">
      <c r="A701" s="8">
        <v>37</v>
      </c>
      <c r="B701" s="8">
        <v>34</v>
      </c>
      <c r="C701" s="8">
        <v>3579</v>
      </c>
      <c r="D701" s="16">
        <v>-2.8399259999999999E-2</v>
      </c>
      <c r="E701">
        <v>-1.419963E-2</v>
      </c>
    </row>
    <row r="702" spans="1:5" x14ac:dyDescent="0.3">
      <c r="A702" s="8">
        <v>37</v>
      </c>
      <c r="B702" s="8">
        <v>35</v>
      </c>
      <c r="C702" s="8">
        <v>3555</v>
      </c>
      <c r="D702" s="16">
        <v>2.184649E-2</v>
      </c>
      <c r="E702">
        <v>1.0923245E-2</v>
      </c>
    </row>
    <row r="703" spans="1:5" x14ac:dyDescent="0.3">
      <c r="A703" s="8">
        <v>37</v>
      </c>
      <c r="B703" s="8">
        <v>36</v>
      </c>
      <c r="C703" s="8">
        <v>3558</v>
      </c>
      <c r="D703" s="16">
        <v>1.2995690000000001E-2</v>
      </c>
      <c r="E703">
        <v>6.4978450000000004E-3</v>
      </c>
    </row>
    <row r="704" spans="1:5" x14ac:dyDescent="0.3">
      <c r="A704" s="8">
        <v>37</v>
      </c>
      <c r="B704" s="8">
        <v>37</v>
      </c>
      <c r="C704" s="8">
        <v>3839</v>
      </c>
      <c r="D704" s="16">
        <v>0.98527480000000001</v>
      </c>
      <c r="E704"/>
    </row>
    <row r="705" spans="1:5" x14ac:dyDescent="0.3">
      <c r="A705" s="8">
        <v>38</v>
      </c>
      <c r="B705" s="8">
        <v>1</v>
      </c>
      <c r="C705" s="8">
        <v>3641</v>
      </c>
      <c r="D705" s="16">
        <v>-3.8810030000000001E-3</v>
      </c>
      <c r="E705">
        <v>-1.9405015E-3</v>
      </c>
    </row>
    <row r="706" spans="1:5" x14ac:dyDescent="0.3">
      <c r="A706" s="8">
        <v>38</v>
      </c>
      <c r="B706" s="8">
        <v>2</v>
      </c>
      <c r="C706" s="8">
        <v>3623</v>
      </c>
      <c r="D706" s="16">
        <v>9.2484830000000001E-3</v>
      </c>
      <c r="E706">
        <v>4.6242415E-3</v>
      </c>
    </row>
    <row r="707" spans="1:5" x14ac:dyDescent="0.3">
      <c r="A707" s="8">
        <v>38</v>
      </c>
      <c r="B707" s="8">
        <v>3</v>
      </c>
      <c r="C707" s="8">
        <v>3641</v>
      </c>
      <c r="D707" s="16">
        <v>-2.2969469999999999E-2</v>
      </c>
      <c r="E707">
        <v>-1.1484734999999999E-2</v>
      </c>
    </row>
    <row r="708" spans="1:5" x14ac:dyDescent="0.3">
      <c r="A708" s="8">
        <v>38</v>
      </c>
      <c r="B708" s="8">
        <v>4</v>
      </c>
      <c r="C708" s="8">
        <v>3590</v>
      </c>
      <c r="D708" s="16">
        <v>-1.014315E-2</v>
      </c>
      <c r="E708">
        <v>-5.071575E-3</v>
      </c>
    </row>
    <row r="709" spans="1:5" x14ac:dyDescent="0.3">
      <c r="A709" s="8">
        <v>38</v>
      </c>
      <c r="B709" s="8">
        <v>5</v>
      </c>
      <c r="C709" s="8">
        <v>3608</v>
      </c>
      <c r="D709" s="16">
        <v>-2.3720459999999999E-2</v>
      </c>
      <c r="E709">
        <v>-1.1860229999999999E-2</v>
      </c>
    </row>
    <row r="710" spans="1:5" x14ac:dyDescent="0.3">
      <c r="A710" s="8">
        <v>38</v>
      </c>
      <c r="B710" s="8">
        <v>6</v>
      </c>
      <c r="C710" s="8">
        <v>3609</v>
      </c>
      <c r="D710" s="16">
        <v>9.0864420000000001E-3</v>
      </c>
      <c r="E710">
        <v>4.5432210000000001E-3</v>
      </c>
    </row>
    <row r="711" spans="1:5" x14ac:dyDescent="0.3">
      <c r="A711" s="8">
        <v>38</v>
      </c>
      <c r="B711" s="8">
        <v>7</v>
      </c>
      <c r="C711" s="8">
        <v>3583</v>
      </c>
      <c r="D711" s="16">
        <v>-1.0334640000000001E-2</v>
      </c>
      <c r="E711">
        <v>-5.1673200000000004E-3</v>
      </c>
    </row>
    <row r="712" spans="1:5" x14ac:dyDescent="0.3">
      <c r="A712" s="8">
        <v>38</v>
      </c>
      <c r="B712" s="8">
        <v>8</v>
      </c>
      <c r="C712" s="8">
        <v>3620</v>
      </c>
      <c r="D712" s="16">
        <v>-5.058907E-2</v>
      </c>
      <c r="E712">
        <v>-2.5294535E-2</v>
      </c>
    </row>
    <row r="713" spans="1:5" x14ac:dyDescent="0.3">
      <c r="A713" s="8">
        <v>38</v>
      </c>
      <c r="B713" s="8">
        <v>9</v>
      </c>
      <c r="C713" s="8">
        <v>3618</v>
      </c>
      <c r="D713" s="16">
        <v>-3.1655269999999999E-2</v>
      </c>
      <c r="E713">
        <v>-1.5827635E-2</v>
      </c>
    </row>
    <row r="714" spans="1:5" x14ac:dyDescent="0.3">
      <c r="A714" s="8">
        <v>38</v>
      </c>
      <c r="B714" s="8">
        <v>10</v>
      </c>
      <c r="C714" s="8">
        <v>3624</v>
      </c>
      <c r="D714" s="16">
        <v>-2.2773749999999999E-2</v>
      </c>
      <c r="E714">
        <v>-1.1386874999999999E-2</v>
      </c>
    </row>
    <row r="715" spans="1:5" x14ac:dyDescent="0.3">
      <c r="A715" s="8">
        <v>38</v>
      </c>
      <c r="B715" s="8">
        <v>11</v>
      </c>
      <c r="C715" s="8">
        <v>3621</v>
      </c>
      <c r="D715" s="16">
        <v>-4.3245840000000001E-2</v>
      </c>
      <c r="E715">
        <v>-2.162292E-2</v>
      </c>
    </row>
    <row r="716" spans="1:5" x14ac:dyDescent="0.3">
      <c r="A716" s="8">
        <v>38</v>
      </c>
      <c r="B716" s="8">
        <v>12</v>
      </c>
      <c r="C716" s="8">
        <v>3627</v>
      </c>
      <c r="D716" s="16">
        <v>-2.7018730000000001E-2</v>
      </c>
      <c r="E716">
        <v>-1.3509365000000001E-2</v>
      </c>
    </row>
    <row r="717" spans="1:5" x14ac:dyDescent="0.3">
      <c r="A717" s="8">
        <v>38</v>
      </c>
      <c r="B717" s="8">
        <v>13</v>
      </c>
      <c r="C717" s="8">
        <v>3608</v>
      </c>
      <c r="D717" s="16">
        <v>-4.9506430000000002E-3</v>
      </c>
      <c r="E717">
        <v>-2.4753215000000001E-3</v>
      </c>
    </row>
    <row r="718" spans="1:5" x14ac:dyDescent="0.3">
      <c r="A718" s="8">
        <v>38</v>
      </c>
      <c r="B718" s="8">
        <v>14</v>
      </c>
      <c r="C718" s="8">
        <v>3609</v>
      </c>
      <c r="D718" s="16">
        <v>-1.089707E-2</v>
      </c>
      <c r="E718">
        <v>-5.448535E-3</v>
      </c>
    </row>
    <row r="719" spans="1:5" x14ac:dyDescent="0.3">
      <c r="A719" s="8">
        <v>38</v>
      </c>
      <c r="B719" s="8">
        <v>15</v>
      </c>
      <c r="C719" s="8">
        <v>3624</v>
      </c>
      <c r="D719" s="16">
        <v>-3.8580569999999998E-3</v>
      </c>
      <c r="E719">
        <v>-1.9290284999999999E-3</v>
      </c>
    </row>
    <row r="720" spans="1:5" x14ac:dyDescent="0.3">
      <c r="A720" s="8">
        <v>38</v>
      </c>
      <c r="B720" s="8">
        <v>16</v>
      </c>
      <c r="C720" s="8">
        <v>3605</v>
      </c>
      <c r="D720" s="16">
        <v>-1.6629359999999999E-2</v>
      </c>
      <c r="E720">
        <v>-8.3146799999999996E-3</v>
      </c>
    </row>
    <row r="721" spans="1:5" x14ac:dyDescent="0.3">
      <c r="A721" s="8">
        <v>38</v>
      </c>
      <c r="B721" s="8">
        <v>17</v>
      </c>
      <c r="C721" s="8">
        <v>3622</v>
      </c>
      <c r="D721" s="16">
        <v>-2.0902960000000002E-2</v>
      </c>
      <c r="E721">
        <v>-1.0451480000000001E-2</v>
      </c>
    </row>
    <row r="722" spans="1:5" x14ac:dyDescent="0.3">
      <c r="A722" s="8">
        <v>38</v>
      </c>
      <c r="B722" s="8">
        <v>18</v>
      </c>
      <c r="C722" s="8">
        <v>3621</v>
      </c>
      <c r="D722" s="16">
        <v>-2.6669729999999999E-2</v>
      </c>
      <c r="E722">
        <v>-1.3334865E-2</v>
      </c>
    </row>
    <row r="723" spans="1:5" x14ac:dyDescent="0.3">
      <c r="A723" s="8">
        <v>38</v>
      </c>
      <c r="B723" s="8">
        <v>19</v>
      </c>
      <c r="C723" s="8">
        <v>3582</v>
      </c>
      <c r="D723" s="16">
        <v>-2.7292770000000001E-2</v>
      </c>
      <c r="E723">
        <v>-1.3646385E-2</v>
      </c>
    </row>
    <row r="724" spans="1:5" x14ac:dyDescent="0.3">
      <c r="A724" s="8">
        <v>38</v>
      </c>
      <c r="B724" s="8">
        <v>20</v>
      </c>
      <c r="C724" s="8">
        <v>3601</v>
      </c>
      <c r="D724" s="16">
        <v>3.3495829999999997E-2</v>
      </c>
      <c r="E724">
        <v>1.6747914999999999E-2</v>
      </c>
    </row>
    <row r="725" spans="1:5" x14ac:dyDescent="0.3">
      <c r="A725" s="8">
        <v>38</v>
      </c>
      <c r="B725" s="8">
        <v>21</v>
      </c>
      <c r="C725" s="8">
        <v>3656</v>
      </c>
      <c r="D725" s="16">
        <v>1.280189E-2</v>
      </c>
      <c r="E725">
        <v>6.4009449999999999E-3</v>
      </c>
    </row>
    <row r="726" spans="1:5" x14ac:dyDescent="0.3">
      <c r="A726" s="8">
        <v>38</v>
      </c>
      <c r="B726" s="8">
        <v>22</v>
      </c>
      <c r="C726" s="8">
        <v>3597</v>
      </c>
      <c r="D726" s="16">
        <v>-3.5782649999999999E-2</v>
      </c>
      <c r="E726">
        <v>-1.7891325E-2</v>
      </c>
    </row>
    <row r="727" spans="1:5" x14ac:dyDescent="0.3">
      <c r="A727" s="8">
        <v>38</v>
      </c>
      <c r="B727" s="8">
        <v>23</v>
      </c>
      <c r="C727" s="8">
        <v>3615</v>
      </c>
      <c r="D727" s="16">
        <v>-2.4320749999999999E-2</v>
      </c>
      <c r="E727">
        <v>-1.2160374999999999E-2</v>
      </c>
    </row>
    <row r="728" spans="1:5" x14ac:dyDescent="0.3">
      <c r="A728" s="8">
        <v>38</v>
      </c>
      <c r="B728" s="8">
        <v>24</v>
      </c>
      <c r="C728" s="8">
        <v>3627</v>
      </c>
      <c r="D728" s="16">
        <v>-4.9795190000000003E-2</v>
      </c>
      <c r="E728">
        <v>-2.4897595000000002E-2</v>
      </c>
    </row>
    <row r="729" spans="1:5" x14ac:dyDescent="0.3">
      <c r="A729" s="8">
        <v>38</v>
      </c>
      <c r="B729" s="8">
        <v>25</v>
      </c>
      <c r="C729" s="8">
        <v>3597</v>
      </c>
      <c r="D729" s="16">
        <v>5.7138409999999999E-3</v>
      </c>
      <c r="E729">
        <v>2.8569204999999999E-3</v>
      </c>
    </row>
    <row r="730" spans="1:5" x14ac:dyDescent="0.3">
      <c r="A730" s="8">
        <v>38</v>
      </c>
      <c r="B730" s="8">
        <v>26</v>
      </c>
      <c r="C730" s="8">
        <v>3637</v>
      </c>
      <c r="D730" s="16">
        <v>-1.4529490000000001E-2</v>
      </c>
      <c r="E730">
        <v>-7.2647450000000004E-3</v>
      </c>
    </row>
    <row r="731" spans="1:5" x14ac:dyDescent="0.3">
      <c r="A731" s="8">
        <v>38</v>
      </c>
      <c r="B731" s="8">
        <v>27</v>
      </c>
      <c r="C731" s="8">
        <v>3606</v>
      </c>
      <c r="D731" s="16">
        <v>-1.6131309999999999E-2</v>
      </c>
      <c r="E731">
        <v>-8.0656549999999997E-3</v>
      </c>
    </row>
    <row r="732" spans="1:5" x14ac:dyDescent="0.3">
      <c r="A732" s="8">
        <v>38</v>
      </c>
      <c r="B732" s="8">
        <v>28</v>
      </c>
      <c r="C732" s="8">
        <v>3555</v>
      </c>
      <c r="D732" s="16">
        <v>-2.9787469999999999E-3</v>
      </c>
      <c r="E732">
        <v>-1.4893735E-3</v>
      </c>
    </row>
    <row r="733" spans="1:5" x14ac:dyDescent="0.3">
      <c r="A733" s="8">
        <v>38</v>
      </c>
      <c r="B733" s="8">
        <v>29</v>
      </c>
      <c r="C733" s="8">
        <v>3585</v>
      </c>
      <c r="D733" s="16">
        <v>-8.4656000000000002E-3</v>
      </c>
      <c r="E733">
        <v>-4.2328000000000001E-3</v>
      </c>
    </row>
    <row r="734" spans="1:5" x14ac:dyDescent="0.3">
      <c r="A734" s="8">
        <v>38</v>
      </c>
      <c r="B734" s="8">
        <v>30</v>
      </c>
      <c r="C734" s="8">
        <v>3587</v>
      </c>
      <c r="D734" s="16">
        <v>-8.3713409999999992E-3</v>
      </c>
      <c r="E734">
        <v>-4.1856704999999996E-3</v>
      </c>
    </row>
    <row r="735" spans="1:5" x14ac:dyDescent="0.3">
      <c r="A735" s="8">
        <v>38</v>
      </c>
      <c r="B735" s="8">
        <v>31</v>
      </c>
      <c r="C735" s="8">
        <v>3517</v>
      </c>
      <c r="D735" s="16">
        <v>-1.499895E-2</v>
      </c>
      <c r="E735">
        <v>-7.4994750000000002E-3</v>
      </c>
    </row>
    <row r="736" spans="1:5" x14ac:dyDescent="0.3">
      <c r="A736" s="8">
        <v>38</v>
      </c>
      <c r="B736" s="8">
        <v>32</v>
      </c>
      <c r="C736" s="8">
        <v>3582</v>
      </c>
      <c r="D736" s="16">
        <v>5.3438699999999997E-3</v>
      </c>
      <c r="E736">
        <v>2.6719349999999998E-3</v>
      </c>
    </row>
    <row r="737" spans="1:5" x14ac:dyDescent="0.3">
      <c r="A737" s="8">
        <v>38</v>
      </c>
      <c r="B737" s="8">
        <v>33</v>
      </c>
      <c r="C737" s="8">
        <v>3624</v>
      </c>
      <c r="D737" s="16">
        <v>-4.2155220000000002E-3</v>
      </c>
      <c r="E737">
        <v>-2.1077610000000001E-3</v>
      </c>
    </row>
    <row r="738" spans="1:5" x14ac:dyDescent="0.3">
      <c r="A738" s="8">
        <v>38</v>
      </c>
      <c r="B738" s="8">
        <v>34</v>
      </c>
      <c r="C738" s="8">
        <v>3625</v>
      </c>
      <c r="D738" s="16">
        <v>-2.4795660000000001E-2</v>
      </c>
      <c r="E738">
        <v>-1.239783E-2</v>
      </c>
    </row>
    <row r="739" spans="1:5" x14ac:dyDescent="0.3">
      <c r="A739" s="8">
        <v>38</v>
      </c>
      <c r="B739" s="8">
        <v>35</v>
      </c>
      <c r="C739" s="8">
        <v>3601</v>
      </c>
      <c r="D739" s="16">
        <v>1.7480590000000001E-2</v>
      </c>
      <c r="E739">
        <v>8.7402950000000004E-3</v>
      </c>
    </row>
    <row r="740" spans="1:5" x14ac:dyDescent="0.3">
      <c r="A740" s="8">
        <v>38</v>
      </c>
      <c r="B740" s="8">
        <v>36</v>
      </c>
      <c r="C740" s="8">
        <v>3604</v>
      </c>
      <c r="D740" s="16">
        <v>-4.1779879999999998E-2</v>
      </c>
      <c r="E740">
        <v>-2.0889939999999999E-2</v>
      </c>
    </row>
    <row r="741" spans="1:5" x14ac:dyDescent="0.3">
      <c r="A741" s="8">
        <v>38</v>
      </c>
      <c r="B741" s="8">
        <v>37</v>
      </c>
      <c r="C741" s="8">
        <v>3585</v>
      </c>
      <c r="D741" s="16">
        <v>1.4670110000000001E-3</v>
      </c>
      <c r="E741">
        <v>7.3350550000000003E-4</v>
      </c>
    </row>
    <row r="742" spans="1:5" x14ac:dyDescent="0.3">
      <c r="A742" s="8">
        <v>38</v>
      </c>
      <c r="B742" s="8">
        <v>38</v>
      </c>
      <c r="C742" s="8">
        <v>3895</v>
      </c>
      <c r="D742" s="16">
        <v>0.94694769999999995</v>
      </c>
      <c r="E742"/>
    </row>
    <row r="743" spans="1:5" x14ac:dyDescent="0.3">
      <c r="A743" s="8">
        <v>39</v>
      </c>
      <c r="B743" s="8">
        <v>1</v>
      </c>
      <c r="C743" s="8">
        <v>3611</v>
      </c>
      <c r="D743" s="16">
        <v>1.6127610000000001E-2</v>
      </c>
      <c r="E743">
        <v>8.0638050000000003E-3</v>
      </c>
    </row>
    <row r="744" spans="1:5" x14ac:dyDescent="0.3">
      <c r="A744" s="8">
        <v>39</v>
      </c>
      <c r="B744" s="8">
        <v>2</v>
      </c>
      <c r="C744" s="8">
        <v>3600</v>
      </c>
      <c r="D744" s="16">
        <v>2.4482259999999999E-2</v>
      </c>
      <c r="E744">
        <v>1.2241129999999999E-2</v>
      </c>
    </row>
    <row r="745" spans="1:5" x14ac:dyDescent="0.3">
      <c r="A745" s="8">
        <v>39</v>
      </c>
      <c r="B745" s="8">
        <v>3</v>
      </c>
      <c r="C745" s="8">
        <v>3607</v>
      </c>
      <c r="D745" s="16">
        <v>-5.4540270000000002E-2</v>
      </c>
      <c r="E745">
        <v>-2.7270135000000001E-2</v>
      </c>
    </row>
    <row r="746" spans="1:5" x14ac:dyDescent="0.3">
      <c r="A746" s="8">
        <v>39</v>
      </c>
      <c r="B746" s="8">
        <v>4</v>
      </c>
      <c r="C746" s="8">
        <v>3583</v>
      </c>
      <c r="D746" s="16">
        <v>-2.0327930000000001E-2</v>
      </c>
      <c r="E746">
        <v>-1.0163965E-2</v>
      </c>
    </row>
    <row r="747" spans="1:5" x14ac:dyDescent="0.3">
      <c r="A747" s="8">
        <v>39</v>
      </c>
      <c r="B747" s="8">
        <v>5</v>
      </c>
      <c r="C747" s="8">
        <v>3594</v>
      </c>
      <c r="D747" s="16">
        <v>-3.2228840000000002E-2</v>
      </c>
      <c r="E747">
        <v>-1.6114420000000001E-2</v>
      </c>
    </row>
    <row r="748" spans="1:5" x14ac:dyDescent="0.3">
      <c r="A748" s="8">
        <v>39</v>
      </c>
      <c r="B748" s="8">
        <v>6</v>
      </c>
      <c r="C748" s="8">
        <v>3600</v>
      </c>
      <c r="D748" s="16">
        <v>7.5613039999999996E-3</v>
      </c>
      <c r="E748">
        <v>3.7806519999999998E-3</v>
      </c>
    </row>
    <row r="749" spans="1:5" x14ac:dyDescent="0.3">
      <c r="A749" s="8">
        <v>39</v>
      </c>
      <c r="B749" s="8">
        <v>7</v>
      </c>
      <c r="C749" s="8">
        <v>3564</v>
      </c>
      <c r="D749" s="16">
        <v>-1.455585E-2</v>
      </c>
      <c r="E749">
        <v>-7.2779250000000002E-3</v>
      </c>
    </row>
    <row r="750" spans="1:5" x14ac:dyDescent="0.3">
      <c r="A750" s="8">
        <v>39</v>
      </c>
      <c r="B750" s="8">
        <v>8</v>
      </c>
      <c r="C750" s="8">
        <v>3593</v>
      </c>
      <c r="D750" s="16">
        <v>-5.1491219999999999E-3</v>
      </c>
      <c r="E750">
        <v>-2.574561E-3</v>
      </c>
    </row>
    <row r="751" spans="1:5" x14ac:dyDescent="0.3">
      <c r="A751" s="8">
        <v>39</v>
      </c>
      <c r="B751" s="8">
        <v>9</v>
      </c>
      <c r="C751" s="8">
        <v>3618</v>
      </c>
      <c r="D751" s="16">
        <v>-2.6071939999999998E-2</v>
      </c>
      <c r="E751">
        <v>-1.3035969999999999E-2</v>
      </c>
    </row>
    <row r="752" spans="1:5" x14ac:dyDescent="0.3">
      <c r="A752" s="8">
        <v>39</v>
      </c>
      <c r="B752" s="8">
        <v>10</v>
      </c>
      <c r="C752" s="8">
        <v>3609</v>
      </c>
      <c r="D752" s="16">
        <v>-3.8023920000000003E-2</v>
      </c>
      <c r="E752">
        <v>-1.9011960000000001E-2</v>
      </c>
    </row>
    <row r="753" spans="1:5" x14ac:dyDescent="0.3">
      <c r="A753" s="8">
        <v>39</v>
      </c>
      <c r="B753" s="8">
        <v>11</v>
      </c>
      <c r="C753" s="8">
        <v>3595</v>
      </c>
      <c r="D753" s="16">
        <v>1.6766909999999999E-2</v>
      </c>
      <c r="E753">
        <v>8.3834549999999997E-3</v>
      </c>
    </row>
    <row r="754" spans="1:5" x14ac:dyDescent="0.3">
      <c r="A754" s="8">
        <v>39</v>
      </c>
      <c r="B754" s="8">
        <v>12</v>
      </c>
      <c r="C754" s="8">
        <v>3616</v>
      </c>
      <c r="D754" s="16">
        <v>-2.3831979999999999E-2</v>
      </c>
      <c r="E754">
        <v>-1.191599E-2</v>
      </c>
    </row>
    <row r="755" spans="1:5" x14ac:dyDescent="0.3">
      <c r="A755" s="8">
        <v>39</v>
      </c>
      <c r="B755" s="8">
        <v>13</v>
      </c>
      <c r="C755" s="8">
        <v>3595</v>
      </c>
      <c r="D755" s="16">
        <v>2.7836429999999999E-2</v>
      </c>
      <c r="E755">
        <v>1.3918214999999999E-2</v>
      </c>
    </row>
    <row r="756" spans="1:5" x14ac:dyDescent="0.3">
      <c r="A756" s="8">
        <v>39</v>
      </c>
      <c r="B756" s="8">
        <v>14</v>
      </c>
      <c r="C756" s="8">
        <v>3585</v>
      </c>
      <c r="D756" s="16">
        <v>3.8742450000000001E-3</v>
      </c>
      <c r="E756">
        <v>1.9371225000000001E-3</v>
      </c>
    </row>
    <row r="757" spans="1:5" x14ac:dyDescent="0.3">
      <c r="A757" s="8">
        <v>39</v>
      </c>
      <c r="B757" s="8">
        <v>15</v>
      </c>
      <c r="C757" s="8">
        <v>3620</v>
      </c>
      <c r="D757" s="16">
        <v>-7.8854259999999992E-3</v>
      </c>
      <c r="E757">
        <v>-3.9427129999999996E-3</v>
      </c>
    </row>
    <row r="758" spans="1:5" x14ac:dyDescent="0.3">
      <c r="A758" s="8">
        <v>39</v>
      </c>
      <c r="B758" s="8">
        <v>16</v>
      </c>
      <c r="C758" s="8">
        <v>3587</v>
      </c>
      <c r="D758" s="16">
        <v>-3.1141849999999999E-2</v>
      </c>
      <c r="E758">
        <v>-1.5570924999999999E-2</v>
      </c>
    </row>
    <row r="759" spans="1:5" x14ac:dyDescent="0.3">
      <c r="A759" s="8">
        <v>39</v>
      </c>
      <c r="B759" s="8">
        <v>17</v>
      </c>
      <c r="C759" s="8">
        <v>3608</v>
      </c>
      <c r="D759" s="16">
        <v>-1.8854539999999999E-2</v>
      </c>
      <c r="E759">
        <v>-9.4272699999999997E-3</v>
      </c>
    </row>
    <row r="760" spans="1:5" x14ac:dyDescent="0.3">
      <c r="A760" s="8">
        <v>39</v>
      </c>
      <c r="B760" s="8">
        <v>18</v>
      </c>
      <c r="C760" s="8">
        <v>3602</v>
      </c>
      <c r="D760" s="16">
        <v>2.1012860000000001E-2</v>
      </c>
      <c r="E760">
        <v>1.0506430000000001E-2</v>
      </c>
    </row>
    <row r="761" spans="1:5" x14ac:dyDescent="0.3">
      <c r="A761" s="8">
        <v>39</v>
      </c>
      <c r="B761" s="8">
        <v>19</v>
      </c>
      <c r="C761" s="8">
        <v>3560</v>
      </c>
      <c r="D761" s="16">
        <v>-3.2068529999999998E-2</v>
      </c>
      <c r="E761">
        <v>-1.6034264999999999E-2</v>
      </c>
    </row>
    <row r="762" spans="1:5" x14ac:dyDescent="0.3">
      <c r="A762" s="8">
        <v>39</v>
      </c>
      <c r="B762" s="8">
        <v>20</v>
      </c>
      <c r="C762" s="8">
        <v>3585</v>
      </c>
      <c r="D762" s="16">
        <v>-4.3889039999999997E-2</v>
      </c>
      <c r="E762">
        <v>-2.1944519999999999E-2</v>
      </c>
    </row>
    <row r="763" spans="1:5" x14ac:dyDescent="0.3">
      <c r="A763" s="8">
        <v>39</v>
      </c>
      <c r="B763" s="8">
        <v>21</v>
      </c>
      <c r="C763" s="8">
        <v>3621</v>
      </c>
      <c r="D763" s="16">
        <v>-1.607302E-2</v>
      </c>
      <c r="E763">
        <v>-8.0365100000000002E-3</v>
      </c>
    </row>
    <row r="764" spans="1:5" x14ac:dyDescent="0.3">
      <c r="A764" s="8">
        <v>39</v>
      </c>
      <c r="B764" s="8">
        <v>22</v>
      </c>
      <c r="C764" s="8">
        <v>3585</v>
      </c>
      <c r="D764" s="16">
        <v>-1.6764310000000001E-2</v>
      </c>
      <c r="E764">
        <v>-8.3821550000000005E-3</v>
      </c>
    </row>
    <row r="765" spans="1:5" x14ac:dyDescent="0.3">
      <c r="A765" s="8">
        <v>39</v>
      </c>
      <c r="B765" s="8">
        <v>23</v>
      </c>
      <c r="C765" s="8">
        <v>3596</v>
      </c>
      <c r="D765" s="16">
        <v>-2.454282E-2</v>
      </c>
      <c r="E765">
        <v>-1.227141E-2</v>
      </c>
    </row>
    <row r="766" spans="1:5" x14ac:dyDescent="0.3">
      <c r="A766" s="8">
        <v>39</v>
      </c>
      <c r="B766" s="8">
        <v>24</v>
      </c>
      <c r="C766" s="8">
        <v>3612</v>
      </c>
      <c r="D766" s="16">
        <v>-6.3752089999999997E-3</v>
      </c>
      <c r="E766">
        <v>-3.1876044999999999E-3</v>
      </c>
    </row>
    <row r="767" spans="1:5" x14ac:dyDescent="0.3">
      <c r="A767" s="8">
        <v>39</v>
      </c>
      <c r="B767" s="8">
        <v>25</v>
      </c>
      <c r="C767" s="8">
        <v>3575</v>
      </c>
      <c r="D767" s="16">
        <v>-2.177457E-2</v>
      </c>
      <c r="E767">
        <v>-1.0887285E-2</v>
      </c>
    </row>
    <row r="768" spans="1:5" x14ac:dyDescent="0.3">
      <c r="A768" s="8">
        <v>39</v>
      </c>
      <c r="B768" s="8">
        <v>26</v>
      </c>
      <c r="C768" s="8">
        <v>3618</v>
      </c>
      <c r="D768" s="16">
        <v>1.0944840000000001E-2</v>
      </c>
      <c r="E768">
        <v>5.4724200000000004E-3</v>
      </c>
    </row>
    <row r="769" spans="1:5" x14ac:dyDescent="0.3">
      <c r="A769" s="8">
        <v>39</v>
      </c>
      <c r="B769" s="8">
        <v>27</v>
      </c>
      <c r="C769" s="8">
        <v>3580</v>
      </c>
      <c r="D769" s="16">
        <v>-2.3704369999999999E-2</v>
      </c>
      <c r="E769">
        <v>-1.1852184999999999E-2</v>
      </c>
    </row>
    <row r="770" spans="1:5" x14ac:dyDescent="0.3">
      <c r="A770" s="8">
        <v>39</v>
      </c>
      <c r="B770" s="8">
        <v>28</v>
      </c>
      <c r="C770" s="8">
        <v>3551</v>
      </c>
      <c r="D770" s="16">
        <v>-2.1134549999999998E-2</v>
      </c>
      <c r="E770">
        <v>-1.0567274999999999E-2</v>
      </c>
    </row>
    <row r="771" spans="1:5" x14ac:dyDescent="0.3">
      <c r="A771" s="8">
        <v>39</v>
      </c>
      <c r="B771" s="8">
        <v>29</v>
      </c>
      <c r="C771" s="8">
        <v>3570</v>
      </c>
      <c r="D771" s="16">
        <v>2.8067869999999998E-3</v>
      </c>
      <c r="E771">
        <v>1.4033934999999999E-3</v>
      </c>
    </row>
    <row r="772" spans="1:5" x14ac:dyDescent="0.3">
      <c r="A772" s="8">
        <v>39</v>
      </c>
      <c r="B772" s="8">
        <v>30</v>
      </c>
      <c r="C772" s="8">
        <v>3577</v>
      </c>
      <c r="D772" s="16">
        <v>-3.588102E-2</v>
      </c>
      <c r="E772">
        <v>-1.794051E-2</v>
      </c>
    </row>
    <row r="773" spans="1:5" x14ac:dyDescent="0.3">
      <c r="A773" s="8">
        <v>39</v>
      </c>
      <c r="B773" s="8">
        <v>31</v>
      </c>
      <c r="C773" s="8">
        <v>3501</v>
      </c>
      <c r="D773" s="16">
        <v>-1.183622E-2</v>
      </c>
      <c r="E773">
        <v>-5.9181099999999999E-3</v>
      </c>
    </row>
    <row r="774" spans="1:5" x14ac:dyDescent="0.3">
      <c r="A774" s="8">
        <v>39</v>
      </c>
      <c r="B774" s="8">
        <v>32</v>
      </c>
      <c r="C774" s="8">
        <v>3568</v>
      </c>
      <c r="D774" s="16">
        <v>7.7461710000000005E-4</v>
      </c>
      <c r="E774">
        <v>3.8730855000000002E-4</v>
      </c>
    </row>
    <row r="775" spans="1:5" x14ac:dyDescent="0.3">
      <c r="A775" s="8">
        <v>39</v>
      </c>
      <c r="B775" s="8">
        <v>33</v>
      </c>
      <c r="C775" s="8">
        <v>3622</v>
      </c>
      <c r="D775" s="16">
        <v>-3.7640739999999999E-2</v>
      </c>
      <c r="E775">
        <v>-1.8820369999999999E-2</v>
      </c>
    </row>
    <row r="776" spans="1:5" x14ac:dyDescent="0.3">
      <c r="A776" s="8">
        <v>39</v>
      </c>
      <c r="B776" s="8">
        <v>34</v>
      </c>
      <c r="C776" s="8">
        <v>3607</v>
      </c>
      <c r="D776" s="16">
        <v>1.9596929999999999E-2</v>
      </c>
      <c r="E776">
        <v>9.7984649999999993E-3</v>
      </c>
    </row>
    <row r="777" spans="1:5" x14ac:dyDescent="0.3">
      <c r="A777" s="8">
        <v>39</v>
      </c>
      <c r="B777" s="8">
        <v>35</v>
      </c>
      <c r="C777" s="8">
        <v>3580</v>
      </c>
      <c r="D777" s="16">
        <v>9.5669780000000001E-4</v>
      </c>
      <c r="E777">
        <v>4.783489E-4</v>
      </c>
    </row>
    <row r="778" spans="1:5" x14ac:dyDescent="0.3">
      <c r="A778" s="8">
        <v>39</v>
      </c>
      <c r="B778" s="8">
        <v>36</v>
      </c>
      <c r="C778" s="8">
        <v>3587</v>
      </c>
      <c r="D778" s="16">
        <v>-8.386302E-3</v>
      </c>
      <c r="E778">
        <v>-4.193151E-3</v>
      </c>
    </row>
    <row r="779" spans="1:5" x14ac:dyDescent="0.3">
      <c r="A779" s="8">
        <v>39</v>
      </c>
      <c r="B779" s="8">
        <v>37</v>
      </c>
      <c r="C779" s="8">
        <v>3558</v>
      </c>
      <c r="D779" s="16">
        <v>-2.1698619999999998E-2</v>
      </c>
      <c r="E779">
        <v>-1.0849309999999999E-2</v>
      </c>
    </row>
    <row r="780" spans="1:5" x14ac:dyDescent="0.3">
      <c r="A780" s="8">
        <v>39</v>
      </c>
      <c r="B780" s="8">
        <v>38</v>
      </c>
      <c r="C780" s="8">
        <v>3605</v>
      </c>
      <c r="D780" s="16">
        <v>-2.3894229999999999E-3</v>
      </c>
      <c r="E780">
        <v>-1.1947114999999999E-3</v>
      </c>
    </row>
    <row r="781" spans="1:5" x14ac:dyDescent="0.3">
      <c r="A781" s="8">
        <v>39</v>
      </c>
      <c r="B781" s="8">
        <v>39</v>
      </c>
      <c r="C781" s="8">
        <v>3871</v>
      </c>
      <c r="D781" s="16">
        <v>0.96540150000000002</v>
      </c>
      <c r="E781"/>
    </row>
    <row r="782" spans="1:5" x14ac:dyDescent="0.3">
      <c r="A782" s="8">
        <v>40</v>
      </c>
      <c r="B782" s="8">
        <v>1</v>
      </c>
      <c r="C782" s="8">
        <v>3638</v>
      </c>
      <c r="D782" s="16">
        <v>-4.5363649999999997E-3</v>
      </c>
      <c r="E782">
        <v>-2.2681824999999998E-3</v>
      </c>
    </row>
    <row r="783" spans="1:5" x14ac:dyDescent="0.3">
      <c r="A783" s="8">
        <v>40</v>
      </c>
      <c r="B783" s="8">
        <v>2</v>
      </c>
      <c r="C783" s="8">
        <v>3612</v>
      </c>
      <c r="D783" s="16">
        <v>-5.1299829999999998E-2</v>
      </c>
      <c r="E783">
        <v>-2.5649914999999999E-2</v>
      </c>
    </row>
    <row r="784" spans="1:5" x14ac:dyDescent="0.3">
      <c r="A784" s="8">
        <v>40</v>
      </c>
      <c r="B784" s="8">
        <v>3</v>
      </c>
      <c r="C784" s="8">
        <v>3635</v>
      </c>
      <c r="D784" s="16">
        <v>-1.9613990000000001E-2</v>
      </c>
      <c r="E784">
        <v>-9.8069950000000006E-3</v>
      </c>
    </row>
    <row r="785" spans="1:5" x14ac:dyDescent="0.3">
      <c r="A785" s="8">
        <v>40</v>
      </c>
      <c r="B785" s="8">
        <v>4</v>
      </c>
      <c r="C785" s="8">
        <v>3594</v>
      </c>
      <c r="D785" s="16">
        <v>-2.3269450000000001E-2</v>
      </c>
      <c r="E785">
        <v>-1.1634725E-2</v>
      </c>
    </row>
    <row r="786" spans="1:5" x14ac:dyDescent="0.3">
      <c r="A786" s="8">
        <v>40</v>
      </c>
      <c r="B786" s="8">
        <v>5</v>
      </c>
      <c r="C786" s="8">
        <v>3612</v>
      </c>
      <c r="D786" s="16">
        <v>1.9409840000000001E-2</v>
      </c>
      <c r="E786">
        <v>9.7049200000000006E-3</v>
      </c>
    </row>
    <row r="787" spans="1:5" x14ac:dyDescent="0.3">
      <c r="A787" s="8">
        <v>40</v>
      </c>
      <c r="B787" s="8">
        <v>6</v>
      </c>
      <c r="C787" s="8">
        <v>3609</v>
      </c>
      <c r="D787" s="16">
        <v>-9.4532820000000004E-3</v>
      </c>
      <c r="E787">
        <v>-4.7266410000000002E-3</v>
      </c>
    </row>
    <row r="788" spans="1:5" x14ac:dyDescent="0.3">
      <c r="A788" s="8">
        <v>40</v>
      </c>
      <c r="B788" s="8">
        <v>7</v>
      </c>
      <c r="C788" s="8">
        <v>3581</v>
      </c>
      <c r="D788" s="16">
        <v>-1.0111790000000001E-2</v>
      </c>
      <c r="E788">
        <v>-5.0558950000000004E-3</v>
      </c>
    </row>
    <row r="789" spans="1:5" x14ac:dyDescent="0.3">
      <c r="A789" s="8">
        <v>40</v>
      </c>
      <c r="B789" s="8">
        <v>8</v>
      </c>
      <c r="C789" s="8">
        <v>3625</v>
      </c>
      <c r="D789" s="16">
        <v>1.4300579999999999E-3</v>
      </c>
      <c r="E789">
        <v>7.1502899999999995E-4</v>
      </c>
    </row>
    <row r="790" spans="1:5" x14ac:dyDescent="0.3">
      <c r="A790" s="8">
        <v>40</v>
      </c>
      <c r="B790" s="8">
        <v>9</v>
      </c>
      <c r="C790" s="8">
        <v>3625</v>
      </c>
      <c r="D790" s="16">
        <v>-4.9301969999999999E-3</v>
      </c>
      <c r="E790">
        <v>-2.4650984999999999E-3</v>
      </c>
    </row>
    <row r="791" spans="1:5" x14ac:dyDescent="0.3">
      <c r="A791" s="8">
        <v>40</v>
      </c>
      <c r="B791" s="8">
        <v>10</v>
      </c>
      <c r="C791" s="8">
        <v>3618</v>
      </c>
      <c r="D791" s="16">
        <v>1.739653E-2</v>
      </c>
      <c r="E791">
        <v>8.6982650000000002E-3</v>
      </c>
    </row>
    <row r="792" spans="1:5" x14ac:dyDescent="0.3">
      <c r="A792" s="8">
        <v>40</v>
      </c>
      <c r="B792" s="8">
        <v>11</v>
      </c>
      <c r="C792" s="8">
        <v>3622</v>
      </c>
      <c r="D792" s="16">
        <v>-3.0792590000000002E-2</v>
      </c>
      <c r="E792">
        <v>-1.5396295000000001E-2</v>
      </c>
    </row>
    <row r="793" spans="1:5" x14ac:dyDescent="0.3">
      <c r="A793" s="8">
        <v>40</v>
      </c>
      <c r="B793" s="8">
        <v>12</v>
      </c>
      <c r="C793" s="8">
        <v>3625</v>
      </c>
      <c r="D793" s="16">
        <v>4.3276499999999997E-3</v>
      </c>
      <c r="E793">
        <v>2.1638249999999999E-3</v>
      </c>
    </row>
    <row r="794" spans="1:5" x14ac:dyDescent="0.3">
      <c r="A794" s="8">
        <v>40</v>
      </c>
      <c r="B794" s="8">
        <v>13</v>
      </c>
      <c r="C794" s="8">
        <v>3616</v>
      </c>
      <c r="D794" s="16">
        <v>-2.124587E-2</v>
      </c>
      <c r="E794">
        <v>-1.0622935E-2</v>
      </c>
    </row>
    <row r="795" spans="1:5" x14ac:dyDescent="0.3">
      <c r="A795" s="8">
        <v>40</v>
      </c>
      <c r="B795" s="8">
        <v>14</v>
      </c>
      <c r="C795" s="8">
        <v>3621</v>
      </c>
      <c r="D795" s="16">
        <v>-2.8432679999999998E-2</v>
      </c>
      <c r="E795">
        <v>-1.4216339999999999E-2</v>
      </c>
    </row>
    <row r="796" spans="1:5" x14ac:dyDescent="0.3">
      <c r="A796" s="8">
        <v>40</v>
      </c>
      <c r="B796" s="8">
        <v>15</v>
      </c>
      <c r="C796" s="8">
        <v>3636</v>
      </c>
      <c r="D796" s="16">
        <v>1.3424429999999999E-4</v>
      </c>
      <c r="E796">
        <v>6.7122149999999996E-5</v>
      </c>
    </row>
    <row r="797" spans="1:5" x14ac:dyDescent="0.3">
      <c r="A797" s="8">
        <v>40</v>
      </c>
      <c r="B797" s="8">
        <v>16</v>
      </c>
      <c r="C797" s="8">
        <v>3615</v>
      </c>
      <c r="D797" s="16">
        <v>-1.0145899999999999E-2</v>
      </c>
      <c r="E797">
        <v>-5.0729499999999997E-3</v>
      </c>
    </row>
    <row r="798" spans="1:5" x14ac:dyDescent="0.3">
      <c r="A798" s="8">
        <v>40</v>
      </c>
      <c r="B798" s="8">
        <v>17</v>
      </c>
      <c r="C798" s="8">
        <v>3621</v>
      </c>
      <c r="D798" s="16">
        <v>1.9758009999999999E-2</v>
      </c>
      <c r="E798">
        <v>9.8790049999999997E-3</v>
      </c>
    </row>
    <row r="799" spans="1:5" x14ac:dyDescent="0.3">
      <c r="A799" s="8">
        <v>40</v>
      </c>
      <c r="B799" s="8">
        <v>18</v>
      </c>
      <c r="C799" s="8">
        <v>3619</v>
      </c>
      <c r="D799" s="16">
        <v>-4.4041200000000003E-2</v>
      </c>
      <c r="E799">
        <v>-2.2020600000000001E-2</v>
      </c>
    </row>
    <row r="800" spans="1:5" x14ac:dyDescent="0.3">
      <c r="A800" s="8">
        <v>40</v>
      </c>
      <c r="B800" s="8">
        <v>19</v>
      </c>
      <c r="C800" s="8">
        <v>3591</v>
      </c>
      <c r="D800" s="16">
        <v>-1.712816E-2</v>
      </c>
      <c r="E800">
        <v>-8.56408E-3</v>
      </c>
    </row>
    <row r="801" spans="1:5" x14ac:dyDescent="0.3">
      <c r="A801" s="8">
        <v>40</v>
      </c>
      <c r="B801" s="8">
        <v>20</v>
      </c>
      <c r="C801" s="8">
        <v>3591</v>
      </c>
      <c r="D801" s="16">
        <v>2.5471420000000002E-2</v>
      </c>
      <c r="E801">
        <v>1.2735710000000001E-2</v>
      </c>
    </row>
    <row r="802" spans="1:5" x14ac:dyDescent="0.3">
      <c r="A802" s="8">
        <v>40</v>
      </c>
      <c r="B802" s="8">
        <v>21</v>
      </c>
      <c r="C802" s="8">
        <v>3644</v>
      </c>
      <c r="D802" s="16">
        <v>-1.907522E-2</v>
      </c>
      <c r="E802">
        <v>-9.5376100000000002E-3</v>
      </c>
    </row>
    <row r="803" spans="1:5" x14ac:dyDescent="0.3">
      <c r="A803" s="8">
        <v>40</v>
      </c>
      <c r="B803" s="8">
        <v>22</v>
      </c>
      <c r="C803" s="8">
        <v>3603</v>
      </c>
      <c r="D803" s="16">
        <v>-1.567197E-3</v>
      </c>
      <c r="E803">
        <v>-7.835985E-4</v>
      </c>
    </row>
    <row r="804" spans="1:5" x14ac:dyDescent="0.3">
      <c r="A804" s="8">
        <v>40</v>
      </c>
      <c r="B804" s="8">
        <v>23</v>
      </c>
      <c r="C804" s="8">
        <v>3605</v>
      </c>
      <c r="D804" s="16">
        <v>4.7147020000000003E-3</v>
      </c>
      <c r="E804">
        <v>2.3573510000000002E-3</v>
      </c>
    </row>
    <row r="805" spans="1:5" x14ac:dyDescent="0.3">
      <c r="A805" s="8">
        <v>40</v>
      </c>
      <c r="B805" s="8">
        <v>24</v>
      </c>
      <c r="C805" s="8">
        <v>3625</v>
      </c>
      <c r="D805" s="16">
        <v>-4.4132930000000001E-2</v>
      </c>
      <c r="E805">
        <v>-2.2066465E-2</v>
      </c>
    </row>
    <row r="806" spans="1:5" x14ac:dyDescent="0.3">
      <c r="A806" s="8">
        <v>40</v>
      </c>
      <c r="B806" s="8">
        <v>25</v>
      </c>
      <c r="C806" s="8">
        <v>3610</v>
      </c>
      <c r="D806" s="16">
        <v>7.2530709999999998E-3</v>
      </c>
      <c r="E806">
        <v>3.6265354999999999E-3</v>
      </c>
    </row>
    <row r="807" spans="1:5" x14ac:dyDescent="0.3">
      <c r="A807" s="8">
        <v>40</v>
      </c>
      <c r="B807" s="8">
        <v>26</v>
      </c>
      <c r="C807" s="8">
        <v>3637</v>
      </c>
      <c r="D807" s="16">
        <v>4.3817229999999997E-3</v>
      </c>
      <c r="E807">
        <v>2.1908614999999998E-3</v>
      </c>
    </row>
    <row r="808" spans="1:5" x14ac:dyDescent="0.3">
      <c r="A808" s="8">
        <v>40</v>
      </c>
      <c r="B808" s="8">
        <v>27</v>
      </c>
      <c r="C808" s="8">
        <v>3591</v>
      </c>
      <c r="D808" s="16">
        <v>-2.9129760000000001E-2</v>
      </c>
      <c r="E808">
        <v>-1.4564880000000001E-2</v>
      </c>
    </row>
    <row r="809" spans="1:5" x14ac:dyDescent="0.3">
      <c r="A809" s="8">
        <v>40</v>
      </c>
      <c r="B809" s="8">
        <v>28</v>
      </c>
      <c r="C809" s="8">
        <v>3568</v>
      </c>
      <c r="D809" s="16">
        <v>-2.0086550000000002E-2</v>
      </c>
      <c r="E809">
        <v>-1.0043275000000001E-2</v>
      </c>
    </row>
    <row r="810" spans="1:5" x14ac:dyDescent="0.3">
      <c r="A810" s="8">
        <v>40</v>
      </c>
      <c r="B810" s="8">
        <v>29</v>
      </c>
      <c r="C810" s="8">
        <v>3580</v>
      </c>
      <c r="D810" s="16">
        <v>-2.8364710000000001E-3</v>
      </c>
      <c r="E810">
        <v>-1.4182355000000001E-3</v>
      </c>
    </row>
    <row r="811" spans="1:5" x14ac:dyDescent="0.3">
      <c r="A811" s="8">
        <v>40</v>
      </c>
      <c r="B811" s="8">
        <v>30</v>
      </c>
      <c r="C811" s="8">
        <v>3589</v>
      </c>
      <c r="D811" s="16">
        <v>5.7739620000000005E-4</v>
      </c>
      <c r="E811">
        <v>2.8869810000000003E-4</v>
      </c>
    </row>
    <row r="812" spans="1:5" x14ac:dyDescent="0.3">
      <c r="A812" s="8">
        <v>40</v>
      </c>
      <c r="B812" s="8">
        <v>31</v>
      </c>
      <c r="C812" s="8">
        <v>3523</v>
      </c>
      <c r="D812" s="16">
        <v>2.2656780000000001E-2</v>
      </c>
      <c r="E812">
        <v>1.1328390000000001E-2</v>
      </c>
    </row>
    <row r="813" spans="1:5" x14ac:dyDescent="0.3">
      <c r="A813" s="8">
        <v>40</v>
      </c>
      <c r="B813" s="8">
        <v>32</v>
      </c>
      <c r="C813" s="8">
        <v>3573</v>
      </c>
      <c r="D813" s="16">
        <v>1.6061099999999998E-2</v>
      </c>
      <c r="E813">
        <v>8.0305499999999991E-3</v>
      </c>
    </row>
    <row r="814" spans="1:5" x14ac:dyDescent="0.3">
      <c r="A814" s="8">
        <v>40</v>
      </c>
      <c r="B814" s="8">
        <v>33</v>
      </c>
      <c r="C814" s="8">
        <v>3629</v>
      </c>
      <c r="D814" s="16">
        <v>-1.6502559999999999E-2</v>
      </c>
      <c r="E814">
        <v>-8.2512799999999997E-3</v>
      </c>
    </row>
    <row r="815" spans="1:5" x14ac:dyDescent="0.3">
      <c r="A815" s="8">
        <v>40</v>
      </c>
      <c r="B815" s="8">
        <v>34</v>
      </c>
      <c r="C815" s="8">
        <v>3634</v>
      </c>
      <c r="D815" s="16">
        <v>1.236809E-2</v>
      </c>
      <c r="E815">
        <v>6.184045E-3</v>
      </c>
    </row>
    <row r="816" spans="1:5" x14ac:dyDescent="0.3">
      <c r="A816" s="8">
        <v>40</v>
      </c>
      <c r="B816" s="8">
        <v>35</v>
      </c>
      <c r="C816" s="8">
        <v>3613</v>
      </c>
      <c r="D816" s="16">
        <v>-3.6119270000000002E-2</v>
      </c>
      <c r="E816">
        <v>-1.8059635000000001E-2</v>
      </c>
    </row>
    <row r="817" spans="1:5" x14ac:dyDescent="0.3">
      <c r="A817" s="8">
        <v>40</v>
      </c>
      <c r="B817" s="8">
        <v>36</v>
      </c>
      <c r="C817" s="8">
        <v>3614</v>
      </c>
      <c r="D817" s="16">
        <v>-1.7873509999999999E-2</v>
      </c>
      <c r="E817">
        <v>-8.9367549999999994E-3</v>
      </c>
    </row>
    <row r="818" spans="1:5" x14ac:dyDescent="0.3">
      <c r="A818" s="8">
        <v>40</v>
      </c>
      <c r="B818" s="8">
        <v>37</v>
      </c>
      <c r="C818" s="8">
        <v>3568</v>
      </c>
      <c r="D818" s="16">
        <v>9.8724420000000004E-3</v>
      </c>
      <c r="E818">
        <v>4.9362210000000002E-3</v>
      </c>
    </row>
    <row r="819" spans="1:5" x14ac:dyDescent="0.3">
      <c r="A819" s="8">
        <v>40</v>
      </c>
      <c r="B819" s="8">
        <v>38</v>
      </c>
      <c r="C819" s="8">
        <v>3622</v>
      </c>
      <c r="D819" s="16">
        <v>2.6654389999999999E-3</v>
      </c>
      <c r="E819">
        <v>1.3327195E-3</v>
      </c>
    </row>
    <row r="820" spans="1:5" x14ac:dyDescent="0.3">
      <c r="A820" s="8">
        <v>40</v>
      </c>
      <c r="B820" s="8">
        <v>39</v>
      </c>
      <c r="C820" s="8">
        <v>3611</v>
      </c>
      <c r="D820" s="16">
        <v>-3.6210310000000002E-2</v>
      </c>
      <c r="E820">
        <v>-1.8105155000000001E-2</v>
      </c>
    </row>
    <row r="821" spans="1:5" x14ac:dyDescent="0.3">
      <c r="A821" s="8">
        <v>40</v>
      </c>
      <c r="B821" s="8">
        <v>40</v>
      </c>
      <c r="C821" s="8">
        <v>3896</v>
      </c>
      <c r="D821" s="16">
        <v>1.0501180000000001</v>
      </c>
      <c r="E821"/>
    </row>
    <row r="822" spans="1:5" x14ac:dyDescent="0.3">
      <c r="A822" s="8">
        <v>41</v>
      </c>
      <c r="B822" s="8">
        <v>1</v>
      </c>
      <c r="C822" s="8">
        <v>3603</v>
      </c>
      <c r="D822" s="16">
        <v>-8.9654599999999997E-3</v>
      </c>
      <c r="E822">
        <v>-4.4827299999999999E-3</v>
      </c>
    </row>
    <row r="823" spans="1:5" x14ac:dyDescent="0.3">
      <c r="A823" s="8">
        <v>41</v>
      </c>
      <c r="B823" s="8">
        <v>2</v>
      </c>
      <c r="C823" s="8">
        <v>3571</v>
      </c>
      <c r="D823" s="16">
        <v>-1.9943579999999999E-2</v>
      </c>
      <c r="E823">
        <v>-9.9717899999999995E-3</v>
      </c>
    </row>
    <row r="824" spans="1:5" x14ac:dyDescent="0.3">
      <c r="A824" s="8">
        <v>41</v>
      </c>
      <c r="B824" s="8">
        <v>3</v>
      </c>
      <c r="C824" s="8">
        <v>3578</v>
      </c>
      <c r="D824" s="16">
        <v>1.0764030000000001E-3</v>
      </c>
      <c r="E824">
        <v>5.3820150000000004E-4</v>
      </c>
    </row>
    <row r="825" spans="1:5" x14ac:dyDescent="0.3">
      <c r="A825" s="8">
        <v>41</v>
      </c>
      <c r="B825" s="8">
        <v>4</v>
      </c>
      <c r="C825" s="8">
        <v>3540</v>
      </c>
      <c r="D825" s="16">
        <v>-3.3068380000000001E-2</v>
      </c>
      <c r="E825">
        <v>-1.6534190000000001E-2</v>
      </c>
    </row>
    <row r="826" spans="1:5" x14ac:dyDescent="0.3">
      <c r="A826" s="8">
        <v>41</v>
      </c>
      <c r="B826" s="8">
        <v>5</v>
      </c>
      <c r="C826" s="8">
        <v>3557</v>
      </c>
      <c r="D826" s="16">
        <v>-9.6818149999999999E-3</v>
      </c>
      <c r="E826">
        <v>-4.8409074999999999E-3</v>
      </c>
    </row>
    <row r="827" spans="1:5" x14ac:dyDescent="0.3">
      <c r="A827" s="8">
        <v>41</v>
      </c>
      <c r="B827" s="8">
        <v>6</v>
      </c>
      <c r="C827" s="8">
        <v>3569</v>
      </c>
      <c r="D827" s="16">
        <v>-2.7561260000000001E-2</v>
      </c>
      <c r="E827">
        <v>-1.378063E-2</v>
      </c>
    </row>
    <row r="828" spans="1:5" x14ac:dyDescent="0.3">
      <c r="A828" s="8">
        <v>41</v>
      </c>
      <c r="B828" s="8">
        <v>7</v>
      </c>
      <c r="C828" s="8">
        <v>3544</v>
      </c>
      <c r="D828" s="16">
        <v>-3.7800859999999999E-2</v>
      </c>
      <c r="E828">
        <v>-1.8900429999999999E-2</v>
      </c>
    </row>
    <row r="829" spans="1:5" x14ac:dyDescent="0.3">
      <c r="A829" s="8">
        <v>41</v>
      </c>
      <c r="B829" s="8">
        <v>8</v>
      </c>
      <c r="C829" s="8">
        <v>3572</v>
      </c>
      <c r="D829" s="16">
        <v>-2.7145180000000001E-2</v>
      </c>
      <c r="E829">
        <v>-1.3572590000000001E-2</v>
      </c>
    </row>
    <row r="830" spans="1:5" x14ac:dyDescent="0.3">
      <c r="A830" s="8">
        <v>41</v>
      </c>
      <c r="B830" s="8">
        <v>9</v>
      </c>
      <c r="C830" s="8">
        <v>3578</v>
      </c>
      <c r="D830" s="16">
        <v>3.04322E-2</v>
      </c>
      <c r="E830">
        <v>1.52161E-2</v>
      </c>
    </row>
    <row r="831" spans="1:5" x14ac:dyDescent="0.3">
      <c r="A831" s="8">
        <v>41</v>
      </c>
      <c r="B831" s="8">
        <v>10</v>
      </c>
      <c r="C831" s="8">
        <v>3566</v>
      </c>
      <c r="D831" s="16">
        <v>-3.964409E-2</v>
      </c>
      <c r="E831">
        <v>-1.9822045E-2</v>
      </c>
    </row>
    <row r="832" spans="1:5" x14ac:dyDescent="0.3">
      <c r="A832" s="8">
        <v>41</v>
      </c>
      <c r="B832" s="8">
        <v>11</v>
      </c>
      <c r="C832" s="8">
        <v>3572</v>
      </c>
      <c r="D832" s="16">
        <v>-1.032872E-2</v>
      </c>
      <c r="E832">
        <v>-5.1643599999999998E-3</v>
      </c>
    </row>
    <row r="833" spans="1:5" x14ac:dyDescent="0.3">
      <c r="A833" s="8">
        <v>41</v>
      </c>
      <c r="B833" s="8">
        <v>12</v>
      </c>
      <c r="C833" s="8">
        <v>3586</v>
      </c>
      <c r="D833" s="16">
        <v>-1.32073E-2</v>
      </c>
      <c r="E833">
        <v>-6.60365E-3</v>
      </c>
    </row>
    <row r="834" spans="1:5" x14ac:dyDescent="0.3">
      <c r="A834" s="8">
        <v>41</v>
      </c>
      <c r="B834" s="8">
        <v>13</v>
      </c>
      <c r="C834" s="8">
        <v>3570</v>
      </c>
      <c r="D834" s="16">
        <v>-1.1141359999999999E-2</v>
      </c>
      <c r="E834">
        <v>-5.5706799999999997E-3</v>
      </c>
    </row>
    <row r="835" spans="1:5" x14ac:dyDescent="0.3">
      <c r="A835" s="8">
        <v>41</v>
      </c>
      <c r="B835" s="8">
        <v>14</v>
      </c>
      <c r="C835" s="8">
        <v>3562</v>
      </c>
      <c r="D835" s="16">
        <v>-2.085151E-2</v>
      </c>
      <c r="E835">
        <v>-1.0425755E-2</v>
      </c>
    </row>
    <row r="836" spans="1:5" x14ac:dyDescent="0.3">
      <c r="A836" s="8">
        <v>41</v>
      </c>
      <c r="B836" s="8">
        <v>15</v>
      </c>
      <c r="C836" s="8">
        <v>3577</v>
      </c>
      <c r="D836" s="16">
        <v>-1.348544E-2</v>
      </c>
      <c r="E836">
        <v>-6.7427199999999998E-3</v>
      </c>
    </row>
    <row r="837" spans="1:5" x14ac:dyDescent="0.3">
      <c r="A837" s="8">
        <v>41</v>
      </c>
      <c r="B837" s="8">
        <v>16</v>
      </c>
      <c r="C837" s="8">
        <v>3562</v>
      </c>
      <c r="D837" s="16">
        <v>-4.5971520000000002E-3</v>
      </c>
      <c r="E837">
        <v>-2.2985760000000001E-3</v>
      </c>
    </row>
    <row r="838" spans="1:5" x14ac:dyDescent="0.3">
      <c r="A838" s="8">
        <v>41</v>
      </c>
      <c r="B838" s="8">
        <v>17</v>
      </c>
      <c r="C838" s="8">
        <v>3580</v>
      </c>
      <c r="D838" s="16">
        <v>4.5938279999999998E-2</v>
      </c>
      <c r="E838">
        <v>2.2969139999999999E-2</v>
      </c>
    </row>
    <row r="839" spans="1:5" x14ac:dyDescent="0.3">
      <c r="A839" s="8">
        <v>41</v>
      </c>
      <c r="B839" s="8">
        <v>18</v>
      </c>
      <c r="C839" s="8">
        <v>3566</v>
      </c>
      <c r="D839" s="16">
        <v>6.1733429999999999E-2</v>
      </c>
      <c r="E839">
        <v>3.0866714999999999E-2</v>
      </c>
    </row>
    <row r="840" spans="1:5" x14ac:dyDescent="0.3">
      <c r="A840" s="8">
        <v>41</v>
      </c>
      <c r="B840" s="8">
        <v>19</v>
      </c>
      <c r="C840" s="8">
        <v>3545</v>
      </c>
      <c r="D840" s="16">
        <v>-2.0940609999999998E-2</v>
      </c>
      <c r="E840">
        <v>-1.0470304999999999E-2</v>
      </c>
    </row>
    <row r="841" spans="1:5" x14ac:dyDescent="0.3">
      <c r="A841" s="8">
        <v>41</v>
      </c>
      <c r="B841" s="8">
        <v>20</v>
      </c>
      <c r="C841" s="8">
        <v>3554</v>
      </c>
      <c r="D841" s="16">
        <v>-3.1332119999999998E-2</v>
      </c>
      <c r="E841">
        <v>-1.5666059999999999E-2</v>
      </c>
    </row>
    <row r="842" spans="1:5" x14ac:dyDescent="0.3">
      <c r="A842" s="8">
        <v>41</v>
      </c>
      <c r="B842" s="8">
        <v>21</v>
      </c>
      <c r="C842" s="8">
        <v>3607</v>
      </c>
      <c r="D842" s="16">
        <v>1.33175E-3</v>
      </c>
      <c r="E842">
        <v>6.6587500000000002E-4</v>
      </c>
    </row>
    <row r="843" spans="1:5" x14ac:dyDescent="0.3">
      <c r="A843" s="8">
        <v>41</v>
      </c>
      <c r="B843" s="8">
        <v>22</v>
      </c>
      <c r="C843" s="8">
        <v>3544</v>
      </c>
      <c r="D843" s="16">
        <v>-4.0595289999999999E-2</v>
      </c>
      <c r="E843">
        <v>-2.0297645E-2</v>
      </c>
    </row>
    <row r="844" spans="1:5" x14ac:dyDescent="0.3">
      <c r="A844" s="8">
        <v>41</v>
      </c>
      <c r="B844" s="8">
        <v>23</v>
      </c>
      <c r="C844" s="8">
        <v>3567</v>
      </c>
      <c r="D844" s="16">
        <v>2.617539E-2</v>
      </c>
      <c r="E844">
        <v>1.3087695E-2</v>
      </c>
    </row>
    <row r="845" spans="1:5" x14ac:dyDescent="0.3">
      <c r="A845" s="8">
        <v>41</v>
      </c>
      <c r="B845" s="8">
        <v>24</v>
      </c>
      <c r="C845" s="8">
        <v>3582</v>
      </c>
      <c r="D845" s="16">
        <v>-5.0933040000000003E-4</v>
      </c>
      <c r="E845">
        <v>-2.5466520000000002E-4</v>
      </c>
    </row>
    <row r="846" spans="1:5" x14ac:dyDescent="0.3">
      <c r="A846" s="8">
        <v>41</v>
      </c>
      <c r="B846" s="8">
        <v>25</v>
      </c>
      <c r="C846" s="8">
        <v>3548</v>
      </c>
      <c r="D846" s="16">
        <v>-1.5945810000000001E-2</v>
      </c>
      <c r="E846">
        <v>-7.9729050000000006E-3</v>
      </c>
    </row>
    <row r="847" spans="1:5" x14ac:dyDescent="0.3">
      <c r="A847" s="8">
        <v>41</v>
      </c>
      <c r="B847" s="8">
        <v>26</v>
      </c>
      <c r="C847" s="8">
        <v>3596</v>
      </c>
      <c r="D847" s="16">
        <v>3.2210349999999999E-2</v>
      </c>
      <c r="E847">
        <v>1.6105174999999999E-2</v>
      </c>
    </row>
    <row r="848" spans="1:5" x14ac:dyDescent="0.3">
      <c r="A848" s="8">
        <v>41</v>
      </c>
      <c r="B848" s="8">
        <v>27</v>
      </c>
      <c r="C848" s="8">
        <v>3556</v>
      </c>
      <c r="D848" s="16">
        <v>1.477059E-2</v>
      </c>
      <c r="E848">
        <v>7.3852950000000001E-3</v>
      </c>
    </row>
    <row r="849" spans="1:5" x14ac:dyDescent="0.3">
      <c r="A849" s="8">
        <v>41</v>
      </c>
      <c r="B849" s="8">
        <v>28</v>
      </c>
      <c r="C849" s="8">
        <v>3512</v>
      </c>
      <c r="D849" s="16">
        <v>-4.0872360000000002E-3</v>
      </c>
      <c r="E849">
        <v>-2.0436180000000001E-3</v>
      </c>
    </row>
    <row r="850" spans="1:5" x14ac:dyDescent="0.3">
      <c r="A850" s="8">
        <v>41</v>
      </c>
      <c r="B850" s="8">
        <v>29</v>
      </c>
      <c r="C850" s="8">
        <v>3548</v>
      </c>
      <c r="D850" s="16">
        <v>5.7362870000000003E-2</v>
      </c>
      <c r="E850">
        <v>2.8681435000000002E-2</v>
      </c>
    </row>
    <row r="851" spans="1:5" x14ac:dyDescent="0.3">
      <c r="A851" s="8">
        <v>41</v>
      </c>
      <c r="B851" s="8">
        <v>30</v>
      </c>
      <c r="C851" s="8">
        <v>3540</v>
      </c>
      <c r="D851" s="16">
        <v>-4.8539550000000001E-3</v>
      </c>
      <c r="E851">
        <v>-2.4269775E-3</v>
      </c>
    </row>
    <row r="852" spans="1:5" x14ac:dyDescent="0.3">
      <c r="A852" s="8">
        <v>41</v>
      </c>
      <c r="B852" s="8">
        <v>31</v>
      </c>
      <c r="C852" s="8">
        <v>3475</v>
      </c>
      <c r="D852" s="16">
        <v>7.1206280000000004E-3</v>
      </c>
      <c r="E852">
        <v>3.5603140000000002E-3</v>
      </c>
    </row>
    <row r="853" spans="1:5" x14ac:dyDescent="0.3">
      <c r="A853" s="8">
        <v>41</v>
      </c>
      <c r="B853" s="8">
        <v>32</v>
      </c>
      <c r="C853" s="8">
        <v>3535</v>
      </c>
      <c r="D853" s="16">
        <v>-1.223221E-3</v>
      </c>
      <c r="E853">
        <v>-6.1161050000000002E-4</v>
      </c>
    </row>
    <row r="854" spans="1:5" x14ac:dyDescent="0.3">
      <c r="A854" s="8">
        <v>41</v>
      </c>
      <c r="B854" s="8">
        <v>33</v>
      </c>
      <c r="C854" s="8">
        <v>3580</v>
      </c>
      <c r="D854" s="16">
        <v>-1.758361E-2</v>
      </c>
      <c r="E854">
        <v>-8.7918049999999998E-3</v>
      </c>
    </row>
    <row r="855" spans="1:5" x14ac:dyDescent="0.3">
      <c r="A855" s="8">
        <v>41</v>
      </c>
      <c r="B855" s="8">
        <v>34</v>
      </c>
      <c r="C855" s="8">
        <v>3580</v>
      </c>
      <c r="D855" s="16">
        <v>-2.2047589999999999E-2</v>
      </c>
      <c r="E855">
        <v>-1.1023794999999999E-2</v>
      </c>
    </row>
    <row r="856" spans="1:5" x14ac:dyDescent="0.3">
      <c r="A856" s="8">
        <v>41</v>
      </c>
      <c r="B856" s="8">
        <v>35</v>
      </c>
      <c r="C856" s="8">
        <v>3563</v>
      </c>
      <c r="D856" s="16">
        <v>9.9047969999999999E-3</v>
      </c>
      <c r="E856">
        <v>4.9523985E-3</v>
      </c>
    </row>
    <row r="857" spans="1:5" x14ac:dyDescent="0.3">
      <c r="A857" s="8">
        <v>41</v>
      </c>
      <c r="B857" s="8">
        <v>36</v>
      </c>
      <c r="C857" s="8">
        <v>3555</v>
      </c>
      <c r="D857" s="16">
        <v>-2.4904490000000001E-2</v>
      </c>
      <c r="E857">
        <v>-1.2452245000000001E-2</v>
      </c>
    </row>
    <row r="858" spans="1:5" x14ac:dyDescent="0.3">
      <c r="A858" s="8">
        <v>41</v>
      </c>
      <c r="B858" s="8">
        <v>37</v>
      </c>
      <c r="C858" s="8">
        <v>3523</v>
      </c>
      <c r="D858" s="16">
        <v>6.0524480000000002E-3</v>
      </c>
      <c r="E858">
        <v>3.0262240000000001E-3</v>
      </c>
    </row>
    <row r="859" spans="1:5" x14ac:dyDescent="0.3">
      <c r="A859" s="8">
        <v>41</v>
      </c>
      <c r="B859" s="8">
        <v>38</v>
      </c>
      <c r="C859" s="8">
        <v>3583</v>
      </c>
      <c r="D859" s="16">
        <v>-3.2767350000000001E-2</v>
      </c>
      <c r="E859">
        <v>-1.6383675E-2</v>
      </c>
    </row>
    <row r="860" spans="1:5" x14ac:dyDescent="0.3">
      <c r="A860" s="8">
        <v>41</v>
      </c>
      <c r="B860" s="8">
        <v>39</v>
      </c>
      <c r="C860" s="8">
        <v>3574</v>
      </c>
      <c r="D860" s="16">
        <v>-4.0307030000000001E-2</v>
      </c>
      <c r="E860">
        <v>-2.0153515E-2</v>
      </c>
    </row>
    <row r="861" spans="1:5" x14ac:dyDescent="0.3">
      <c r="A861" s="8">
        <v>41</v>
      </c>
      <c r="B861" s="8">
        <v>40</v>
      </c>
      <c r="C861" s="8">
        <v>3584</v>
      </c>
      <c r="D861" s="16">
        <v>-2.324536E-2</v>
      </c>
      <c r="E861">
        <v>-1.162268E-2</v>
      </c>
    </row>
    <row r="862" spans="1:5" x14ac:dyDescent="0.3">
      <c r="A862" s="8">
        <v>41</v>
      </c>
      <c r="B862" s="8">
        <v>41</v>
      </c>
      <c r="C862" s="8">
        <v>3841</v>
      </c>
      <c r="D862" s="16">
        <v>1.0106630000000001</v>
      </c>
      <c r="E862"/>
    </row>
    <row r="863" spans="1:5" x14ac:dyDescent="0.3">
      <c r="A863" s="8">
        <v>42</v>
      </c>
      <c r="B863" s="8">
        <v>1</v>
      </c>
      <c r="C863" s="8">
        <v>3621</v>
      </c>
      <c r="D863" s="16">
        <v>-5.7909950000000002E-3</v>
      </c>
      <c r="E863">
        <v>-2.8954975000000001E-3</v>
      </c>
    </row>
    <row r="864" spans="1:5" x14ac:dyDescent="0.3">
      <c r="A864" s="8">
        <v>42</v>
      </c>
      <c r="B864" s="8">
        <v>2</v>
      </c>
      <c r="C864" s="8">
        <v>3602</v>
      </c>
      <c r="D864" s="16">
        <v>-1.791154E-2</v>
      </c>
      <c r="E864">
        <v>-8.9557700000000001E-3</v>
      </c>
    </row>
    <row r="865" spans="1:5" x14ac:dyDescent="0.3">
      <c r="A865" s="8">
        <v>42</v>
      </c>
      <c r="B865" s="8">
        <v>3</v>
      </c>
      <c r="C865" s="8">
        <v>3629</v>
      </c>
      <c r="D865" s="16">
        <v>7.757112E-3</v>
      </c>
      <c r="E865">
        <v>3.878556E-3</v>
      </c>
    </row>
    <row r="866" spans="1:5" x14ac:dyDescent="0.3">
      <c r="A866" s="8">
        <v>42</v>
      </c>
      <c r="B866" s="8">
        <v>4</v>
      </c>
      <c r="C866" s="8">
        <v>3583</v>
      </c>
      <c r="D866" s="16">
        <v>-3.050309E-2</v>
      </c>
      <c r="E866">
        <v>-1.5251545E-2</v>
      </c>
    </row>
    <row r="867" spans="1:5" x14ac:dyDescent="0.3">
      <c r="A867" s="8">
        <v>42</v>
      </c>
      <c r="B867" s="8">
        <v>5</v>
      </c>
      <c r="C867" s="8">
        <v>3610</v>
      </c>
      <c r="D867" s="16">
        <v>-3.2544169999999997E-2</v>
      </c>
      <c r="E867">
        <v>-1.6272084999999999E-2</v>
      </c>
    </row>
    <row r="868" spans="1:5" x14ac:dyDescent="0.3">
      <c r="A868" s="8">
        <v>42</v>
      </c>
      <c r="B868" s="8">
        <v>6</v>
      </c>
      <c r="C868" s="8">
        <v>3597</v>
      </c>
      <c r="D868" s="16">
        <v>-3.9619380000000003E-2</v>
      </c>
      <c r="E868">
        <v>-1.9809690000000001E-2</v>
      </c>
    </row>
    <row r="869" spans="1:5" x14ac:dyDescent="0.3">
      <c r="A869" s="8">
        <v>42</v>
      </c>
      <c r="B869" s="8">
        <v>7</v>
      </c>
      <c r="C869" s="8">
        <v>3566</v>
      </c>
      <c r="D869" s="16">
        <v>-2.441873E-2</v>
      </c>
      <c r="E869">
        <v>-1.2209365E-2</v>
      </c>
    </row>
    <row r="870" spans="1:5" x14ac:dyDescent="0.3">
      <c r="A870" s="8">
        <v>42</v>
      </c>
      <c r="B870" s="8">
        <v>8</v>
      </c>
      <c r="C870" s="8">
        <v>3602</v>
      </c>
      <c r="D870" s="16">
        <v>-1.6279600000000002E-2</v>
      </c>
      <c r="E870">
        <v>-8.1398000000000009E-3</v>
      </c>
    </row>
    <row r="871" spans="1:5" x14ac:dyDescent="0.3">
      <c r="A871" s="8">
        <v>42</v>
      </c>
      <c r="B871" s="8">
        <v>9</v>
      </c>
      <c r="C871" s="8">
        <v>3607</v>
      </c>
      <c r="D871" s="16">
        <v>8.5971650000000004E-3</v>
      </c>
      <c r="E871">
        <v>4.2985825000000002E-3</v>
      </c>
    </row>
    <row r="872" spans="1:5" x14ac:dyDescent="0.3">
      <c r="A872" s="8">
        <v>42</v>
      </c>
      <c r="B872" s="8">
        <v>10</v>
      </c>
      <c r="C872" s="8">
        <v>3617</v>
      </c>
      <c r="D872" s="16">
        <v>-9.4947130000000001E-3</v>
      </c>
      <c r="E872">
        <v>-4.7473565000000001E-3</v>
      </c>
    </row>
    <row r="873" spans="1:5" x14ac:dyDescent="0.3">
      <c r="A873" s="8">
        <v>42</v>
      </c>
      <c r="B873" s="8">
        <v>11</v>
      </c>
      <c r="C873" s="8">
        <v>3603</v>
      </c>
      <c r="D873" s="16">
        <v>5.5920880000000003E-3</v>
      </c>
      <c r="E873">
        <v>2.7960440000000001E-3</v>
      </c>
    </row>
    <row r="874" spans="1:5" x14ac:dyDescent="0.3">
      <c r="A874" s="8">
        <v>42</v>
      </c>
      <c r="B874" s="8">
        <v>12</v>
      </c>
      <c r="C874" s="8">
        <v>3611</v>
      </c>
      <c r="D874" s="16">
        <v>1.080278E-2</v>
      </c>
      <c r="E874">
        <v>5.4013899999999998E-3</v>
      </c>
    </row>
    <row r="875" spans="1:5" x14ac:dyDescent="0.3">
      <c r="A875" s="8">
        <v>42</v>
      </c>
      <c r="B875" s="8">
        <v>13</v>
      </c>
      <c r="C875" s="8">
        <v>3604</v>
      </c>
      <c r="D875" s="16">
        <v>-1.7927390000000001E-2</v>
      </c>
      <c r="E875">
        <v>-8.9636950000000007E-3</v>
      </c>
    </row>
    <row r="876" spans="1:5" x14ac:dyDescent="0.3">
      <c r="A876" s="8">
        <v>42</v>
      </c>
      <c r="B876" s="8">
        <v>14</v>
      </c>
      <c r="C876" s="8">
        <v>3581</v>
      </c>
      <c r="D876" s="16">
        <v>1.0066469999999999E-2</v>
      </c>
      <c r="E876">
        <v>5.0332349999999996E-3</v>
      </c>
    </row>
    <row r="877" spans="1:5" x14ac:dyDescent="0.3">
      <c r="A877" s="8">
        <v>42</v>
      </c>
      <c r="B877" s="8">
        <v>15</v>
      </c>
      <c r="C877" s="8">
        <v>3625</v>
      </c>
      <c r="D877" s="16">
        <v>-4.3183020000000003E-2</v>
      </c>
      <c r="E877">
        <v>-2.1591510000000001E-2</v>
      </c>
    </row>
    <row r="878" spans="1:5" x14ac:dyDescent="0.3">
      <c r="A878" s="8">
        <v>42</v>
      </c>
      <c r="B878" s="8">
        <v>16</v>
      </c>
      <c r="C878" s="8">
        <v>3596</v>
      </c>
      <c r="D878" s="16">
        <v>7.0886300000000003E-3</v>
      </c>
      <c r="E878">
        <v>3.5443150000000001E-3</v>
      </c>
    </row>
    <row r="879" spans="1:5" x14ac:dyDescent="0.3">
      <c r="A879" s="8">
        <v>42</v>
      </c>
      <c r="B879" s="8">
        <v>17</v>
      </c>
      <c r="C879" s="8">
        <v>3609</v>
      </c>
      <c r="D879" s="16">
        <v>-1.713568E-2</v>
      </c>
      <c r="E879">
        <v>-8.5678400000000002E-3</v>
      </c>
    </row>
    <row r="880" spans="1:5" x14ac:dyDescent="0.3">
      <c r="A880" s="8">
        <v>42</v>
      </c>
      <c r="B880" s="8">
        <v>18</v>
      </c>
      <c r="C880" s="8">
        <v>3607</v>
      </c>
      <c r="D880" s="16">
        <v>-1.5539809999999999E-2</v>
      </c>
      <c r="E880">
        <v>-7.7699049999999997E-3</v>
      </c>
    </row>
    <row r="881" spans="1:5" x14ac:dyDescent="0.3">
      <c r="A881" s="8">
        <v>42</v>
      </c>
      <c r="B881" s="8">
        <v>19</v>
      </c>
      <c r="C881" s="8">
        <v>3572</v>
      </c>
      <c r="D881" s="16">
        <v>-1.1274620000000001E-2</v>
      </c>
      <c r="E881">
        <v>-5.6373100000000004E-3</v>
      </c>
    </row>
    <row r="882" spans="1:5" x14ac:dyDescent="0.3">
      <c r="A882" s="8">
        <v>42</v>
      </c>
      <c r="B882" s="8">
        <v>20</v>
      </c>
      <c r="C882" s="8">
        <v>3578</v>
      </c>
      <c r="D882" s="16">
        <v>-1.6435740000000001E-3</v>
      </c>
      <c r="E882">
        <v>-8.2178700000000004E-4</v>
      </c>
    </row>
    <row r="883" spans="1:5" x14ac:dyDescent="0.3">
      <c r="A883" s="8">
        <v>42</v>
      </c>
      <c r="B883" s="8">
        <v>21</v>
      </c>
      <c r="C883" s="8">
        <v>3633</v>
      </c>
      <c r="D883" s="16">
        <v>-2.8889870000000002E-2</v>
      </c>
      <c r="E883">
        <v>-1.4444935000000001E-2</v>
      </c>
    </row>
    <row r="884" spans="1:5" x14ac:dyDescent="0.3">
      <c r="A884" s="8">
        <v>42</v>
      </c>
      <c r="B884" s="8">
        <v>22</v>
      </c>
      <c r="C884" s="8">
        <v>3587</v>
      </c>
      <c r="D884" s="16">
        <v>4.1062529999999998E-3</v>
      </c>
      <c r="E884">
        <v>2.0531264999999999E-3</v>
      </c>
    </row>
    <row r="885" spans="1:5" x14ac:dyDescent="0.3">
      <c r="A885" s="8">
        <v>42</v>
      </c>
      <c r="B885" s="8">
        <v>23</v>
      </c>
      <c r="C885" s="8">
        <v>3590</v>
      </c>
      <c r="D885" s="16">
        <v>2.0227729999999999E-2</v>
      </c>
      <c r="E885">
        <v>1.0113865E-2</v>
      </c>
    </row>
    <row r="886" spans="1:5" x14ac:dyDescent="0.3">
      <c r="A886" s="8">
        <v>42</v>
      </c>
      <c r="B886" s="8">
        <v>24</v>
      </c>
      <c r="C886" s="8">
        <v>3613</v>
      </c>
      <c r="D886" s="16">
        <v>3.9758980000000003E-3</v>
      </c>
      <c r="E886">
        <v>1.9879490000000001E-3</v>
      </c>
    </row>
    <row r="887" spans="1:5" x14ac:dyDescent="0.3">
      <c r="A887" s="8">
        <v>42</v>
      </c>
      <c r="B887" s="8">
        <v>25</v>
      </c>
      <c r="C887" s="8">
        <v>3579</v>
      </c>
      <c r="D887" s="16">
        <v>-7.7794150000000005E-4</v>
      </c>
      <c r="E887">
        <v>-3.8897075000000002E-4</v>
      </c>
    </row>
    <row r="888" spans="1:5" x14ac:dyDescent="0.3">
      <c r="A888" s="8">
        <v>42</v>
      </c>
      <c r="B888" s="8">
        <v>26</v>
      </c>
      <c r="C888" s="8">
        <v>3625</v>
      </c>
      <c r="D888" s="16">
        <v>-2.491614E-2</v>
      </c>
      <c r="E888">
        <v>-1.245807E-2</v>
      </c>
    </row>
    <row r="889" spans="1:5" x14ac:dyDescent="0.3">
      <c r="A889" s="8">
        <v>42</v>
      </c>
      <c r="B889" s="8">
        <v>27</v>
      </c>
      <c r="C889" s="8">
        <v>3579</v>
      </c>
      <c r="D889" s="16">
        <v>9.7082660000000001E-3</v>
      </c>
      <c r="E889">
        <v>4.8541330000000001E-3</v>
      </c>
    </row>
    <row r="890" spans="1:5" x14ac:dyDescent="0.3">
      <c r="A890" s="8">
        <v>42</v>
      </c>
      <c r="B890" s="8">
        <v>28</v>
      </c>
      <c r="C890" s="8">
        <v>3552</v>
      </c>
      <c r="D890" s="16">
        <v>-1.7036829999999999E-2</v>
      </c>
      <c r="E890">
        <v>-8.5184149999999997E-3</v>
      </c>
    </row>
    <row r="891" spans="1:5" x14ac:dyDescent="0.3">
      <c r="A891" s="8">
        <v>42</v>
      </c>
      <c r="B891" s="8">
        <v>29</v>
      </c>
      <c r="C891" s="8">
        <v>3569</v>
      </c>
      <c r="D891" s="16">
        <v>1.253084E-2</v>
      </c>
      <c r="E891">
        <v>6.2654199999999998E-3</v>
      </c>
    </row>
    <row r="892" spans="1:5" x14ac:dyDescent="0.3">
      <c r="A892" s="8">
        <v>42</v>
      </c>
      <c r="B892" s="8">
        <v>30</v>
      </c>
      <c r="C892" s="8">
        <v>3580</v>
      </c>
      <c r="D892" s="16">
        <v>-1.176512E-2</v>
      </c>
      <c r="E892">
        <v>-5.8825600000000002E-3</v>
      </c>
    </row>
    <row r="893" spans="1:5" x14ac:dyDescent="0.3">
      <c r="A893" s="8">
        <v>42</v>
      </c>
      <c r="B893" s="8">
        <v>31</v>
      </c>
      <c r="C893" s="8">
        <v>3508</v>
      </c>
      <c r="D893" s="16">
        <v>1.8698389999999999E-2</v>
      </c>
      <c r="E893">
        <v>9.3491949999999994E-3</v>
      </c>
    </row>
    <row r="894" spans="1:5" x14ac:dyDescent="0.3">
      <c r="A894" s="8">
        <v>42</v>
      </c>
      <c r="B894" s="8">
        <v>32</v>
      </c>
      <c r="C894" s="8">
        <v>3561</v>
      </c>
      <c r="D894" s="16">
        <v>-2.598164E-2</v>
      </c>
      <c r="E894">
        <v>-1.299082E-2</v>
      </c>
    </row>
    <row r="895" spans="1:5" x14ac:dyDescent="0.3">
      <c r="A895" s="8">
        <v>42</v>
      </c>
      <c r="B895" s="8">
        <v>33</v>
      </c>
      <c r="C895" s="8">
        <v>3610</v>
      </c>
      <c r="D895" s="16">
        <v>-3.2374140000000003E-2</v>
      </c>
      <c r="E895">
        <v>-1.6187070000000001E-2</v>
      </c>
    </row>
    <row r="896" spans="1:5" x14ac:dyDescent="0.3">
      <c r="A896" s="8">
        <v>42</v>
      </c>
      <c r="B896" s="8">
        <v>34</v>
      </c>
      <c r="C896" s="8">
        <v>3603</v>
      </c>
      <c r="D896" s="16">
        <v>1.997141E-3</v>
      </c>
      <c r="E896">
        <v>9.9857050000000001E-4</v>
      </c>
    </row>
    <row r="897" spans="1:5" x14ac:dyDescent="0.3">
      <c r="A897" s="8">
        <v>42</v>
      </c>
      <c r="B897" s="8">
        <v>35</v>
      </c>
      <c r="C897" s="8">
        <v>3591</v>
      </c>
      <c r="D897" s="16">
        <v>-3.4814209999999998E-2</v>
      </c>
      <c r="E897">
        <v>-1.7407104999999999E-2</v>
      </c>
    </row>
    <row r="898" spans="1:5" x14ac:dyDescent="0.3">
      <c r="A898" s="8">
        <v>42</v>
      </c>
      <c r="B898" s="8">
        <v>36</v>
      </c>
      <c r="C898" s="8">
        <v>3597</v>
      </c>
      <c r="D898" s="16">
        <v>-5.5285519999999998E-2</v>
      </c>
      <c r="E898">
        <v>-2.7642759999999999E-2</v>
      </c>
    </row>
    <row r="899" spans="1:5" x14ac:dyDescent="0.3">
      <c r="A899" s="8">
        <v>42</v>
      </c>
      <c r="B899" s="8">
        <v>37</v>
      </c>
      <c r="C899" s="8">
        <v>3567</v>
      </c>
      <c r="D899" s="16">
        <v>-3.4881420000000003E-2</v>
      </c>
      <c r="E899">
        <v>-1.7440710000000002E-2</v>
      </c>
    </row>
    <row r="900" spans="1:5" x14ac:dyDescent="0.3">
      <c r="A900" s="8">
        <v>42</v>
      </c>
      <c r="B900" s="8">
        <v>38</v>
      </c>
      <c r="C900" s="8">
        <v>3618</v>
      </c>
      <c r="D900" s="16">
        <v>-6.569386E-3</v>
      </c>
      <c r="E900">
        <v>-3.284693E-3</v>
      </c>
    </row>
    <row r="901" spans="1:5" x14ac:dyDescent="0.3">
      <c r="A901" s="8">
        <v>42</v>
      </c>
      <c r="B901" s="8">
        <v>39</v>
      </c>
      <c r="C901" s="8">
        <v>3601</v>
      </c>
      <c r="D901" s="16">
        <v>-4.0847280000000001E-3</v>
      </c>
      <c r="E901">
        <v>-2.0423640000000001E-3</v>
      </c>
    </row>
    <row r="902" spans="1:5" x14ac:dyDescent="0.3">
      <c r="A902" s="8">
        <v>42</v>
      </c>
      <c r="B902" s="8">
        <v>40</v>
      </c>
      <c r="C902" s="8">
        <v>3610</v>
      </c>
      <c r="D902" s="16">
        <v>-6.1079079999999996E-3</v>
      </c>
      <c r="E902">
        <v>-3.0539539999999998E-3</v>
      </c>
    </row>
    <row r="903" spans="1:5" x14ac:dyDescent="0.3">
      <c r="A903" s="8">
        <v>42</v>
      </c>
      <c r="B903" s="8">
        <v>41</v>
      </c>
      <c r="C903" s="8">
        <v>3573</v>
      </c>
      <c r="D903" s="16">
        <v>-2.65653E-2</v>
      </c>
      <c r="E903">
        <v>-1.328265E-2</v>
      </c>
    </row>
    <row r="904" spans="1:5" x14ac:dyDescent="0.3">
      <c r="A904" s="8">
        <v>42</v>
      </c>
      <c r="B904" s="8">
        <v>42</v>
      </c>
      <c r="C904" s="8">
        <v>3882</v>
      </c>
      <c r="D904" s="16">
        <v>1.005396</v>
      </c>
      <c r="E904"/>
    </row>
    <row r="905" spans="1:5" x14ac:dyDescent="0.3">
      <c r="A905" s="8">
        <v>43</v>
      </c>
      <c r="B905" s="8">
        <v>1</v>
      </c>
      <c r="C905" s="8">
        <v>3588</v>
      </c>
      <c r="D905" s="16">
        <v>-2.6603519999999999E-3</v>
      </c>
      <c r="E905">
        <v>-1.330176E-3</v>
      </c>
    </row>
    <row r="906" spans="1:5" x14ac:dyDescent="0.3">
      <c r="A906" s="8">
        <v>43</v>
      </c>
      <c r="B906" s="8">
        <v>2</v>
      </c>
      <c r="C906" s="8">
        <v>3579</v>
      </c>
      <c r="D906" s="16">
        <v>-3.5393429999999997E-2</v>
      </c>
      <c r="E906">
        <v>-1.7696714999999998E-2</v>
      </c>
    </row>
    <row r="907" spans="1:5" x14ac:dyDescent="0.3">
      <c r="A907" s="8">
        <v>43</v>
      </c>
      <c r="B907" s="8">
        <v>3</v>
      </c>
      <c r="C907" s="8">
        <v>3598</v>
      </c>
      <c r="D907" s="16">
        <v>-2.960643E-2</v>
      </c>
      <c r="E907">
        <v>-1.4803215E-2</v>
      </c>
    </row>
    <row r="908" spans="1:5" x14ac:dyDescent="0.3">
      <c r="A908" s="8">
        <v>43</v>
      </c>
      <c r="B908" s="8">
        <v>4</v>
      </c>
      <c r="C908" s="8">
        <v>3548</v>
      </c>
      <c r="D908" s="16">
        <v>6.6448820000000004E-3</v>
      </c>
      <c r="E908">
        <v>3.3224410000000002E-3</v>
      </c>
    </row>
    <row r="909" spans="1:5" x14ac:dyDescent="0.3">
      <c r="A909" s="8">
        <v>43</v>
      </c>
      <c r="B909" s="8">
        <v>5</v>
      </c>
      <c r="C909" s="8">
        <v>3577</v>
      </c>
      <c r="D909" s="16">
        <v>-6.4463839999999994E-2</v>
      </c>
      <c r="E909">
        <v>-3.2231919999999997E-2</v>
      </c>
    </row>
    <row r="910" spans="1:5" x14ac:dyDescent="0.3">
      <c r="A910" s="8">
        <v>43</v>
      </c>
      <c r="B910" s="8">
        <v>6</v>
      </c>
      <c r="C910" s="8">
        <v>3571</v>
      </c>
      <c r="D910" s="16">
        <v>-1.4322639999999999E-2</v>
      </c>
      <c r="E910">
        <v>-7.1613199999999997E-3</v>
      </c>
    </row>
    <row r="911" spans="1:5" x14ac:dyDescent="0.3">
      <c r="A911" s="8">
        <v>43</v>
      </c>
      <c r="B911" s="8">
        <v>7</v>
      </c>
      <c r="C911" s="8">
        <v>3544</v>
      </c>
      <c r="D911" s="16">
        <v>-1.497631E-2</v>
      </c>
      <c r="E911">
        <v>-7.4881549999999998E-3</v>
      </c>
    </row>
    <row r="912" spans="1:5" x14ac:dyDescent="0.3">
      <c r="A912" s="8">
        <v>43</v>
      </c>
      <c r="B912" s="8">
        <v>8</v>
      </c>
      <c r="C912" s="8">
        <v>3569</v>
      </c>
      <c r="D912" s="16">
        <v>-2.6403170000000001E-3</v>
      </c>
      <c r="E912">
        <v>-1.3201585E-3</v>
      </c>
    </row>
    <row r="913" spans="1:5" x14ac:dyDescent="0.3">
      <c r="A913" s="8">
        <v>43</v>
      </c>
      <c r="B913" s="8">
        <v>9</v>
      </c>
      <c r="C913" s="8">
        <v>3588</v>
      </c>
      <c r="D913" s="16">
        <v>-6.9721340000000007E-2</v>
      </c>
      <c r="E913">
        <v>-3.4860670000000003E-2</v>
      </c>
    </row>
    <row r="914" spans="1:5" x14ac:dyDescent="0.3">
      <c r="A914" s="8">
        <v>43</v>
      </c>
      <c r="B914" s="8">
        <v>10</v>
      </c>
      <c r="C914" s="8">
        <v>3570</v>
      </c>
      <c r="D914" s="16">
        <v>-2.921874E-2</v>
      </c>
      <c r="E914">
        <v>-1.460937E-2</v>
      </c>
    </row>
    <row r="915" spans="1:5" x14ac:dyDescent="0.3">
      <c r="A915" s="8">
        <v>43</v>
      </c>
      <c r="B915" s="8">
        <v>11</v>
      </c>
      <c r="C915" s="8">
        <v>3571</v>
      </c>
      <c r="D915" s="16">
        <v>-2.0161930000000002E-2</v>
      </c>
      <c r="E915">
        <v>-1.0080965000000001E-2</v>
      </c>
    </row>
    <row r="916" spans="1:5" x14ac:dyDescent="0.3">
      <c r="A916" s="8">
        <v>43</v>
      </c>
      <c r="B916" s="8">
        <v>12</v>
      </c>
      <c r="C916" s="8">
        <v>3582</v>
      </c>
      <c r="D916" s="16">
        <v>-2.123943E-2</v>
      </c>
      <c r="E916">
        <v>-1.0619715E-2</v>
      </c>
    </row>
    <row r="917" spans="1:5" x14ac:dyDescent="0.3">
      <c r="A917" s="8">
        <v>43</v>
      </c>
      <c r="B917" s="8">
        <v>13</v>
      </c>
      <c r="C917" s="8">
        <v>3581</v>
      </c>
      <c r="D917" s="16">
        <v>-1.33457E-2</v>
      </c>
      <c r="E917">
        <v>-6.6728500000000001E-3</v>
      </c>
    </row>
    <row r="918" spans="1:5" x14ac:dyDescent="0.3">
      <c r="A918" s="8">
        <v>43</v>
      </c>
      <c r="B918" s="8">
        <v>14</v>
      </c>
      <c r="C918" s="8">
        <v>3575</v>
      </c>
      <c r="D918" s="16">
        <v>-3.5819070000000001E-2</v>
      </c>
      <c r="E918">
        <v>-1.7909535000000001E-2</v>
      </c>
    </row>
    <row r="919" spans="1:5" x14ac:dyDescent="0.3">
      <c r="A919" s="8">
        <v>43</v>
      </c>
      <c r="B919" s="8">
        <v>15</v>
      </c>
      <c r="C919" s="8">
        <v>3584</v>
      </c>
      <c r="D919" s="16">
        <v>2.976115E-2</v>
      </c>
      <c r="E919">
        <v>1.4880575E-2</v>
      </c>
    </row>
    <row r="920" spans="1:5" x14ac:dyDescent="0.3">
      <c r="A920" s="8">
        <v>43</v>
      </c>
      <c r="B920" s="8">
        <v>16</v>
      </c>
      <c r="C920" s="8">
        <v>3569</v>
      </c>
      <c r="D920" s="16">
        <v>4.523333E-3</v>
      </c>
      <c r="E920">
        <v>2.2616665E-3</v>
      </c>
    </row>
    <row r="921" spans="1:5" x14ac:dyDescent="0.3">
      <c r="A921" s="8">
        <v>43</v>
      </c>
      <c r="B921" s="8">
        <v>17</v>
      </c>
      <c r="C921" s="8">
        <v>3582</v>
      </c>
      <c r="D921" s="16">
        <v>1.4662079999999999E-2</v>
      </c>
      <c r="E921">
        <v>7.3310399999999996E-3</v>
      </c>
    </row>
    <row r="922" spans="1:5" x14ac:dyDescent="0.3">
      <c r="A922" s="8">
        <v>43</v>
      </c>
      <c r="B922" s="8">
        <v>18</v>
      </c>
      <c r="C922" s="8">
        <v>3594</v>
      </c>
      <c r="D922" s="16">
        <v>-4.2903469999999999E-3</v>
      </c>
      <c r="E922">
        <v>-2.1451735E-3</v>
      </c>
    </row>
    <row r="923" spans="1:5" x14ac:dyDescent="0.3">
      <c r="A923" s="8">
        <v>43</v>
      </c>
      <c r="B923" s="8">
        <v>19</v>
      </c>
      <c r="C923" s="8">
        <v>3552</v>
      </c>
      <c r="D923" s="16">
        <v>-2.6915620000000001E-2</v>
      </c>
      <c r="E923">
        <v>-1.3457810000000001E-2</v>
      </c>
    </row>
    <row r="924" spans="1:5" x14ac:dyDescent="0.3">
      <c r="A924" s="8">
        <v>43</v>
      </c>
      <c r="B924" s="8">
        <v>20</v>
      </c>
      <c r="C924" s="8">
        <v>3550</v>
      </c>
      <c r="D924" s="16">
        <v>-3.8417359999999998E-2</v>
      </c>
      <c r="E924">
        <v>-1.9208679999999999E-2</v>
      </c>
    </row>
    <row r="925" spans="1:5" x14ac:dyDescent="0.3">
      <c r="A925" s="8">
        <v>43</v>
      </c>
      <c r="B925" s="8">
        <v>21</v>
      </c>
      <c r="C925" s="8">
        <v>3603</v>
      </c>
      <c r="D925" s="16">
        <v>-6.42517E-3</v>
      </c>
      <c r="E925">
        <v>-3.212585E-3</v>
      </c>
    </row>
    <row r="926" spans="1:5" x14ac:dyDescent="0.3">
      <c r="A926" s="8">
        <v>43</v>
      </c>
      <c r="B926" s="8">
        <v>22</v>
      </c>
      <c r="C926" s="8">
        <v>3558</v>
      </c>
      <c r="D926" s="16">
        <v>2.2408020000000001E-3</v>
      </c>
      <c r="E926">
        <v>1.120401E-3</v>
      </c>
    </row>
    <row r="927" spans="1:5" x14ac:dyDescent="0.3">
      <c r="A927" s="8">
        <v>43</v>
      </c>
      <c r="B927" s="8">
        <v>23</v>
      </c>
      <c r="C927" s="8">
        <v>3568</v>
      </c>
      <c r="D927" s="16">
        <v>4.1542219999999999E-3</v>
      </c>
      <c r="E927">
        <v>2.077111E-3</v>
      </c>
    </row>
    <row r="928" spans="1:5" x14ac:dyDescent="0.3">
      <c r="A928" s="8">
        <v>43</v>
      </c>
      <c r="B928" s="8">
        <v>24</v>
      </c>
      <c r="C928" s="8">
        <v>3602</v>
      </c>
      <c r="D928" s="16">
        <v>7.1826169999999996E-3</v>
      </c>
      <c r="E928">
        <v>3.5913084999999998E-3</v>
      </c>
    </row>
    <row r="929" spans="1:5" x14ac:dyDescent="0.3">
      <c r="A929" s="8">
        <v>43</v>
      </c>
      <c r="B929" s="8">
        <v>25</v>
      </c>
      <c r="C929" s="8">
        <v>3550</v>
      </c>
      <c r="D929" s="16">
        <v>-1.6598519999999999E-2</v>
      </c>
      <c r="E929">
        <v>-8.2992599999999993E-3</v>
      </c>
    </row>
    <row r="930" spans="1:5" x14ac:dyDescent="0.3">
      <c r="A930" s="8">
        <v>43</v>
      </c>
      <c r="B930" s="8">
        <v>26</v>
      </c>
      <c r="C930" s="8">
        <v>3588</v>
      </c>
      <c r="D930" s="16">
        <v>-2.7878130000000001E-3</v>
      </c>
      <c r="E930">
        <v>-1.3939065E-3</v>
      </c>
    </row>
    <row r="931" spans="1:5" x14ac:dyDescent="0.3">
      <c r="A931" s="8">
        <v>43</v>
      </c>
      <c r="B931" s="8">
        <v>27</v>
      </c>
      <c r="C931" s="8">
        <v>3536</v>
      </c>
      <c r="D931" s="16">
        <v>-1.0989830000000001E-2</v>
      </c>
      <c r="E931">
        <v>-5.4949150000000004E-3</v>
      </c>
    </row>
    <row r="932" spans="1:5" x14ac:dyDescent="0.3">
      <c r="A932" s="8">
        <v>43</v>
      </c>
      <c r="B932" s="8">
        <v>28</v>
      </c>
      <c r="C932" s="8">
        <v>3523</v>
      </c>
      <c r="D932" s="16">
        <v>-1.444046E-2</v>
      </c>
      <c r="E932">
        <v>-7.2202300000000002E-3</v>
      </c>
    </row>
    <row r="933" spans="1:5" x14ac:dyDescent="0.3">
      <c r="A933" s="8">
        <v>43</v>
      </c>
      <c r="B933" s="8">
        <v>29</v>
      </c>
      <c r="C933" s="8">
        <v>3544</v>
      </c>
      <c r="D933" s="16">
        <v>-2.202995E-2</v>
      </c>
      <c r="E933">
        <v>-1.1014975E-2</v>
      </c>
    </row>
    <row r="934" spans="1:5" x14ac:dyDescent="0.3">
      <c r="A934" s="8">
        <v>43</v>
      </c>
      <c r="B934" s="8">
        <v>30</v>
      </c>
      <c r="C934" s="8">
        <v>3553</v>
      </c>
      <c r="D934" s="16">
        <v>-9.2739309999999991E-3</v>
      </c>
      <c r="E934">
        <v>-4.6369654999999996E-3</v>
      </c>
    </row>
    <row r="935" spans="1:5" x14ac:dyDescent="0.3">
      <c r="A935" s="8">
        <v>43</v>
      </c>
      <c r="B935" s="8">
        <v>31</v>
      </c>
      <c r="C935" s="8">
        <v>3480</v>
      </c>
      <c r="D935" s="16">
        <v>-6.5480119999999995E-4</v>
      </c>
      <c r="E935">
        <v>-3.2740059999999998E-4</v>
      </c>
    </row>
    <row r="936" spans="1:5" x14ac:dyDescent="0.3">
      <c r="A936" s="8">
        <v>43</v>
      </c>
      <c r="B936" s="8">
        <v>32</v>
      </c>
      <c r="C936" s="8">
        <v>3541</v>
      </c>
      <c r="D936" s="16">
        <v>-7.425439E-4</v>
      </c>
      <c r="E936">
        <v>-3.7127195E-4</v>
      </c>
    </row>
    <row r="937" spans="1:5" x14ac:dyDescent="0.3">
      <c r="A937" s="8">
        <v>43</v>
      </c>
      <c r="B937" s="8">
        <v>33</v>
      </c>
      <c r="C937" s="8">
        <v>3597</v>
      </c>
      <c r="D937" s="16">
        <v>1.4845779999999999E-2</v>
      </c>
      <c r="E937">
        <v>7.4228899999999997E-3</v>
      </c>
    </row>
    <row r="938" spans="1:5" x14ac:dyDescent="0.3">
      <c r="A938" s="8">
        <v>43</v>
      </c>
      <c r="B938" s="8">
        <v>34</v>
      </c>
      <c r="C938" s="8">
        <v>3578</v>
      </c>
      <c r="D938" s="16">
        <v>7.7893399999999996E-3</v>
      </c>
      <c r="E938">
        <v>3.8946699999999998E-3</v>
      </c>
    </row>
    <row r="939" spans="1:5" x14ac:dyDescent="0.3">
      <c r="A939" s="8">
        <v>43</v>
      </c>
      <c r="B939" s="8">
        <v>35</v>
      </c>
      <c r="C939" s="8">
        <v>3561</v>
      </c>
      <c r="D939" s="16">
        <v>-4.0322200000000002E-2</v>
      </c>
      <c r="E939">
        <v>-2.0161100000000001E-2</v>
      </c>
    </row>
    <row r="940" spans="1:5" x14ac:dyDescent="0.3">
      <c r="A940" s="8">
        <v>43</v>
      </c>
      <c r="B940" s="8">
        <v>36</v>
      </c>
      <c r="C940" s="8">
        <v>3562</v>
      </c>
      <c r="D940" s="16">
        <v>1.3363669999999999E-2</v>
      </c>
      <c r="E940">
        <v>6.6818349999999997E-3</v>
      </c>
    </row>
    <row r="941" spans="1:5" x14ac:dyDescent="0.3">
      <c r="A941" s="8">
        <v>43</v>
      </c>
      <c r="B941" s="8">
        <v>37</v>
      </c>
      <c r="C941" s="8">
        <v>3530</v>
      </c>
      <c r="D941" s="16">
        <v>-1.7903849999999999E-2</v>
      </c>
      <c r="E941">
        <v>-8.9519249999999995E-3</v>
      </c>
    </row>
    <row r="942" spans="1:5" x14ac:dyDescent="0.3">
      <c r="A942" s="8">
        <v>43</v>
      </c>
      <c r="B942" s="8">
        <v>38</v>
      </c>
      <c r="C942" s="8">
        <v>3584</v>
      </c>
      <c r="D942" s="16">
        <v>-1.263062E-2</v>
      </c>
      <c r="E942">
        <v>-6.3153100000000002E-3</v>
      </c>
    </row>
    <row r="943" spans="1:5" x14ac:dyDescent="0.3">
      <c r="A943" s="8">
        <v>43</v>
      </c>
      <c r="B943" s="8">
        <v>39</v>
      </c>
      <c r="C943" s="8">
        <v>3570</v>
      </c>
      <c r="D943" s="16">
        <v>6.0217059999999999E-3</v>
      </c>
      <c r="E943">
        <v>3.010853E-3</v>
      </c>
    </row>
    <row r="944" spans="1:5" x14ac:dyDescent="0.3">
      <c r="A944" s="8">
        <v>43</v>
      </c>
      <c r="B944" s="8">
        <v>40</v>
      </c>
      <c r="C944" s="8">
        <v>3591</v>
      </c>
      <c r="D944" s="16">
        <v>-3.7078649999999998E-2</v>
      </c>
      <c r="E944">
        <v>-1.8539324999999999E-2</v>
      </c>
    </row>
    <row r="945" spans="1:5" x14ac:dyDescent="0.3">
      <c r="A945" s="8">
        <v>43</v>
      </c>
      <c r="B945" s="8">
        <v>41</v>
      </c>
      <c r="C945" s="8">
        <v>3523</v>
      </c>
      <c r="D945" s="16">
        <v>-1.636493E-2</v>
      </c>
      <c r="E945">
        <v>-8.1824649999999999E-3</v>
      </c>
    </row>
    <row r="946" spans="1:5" x14ac:dyDescent="0.3">
      <c r="A946" s="8">
        <v>43</v>
      </c>
      <c r="B946" s="8">
        <v>42</v>
      </c>
      <c r="C946" s="8">
        <v>3576</v>
      </c>
      <c r="D946" s="16">
        <v>-2.7403599999999998E-3</v>
      </c>
      <c r="E946">
        <v>-1.3701799999999999E-3</v>
      </c>
    </row>
    <row r="947" spans="1:5" x14ac:dyDescent="0.3">
      <c r="A947" s="8">
        <v>43</v>
      </c>
      <c r="B947" s="8">
        <v>43</v>
      </c>
      <c r="C947" s="8">
        <v>3847</v>
      </c>
      <c r="D947" s="16">
        <v>1.03447</v>
      </c>
      <c r="E947"/>
    </row>
    <row r="948" spans="1:5" x14ac:dyDescent="0.3">
      <c r="A948" s="8">
        <v>44</v>
      </c>
      <c r="B948" s="8">
        <v>1</v>
      </c>
      <c r="C948" s="8">
        <v>3578</v>
      </c>
      <c r="D948" s="16">
        <v>1.432986E-3</v>
      </c>
      <c r="E948">
        <v>7.1649300000000001E-4</v>
      </c>
    </row>
    <row r="949" spans="1:5" x14ac:dyDescent="0.3">
      <c r="A949" s="8">
        <v>44</v>
      </c>
      <c r="B949" s="8">
        <v>2</v>
      </c>
      <c r="C949" s="8">
        <v>3568</v>
      </c>
      <c r="D949" s="16">
        <v>-4.1718520000000002E-3</v>
      </c>
      <c r="E949">
        <v>-2.0859260000000001E-3</v>
      </c>
    </row>
    <row r="950" spans="1:5" x14ac:dyDescent="0.3">
      <c r="A950" s="8">
        <v>44</v>
      </c>
      <c r="B950" s="8">
        <v>3</v>
      </c>
      <c r="C950" s="8">
        <v>3578</v>
      </c>
      <c r="D950" s="16">
        <v>-2.7362290000000001E-2</v>
      </c>
      <c r="E950">
        <v>-1.3681145E-2</v>
      </c>
    </row>
    <row r="951" spans="1:5" x14ac:dyDescent="0.3">
      <c r="A951" s="8">
        <v>44</v>
      </c>
      <c r="B951" s="8">
        <v>4</v>
      </c>
      <c r="C951" s="8">
        <v>3541</v>
      </c>
      <c r="D951" s="16">
        <v>-3.3196410000000003E-2</v>
      </c>
      <c r="E951">
        <v>-1.6598205000000001E-2</v>
      </c>
    </row>
    <row r="952" spans="1:5" x14ac:dyDescent="0.3">
      <c r="A952" s="8">
        <v>44</v>
      </c>
      <c r="B952" s="8">
        <v>5</v>
      </c>
      <c r="C952" s="8">
        <v>3565</v>
      </c>
      <c r="D952" s="16">
        <v>6.3389650000000002E-3</v>
      </c>
      <c r="E952">
        <v>3.1694825000000001E-3</v>
      </c>
    </row>
    <row r="953" spans="1:5" x14ac:dyDescent="0.3">
      <c r="A953" s="8">
        <v>44</v>
      </c>
      <c r="B953" s="8">
        <v>6</v>
      </c>
      <c r="C953" s="8">
        <v>3553</v>
      </c>
      <c r="D953" s="16">
        <v>2.9005650000000001E-2</v>
      </c>
      <c r="E953">
        <v>1.4502825E-2</v>
      </c>
    </row>
    <row r="954" spans="1:5" x14ac:dyDescent="0.3">
      <c r="A954" s="8">
        <v>44</v>
      </c>
      <c r="B954" s="8">
        <v>7</v>
      </c>
      <c r="C954" s="8">
        <v>3540</v>
      </c>
      <c r="D954" s="16">
        <v>-3.0135039999999998E-2</v>
      </c>
      <c r="E954">
        <v>-1.5067519999999999E-2</v>
      </c>
    </row>
    <row r="955" spans="1:5" x14ac:dyDescent="0.3">
      <c r="A955" s="8">
        <v>44</v>
      </c>
      <c r="B955" s="8">
        <v>8</v>
      </c>
      <c r="C955" s="8">
        <v>3559</v>
      </c>
      <c r="D955" s="16">
        <v>-1.8165170000000001E-2</v>
      </c>
      <c r="E955">
        <v>-9.0825850000000007E-3</v>
      </c>
    </row>
    <row r="956" spans="1:5" x14ac:dyDescent="0.3">
      <c r="A956" s="8">
        <v>44</v>
      </c>
      <c r="B956" s="8">
        <v>9</v>
      </c>
      <c r="C956" s="8">
        <v>3571</v>
      </c>
      <c r="D956" s="16">
        <v>1.531886E-2</v>
      </c>
      <c r="E956">
        <v>7.6594300000000001E-3</v>
      </c>
    </row>
    <row r="957" spans="1:5" x14ac:dyDescent="0.3">
      <c r="A957" s="8">
        <v>44</v>
      </c>
      <c r="B957" s="8">
        <v>10</v>
      </c>
      <c r="C957" s="8">
        <v>3581</v>
      </c>
      <c r="D957" s="16">
        <v>-1.124152E-2</v>
      </c>
      <c r="E957">
        <v>-5.6207599999999998E-3</v>
      </c>
    </row>
    <row r="958" spans="1:5" x14ac:dyDescent="0.3">
      <c r="A958" s="8">
        <v>44</v>
      </c>
      <c r="B958" s="8">
        <v>11</v>
      </c>
      <c r="C958" s="8">
        <v>3558</v>
      </c>
      <c r="D958" s="16">
        <v>-6.8410700000000003E-3</v>
      </c>
      <c r="E958">
        <v>-3.4205350000000002E-3</v>
      </c>
    </row>
    <row r="959" spans="1:5" x14ac:dyDescent="0.3">
      <c r="A959" s="8">
        <v>44</v>
      </c>
      <c r="B959" s="8">
        <v>12</v>
      </c>
      <c r="C959" s="8">
        <v>3568</v>
      </c>
      <c r="D959" s="16">
        <v>-2.501894E-2</v>
      </c>
      <c r="E959">
        <v>-1.250947E-2</v>
      </c>
    </row>
    <row r="960" spans="1:5" x14ac:dyDescent="0.3">
      <c r="A960" s="8">
        <v>44</v>
      </c>
      <c r="B960" s="8">
        <v>13</v>
      </c>
      <c r="C960" s="8">
        <v>3561</v>
      </c>
      <c r="D960" s="16">
        <v>-1.9804639999999998E-2</v>
      </c>
      <c r="E960">
        <v>-9.9023199999999992E-3</v>
      </c>
    </row>
    <row r="961" spans="1:5" x14ac:dyDescent="0.3">
      <c r="A961" s="8">
        <v>44</v>
      </c>
      <c r="B961" s="8">
        <v>14</v>
      </c>
      <c r="C961" s="8">
        <v>3561</v>
      </c>
      <c r="D961" s="16">
        <v>-1.843732E-2</v>
      </c>
      <c r="E961">
        <v>-9.21866E-3</v>
      </c>
    </row>
    <row r="962" spans="1:5" x14ac:dyDescent="0.3">
      <c r="A962" s="8">
        <v>44</v>
      </c>
      <c r="B962" s="8">
        <v>15</v>
      </c>
      <c r="C962" s="8">
        <v>3579</v>
      </c>
      <c r="D962" s="16">
        <v>6.8854320000000004E-3</v>
      </c>
      <c r="E962">
        <v>3.4427160000000002E-3</v>
      </c>
    </row>
    <row r="963" spans="1:5" x14ac:dyDescent="0.3">
      <c r="A963" s="8">
        <v>44</v>
      </c>
      <c r="B963" s="8">
        <v>16</v>
      </c>
      <c r="C963" s="8">
        <v>3548</v>
      </c>
      <c r="D963" s="16">
        <v>-5.3751550000000002E-2</v>
      </c>
      <c r="E963">
        <v>-2.6875775000000001E-2</v>
      </c>
    </row>
    <row r="964" spans="1:5" x14ac:dyDescent="0.3">
      <c r="A964" s="8">
        <v>44</v>
      </c>
      <c r="B964" s="8">
        <v>17</v>
      </c>
      <c r="C964" s="8">
        <v>3567</v>
      </c>
      <c r="D964" s="16">
        <v>-2.4143419999999999E-2</v>
      </c>
      <c r="E964">
        <v>-1.2071709999999999E-2</v>
      </c>
    </row>
    <row r="965" spans="1:5" x14ac:dyDescent="0.3">
      <c r="A965" s="8">
        <v>44</v>
      </c>
      <c r="B965" s="8">
        <v>18</v>
      </c>
      <c r="C965" s="8">
        <v>3575</v>
      </c>
      <c r="D965" s="16">
        <v>-1.593338E-2</v>
      </c>
      <c r="E965">
        <v>-7.9666900000000002E-3</v>
      </c>
    </row>
    <row r="966" spans="1:5" x14ac:dyDescent="0.3">
      <c r="A966" s="8">
        <v>44</v>
      </c>
      <c r="B966" s="8">
        <v>19</v>
      </c>
      <c r="C966" s="8">
        <v>3536</v>
      </c>
      <c r="D966" s="16">
        <v>-1.2855810000000001E-2</v>
      </c>
      <c r="E966">
        <v>-6.4279050000000003E-3</v>
      </c>
    </row>
    <row r="967" spans="1:5" x14ac:dyDescent="0.3">
      <c r="A967" s="8">
        <v>44</v>
      </c>
      <c r="B967" s="8">
        <v>20</v>
      </c>
      <c r="C967" s="8">
        <v>3545</v>
      </c>
      <c r="D967" s="16">
        <v>-8.2042899999999995E-3</v>
      </c>
      <c r="E967">
        <v>-4.1021449999999997E-3</v>
      </c>
    </row>
    <row r="968" spans="1:5" x14ac:dyDescent="0.3">
      <c r="A968" s="8">
        <v>44</v>
      </c>
      <c r="B968" s="8">
        <v>21</v>
      </c>
      <c r="C968" s="8">
        <v>3591</v>
      </c>
      <c r="D968" s="16">
        <v>-2.0851740000000001E-2</v>
      </c>
      <c r="E968">
        <v>-1.042587E-2</v>
      </c>
    </row>
    <row r="969" spans="1:5" x14ac:dyDescent="0.3">
      <c r="A969" s="8">
        <v>44</v>
      </c>
      <c r="B969" s="8">
        <v>22</v>
      </c>
      <c r="C969" s="8">
        <v>3552</v>
      </c>
      <c r="D969" s="16">
        <v>-2.130953E-2</v>
      </c>
      <c r="E969">
        <v>-1.0654765E-2</v>
      </c>
    </row>
    <row r="970" spans="1:5" x14ac:dyDescent="0.3">
      <c r="A970" s="8">
        <v>44</v>
      </c>
      <c r="B970" s="8">
        <v>23</v>
      </c>
      <c r="C970" s="8">
        <v>3564</v>
      </c>
      <c r="D970" s="16">
        <v>-3.4736799999999998E-2</v>
      </c>
      <c r="E970">
        <v>-1.7368399999999999E-2</v>
      </c>
    </row>
    <row r="971" spans="1:5" x14ac:dyDescent="0.3">
      <c r="A971" s="8">
        <v>44</v>
      </c>
      <c r="B971" s="8">
        <v>24</v>
      </c>
      <c r="C971" s="8">
        <v>3585</v>
      </c>
      <c r="D971" s="16">
        <v>-4.3475970000000003E-2</v>
      </c>
      <c r="E971">
        <v>-2.1737985000000001E-2</v>
      </c>
    </row>
    <row r="972" spans="1:5" x14ac:dyDescent="0.3">
      <c r="A972" s="8">
        <v>44</v>
      </c>
      <c r="B972" s="8">
        <v>25</v>
      </c>
      <c r="C972" s="8">
        <v>3546</v>
      </c>
      <c r="D972" s="16">
        <v>-9.7115580000000003E-3</v>
      </c>
      <c r="E972">
        <v>-4.8557790000000002E-3</v>
      </c>
    </row>
    <row r="973" spans="1:5" x14ac:dyDescent="0.3">
      <c r="A973" s="8">
        <v>44</v>
      </c>
      <c r="B973" s="8">
        <v>26</v>
      </c>
      <c r="C973" s="8">
        <v>3573</v>
      </c>
      <c r="D973" s="16">
        <v>4.1989810000000002E-4</v>
      </c>
      <c r="E973">
        <v>2.0994905000000001E-4</v>
      </c>
    </row>
    <row r="974" spans="1:5" x14ac:dyDescent="0.3">
      <c r="A974" s="8">
        <v>44</v>
      </c>
      <c r="B974" s="8">
        <v>27</v>
      </c>
      <c r="C974" s="8">
        <v>3551</v>
      </c>
      <c r="D974" s="16">
        <v>-3.2621799999999999E-2</v>
      </c>
      <c r="E974">
        <v>-1.63109E-2</v>
      </c>
    </row>
    <row r="975" spans="1:5" x14ac:dyDescent="0.3">
      <c r="A975" s="8">
        <v>44</v>
      </c>
      <c r="B975" s="8">
        <v>28</v>
      </c>
      <c r="C975" s="8">
        <v>3516</v>
      </c>
      <c r="D975" s="16">
        <v>-1.47513E-2</v>
      </c>
      <c r="E975">
        <v>-7.3756500000000001E-3</v>
      </c>
    </row>
    <row r="976" spans="1:5" x14ac:dyDescent="0.3">
      <c r="A976" s="8">
        <v>44</v>
      </c>
      <c r="B976" s="8">
        <v>29</v>
      </c>
      <c r="C976" s="8">
        <v>3518</v>
      </c>
      <c r="D976" s="16">
        <v>4.1437729999999999E-3</v>
      </c>
      <c r="E976">
        <v>2.0718865E-3</v>
      </c>
    </row>
    <row r="977" spans="1:5" x14ac:dyDescent="0.3">
      <c r="A977" s="8">
        <v>44</v>
      </c>
      <c r="B977" s="8">
        <v>30</v>
      </c>
      <c r="C977" s="8">
        <v>3532</v>
      </c>
      <c r="D977" s="16">
        <v>-9.7838860000000003E-3</v>
      </c>
      <c r="E977">
        <v>-4.8919430000000002E-3</v>
      </c>
    </row>
    <row r="978" spans="1:5" x14ac:dyDescent="0.3">
      <c r="A978" s="8">
        <v>44</v>
      </c>
      <c r="B978" s="8">
        <v>31</v>
      </c>
      <c r="C978" s="8">
        <v>3455</v>
      </c>
      <c r="D978" s="16">
        <v>2.0267319999999998E-2</v>
      </c>
      <c r="E978">
        <v>1.0133659999999999E-2</v>
      </c>
    </row>
    <row r="979" spans="1:5" x14ac:dyDescent="0.3">
      <c r="A979" s="8">
        <v>44</v>
      </c>
      <c r="B979" s="8">
        <v>32</v>
      </c>
      <c r="C979" s="8">
        <v>3524</v>
      </c>
      <c r="D979" s="16">
        <v>-1.631824E-3</v>
      </c>
      <c r="E979">
        <v>-8.1591200000000002E-4</v>
      </c>
    </row>
    <row r="980" spans="1:5" x14ac:dyDescent="0.3">
      <c r="A980" s="8">
        <v>44</v>
      </c>
      <c r="B980" s="8">
        <v>33</v>
      </c>
      <c r="C980" s="8">
        <v>3580</v>
      </c>
      <c r="D980" s="16">
        <v>-5.4452010000000002E-3</v>
      </c>
      <c r="E980">
        <v>-2.7226005000000001E-3</v>
      </c>
    </row>
    <row r="981" spans="1:5" x14ac:dyDescent="0.3">
      <c r="A981" s="8">
        <v>44</v>
      </c>
      <c r="B981" s="8">
        <v>34</v>
      </c>
      <c r="C981" s="8">
        <v>3569</v>
      </c>
      <c r="D981" s="16">
        <v>-3.5717499999999999E-2</v>
      </c>
      <c r="E981">
        <v>-1.785875E-2</v>
      </c>
    </row>
    <row r="982" spans="1:5" x14ac:dyDescent="0.3">
      <c r="A982" s="8">
        <v>44</v>
      </c>
      <c r="B982" s="8">
        <v>35</v>
      </c>
      <c r="C982" s="8">
        <v>3555</v>
      </c>
      <c r="D982" s="16">
        <v>-5.526085E-3</v>
      </c>
      <c r="E982">
        <v>-2.7630425E-3</v>
      </c>
    </row>
    <row r="983" spans="1:5" x14ac:dyDescent="0.3">
      <c r="A983" s="8">
        <v>44</v>
      </c>
      <c r="B983" s="8">
        <v>36</v>
      </c>
      <c r="C983" s="8">
        <v>3565</v>
      </c>
      <c r="D983" s="16">
        <v>1.4768359999999999E-2</v>
      </c>
      <c r="E983">
        <v>7.3841799999999997E-3</v>
      </c>
    </row>
    <row r="984" spans="1:5" x14ac:dyDescent="0.3">
      <c r="A984" s="8">
        <v>44</v>
      </c>
      <c r="B984" s="8">
        <v>37</v>
      </c>
      <c r="C984" s="8">
        <v>3524</v>
      </c>
      <c r="D984" s="16">
        <v>-2.526846E-2</v>
      </c>
      <c r="E984">
        <v>-1.263423E-2</v>
      </c>
    </row>
    <row r="985" spans="1:5" x14ac:dyDescent="0.3">
      <c r="A985" s="8">
        <v>44</v>
      </c>
      <c r="B985" s="8">
        <v>38</v>
      </c>
      <c r="C985" s="8">
        <v>3565</v>
      </c>
      <c r="D985" s="16">
        <v>-2.068219E-2</v>
      </c>
      <c r="E985">
        <v>-1.0341095E-2</v>
      </c>
    </row>
    <row r="986" spans="1:5" x14ac:dyDescent="0.3">
      <c r="A986" s="8">
        <v>44</v>
      </c>
      <c r="B986" s="8">
        <v>39</v>
      </c>
      <c r="C986" s="8">
        <v>3558</v>
      </c>
      <c r="D986" s="16">
        <v>-1.3956140000000001E-2</v>
      </c>
      <c r="E986">
        <v>-6.9780700000000003E-3</v>
      </c>
    </row>
    <row r="987" spans="1:5" x14ac:dyDescent="0.3">
      <c r="A987" s="8">
        <v>44</v>
      </c>
      <c r="B987" s="8">
        <v>40</v>
      </c>
      <c r="C987" s="8">
        <v>3574</v>
      </c>
      <c r="D987" s="16">
        <v>-1.348737E-2</v>
      </c>
      <c r="E987">
        <v>-6.7436850000000001E-3</v>
      </c>
    </row>
    <row r="988" spans="1:5" x14ac:dyDescent="0.3">
      <c r="A988" s="8">
        <v>44</v>
      </c>
      <c r="B988" s="8">
        <v>41</v>
      </c>
      <c r="C988" s="8">
        <v>3535</v>
      </c>
      <c r="D988" s="16">
        <v>-3.824201E-2</v>
      </c>
      <c r="E988">
        <v>-1.9121005E-2</v>
      </c>
    </row>
    <row r="989" spans="1:5" x14ac:dyDescent="0.3">
      <c r="A989" s="8">
        <v>44</v>
      </c>
      <c r="B989" s="8">
        <v>42</v>
      </c>
      <c r="C989" s="8">
        <v>3562</v>
      </c>
      <c r="D989" s="16">
        <v>-1.709565E-2</v>
      </c>
      <c r="E989">
        <v>-8.5478250000000002E-3</v>
      </c>
    </row>
    <row r="990" spans="1:5" x14ac:dyDescent="0.3">
      <c r="A990" s="8">
        <v>44</v>
      </c>
      <c r="B990" s="8">
        <v>43</v>
      </c>
      <c r="C990" s="8">
        <v>3529</v>
      </c>
      <c r="D990" s="16">
        <v>-4.0562889999999997E-2</v>
      </c>
      <c r="E990">
        <v>-2.0281444999999999E-2</v>
      </c>
    </row>
    <row r="991" spans="1:5" x14ac:dyDescent="0.3">
      <c r="A991" s="8">
        <v>44</v>
      </c>
      <c r="B991" s="8">
        <v>44</v>
      </c>
      <c r="C991" s="8">
        <v>3833</v>
      </c>
      <c r="D991" s="16">
        <v>0.98625280000000004</v>
      </c>
      <c r="E991"/>
    </row>
    <row r="992" spans="1:5" x14ac:dyDescent="0.3">
      <c r="A992" s="8">
        <v>45</v>
      </c>
      <c r="B992" s="8">
        <v>1</v>
      </c>
      <c r="C992" s="8">
        <v>3623</v>
      </c>
      <c r="D992" s="16">
        <v>4.4187509999999999E-2</v>
      </c>
      <c r="E992">
        <v>2.2093755E-2</v>
      </c>
    </row>
    <row r="993" spans="1:5" x14ac:dyDescent="0.3">
      <c r="A993" s="8">
        <v>45</v>
      </c>
      <c r="B993" s="8">
        <v>2</v>
      </c>
      <c r="C993" s="8">
        <v>3618</v>
      </c>
      <c r="D993" s="16">
        <v>-2.290712E-2</v>
      </c>
      <c r="E993">
        <v>-1.145356E-2</v>
      </c>
    </row>
    <row r="994" spans="1:5" x14ac:dyDescent="0.3">
      <c r="A994" s="8">
        <v>45</v>
      </c>
      <c r="B994" s="8">
        <v>3</v>
      </c>
      <c r="C994" s="8">
        <v>3628</v>
      </c>
      <c r="D994" s="16">
        <v>-2.9571009999999998E-2</v>
      </c>
      <c r="E994">
        <v>-1.4785504999999999E-2</v>
      </c>
    </row>
    <row r="995" spans="1:5" x14ac:dyDescent="0.3">
      <c r="A995" s="8">
        <v>45</v>
      </c>
      <c r="B995" s="8">
        <v>4</v>
      </c>
      <c r="C995" s="8">
        <v>3590</v>
      </c>
      <c r="D995" s="16">
        <v>-5.1780890000000003E-3</v>
      </c>
      <c r="E995">
        <v>-2.5890445000000002E-3</v>
      </c>
    </row>
    <row r="996" spans="1:5" x14ac:dyDescent="0.3">
      <c r="A996" s="8">
        <v>45</v>
      </c>
      <c r="B996" s="8">
        <v>5</v>
      </c>
      <c r="C996" s="8">
        <v>3603</v>
      </c>
      <c r="D996" s="16">
        <v>3.2130369999999998E-2</v>
      </c>
      <c r="E996">
        <v>1.6065184999999999E-2</v>
      </c>
    </row>
    <row r="997" spans="1:5" x14ac:dyDescent="0.3">
      <c r="A997" s="8">
        <v>45</v>
      </c>
      <c r="B997" s="8">
        <v>6</v>
      </c>
      <c r="C997" s="8">
        <v>3615</v>
      </c>
      <c r="D997" s="16">
        <v>-3.524679E-2</v>
      </c>
      <c r="E997">
        <v>-1.7623395E-2</v>
      </c>
    </row>
    <row r="998" spans="1:5" x14ac:dyDescent="0.3">
      <c r="A998" s="8">
        <v>45</v>
      </c>
      <c r="B998" s="8">
        <v>7</v>
      </c>
      <c r="C998" s="8">
        <v>3586</v>
      </c>
      <c r="D998" s="16">
        <v>-2.1130079999999999E-2</v>
      </c>
      <c r="E998">
        <v>-1.056504E-2</v>
      </c>
    </row>
    <row r="999" spans="1:5" x14ac:dyDescent="0.3">
      <c r="A999" s="8">
        <v>45</v>
      </c>
      <c r="B999" s="8">
        <v>8</v>
      </c>
      <c r="C999" s="8">
        <v>3619</v>
      </c>
      <c r="D999" s="16">
        <v>-4.8153910000000001E-2</v>
      </c>
      <c r="E999">
        <v>-2.4076955000000001E-2</v>
      </c>
    </row>
    <row r="1000" spans="1:5" x14ac:dyDescent="0.3">
      <c r="A1000" s="8">
        <v>45</v>
      </c>
      <c r="B1000" s="8">
        <v>9</v>
      </c>
      <c r="C1000" s="8">
        <v>3622</v>
      </c>
      <c r="D1000" s="16">
        <v>-9.8206219999999998E-4</v>
      </c>
      <c r="E1000">
        <v>-4.9103109999999999E-4</v>
      </c>
    </row>
    <row r="1001" spans="1:5" x14ac:dyDescent="0.3">
      <c r="A1001" s="8">
        <v>45</v>
      </c>
      <c r="B1001" s="8">
        <v>10</v>
      </c>
      <c r="C1001" s="8">
        <v>3609</v>
      </c>
      <c r="D1001" s="16">
        <v>-6.6710060000000002E-3</v>
      </c>
      <c r="E1001">
        <v>-3.3355030000000001E-3</v>
      </c>
    </row>
    <row r="1002" spans="1:5" x14ac:dyDescent="0.3">
      <c r="A1002" s="8">
        <v>45</v>
      </c>
      <c r="B1002" s="8">
        <v>11</v>
      </c>
      <c r="C1002" s="8">
        <v>3615</v>
      </c>
      <c r="D1002" s="16">
        <v>1.198967E-3</v>
      </c>
      <c r="E1002">
        <v>5.994835E-4</v>
      </c>
    </row>
    <row r="1003" spans="1:5" x14ac:dyDescent="0.3">
      <c r="A1003" s="8">
        <v>45</v>
      </c>
      <c r="B1003" s="8">
        <v>12</v>
      </c>
      <c r="C1003" s="8">
        <v>3621</v>
      </c>
      <c r="D1003" s="16">
        <v>-3.2182839999999997E-2</v>
      </c>
      <c r="E1003">
        <v>-1.6091419999999999E-2</v>
      </c>
    </row>
    <row r="1004" spans="1:5" x14ac:dyDescent="0.3">
      <c r="A1004" s="8">
        <v>45</v>
      </c>
      <c r="B1004" s="8">
        <v>13</v>
      </c>
      <c r="C1004" s="8">
        <v>3619</v>
      </c>
      <c r="D1004" s="16">
        <v>-2.6052140000000001E-2</v>
      </c>
      <c r="E1004">
        <v>-1.3026070000000001E-2</v>
      </c>
    </row>
    <row r="1005" spans="1:5" x14ac:dyDescent="0.3">
      <c r="A1005" s="8">
        <v>45</v>
      </c>
      <c r="B1005" s="8">
        <v>14</v>
      </c>
      <c r="C1005" s="8">
        <v>3608</v>
      </c>
      <c r="D1005" s="16">
        <v>-4.57913E-2</v>
      </c>
      <c r="E1005">
        <v>-2.289565E-2</v>
      </c>
    </row>
    <row r="1006" spans="1:5" x14ac:dyDescent="0.3">
      <c r="A1006" s="8">
        <v>45</v>
      </c>
      <c r="B1006" s="8">
        <v>15</v>
      </c>
      <c r="C1006" s="8">
        <v>3627</v>
      </c>
      <c r="D1006" s="16">
        <v>-1.214021E-2</v>
      </c>
      <c r="E1006">
        <v>-6.0701050000000001E-3</v>
      </c>
    </row>
    <row r="1007" spans="1:5" x14ac:dyDescent="0.3">
      <c r="A1007" s="8">
        <v>45</v>
      </c>
      <c r="B1007" s="8">
        <v>16</v>
      </c>
      <c r="C1007" s="8">
        <v>3599</v>
      </c>
      <c r="D1007" s="16">
        <v>-3.7871100000000002E-3</v>
      </c>
      <c r="E1007">
        <v>-1.8935550000000001E-3</v>
      </c>
    </row>
    <row r="1008" spans="1:5" x14ac:dyDescent="0.3">
      <c r="A1008" s="8">
        <v>45</v>
      </c>
      <c r="B1008" s="8">
        <v>17</v>
      </c>
      <c r="C1008" s="8">
        <v>3610</v>
      </c>
      <c r="D1008" s="16">
        <v>-3.104324E-2</v>
      </c>
      <c r="E1008">
        <v>-1.552162E-2</v>
      </c>
    </row>
    <row r="1009" spans="1:5" x14ac:dyDescent="0.3">
      <c r="A1009" s="8">
        <v>45</v>
      </c>
      <c r="B1009" s="8">
        <v>18</v>
      </c>
      <c r="C1009" s="8">
        <v>3621</v>
      </c>
      <c r="D1009" s="16">
        <v>1.372023E-2</v>
      </c>
      <c r="E1009">
        <v>6.860115E-3</v>
      </c>
    </row>
    <row r="1010" spans="1:5" x14ac:dyDescent="0.3">
      <c r="A1010" s="8">
        <v>45</v>
      </c>
      <c r="B1010" s="8">
        <v>19</v>
      </c>
      <c r="C1010" s="8">
        <v>3579</v>
      </c>
      <c r="D1010" s="16">
        <v>-2.3835470000000001E-2</v>
      </c>
      <c r="E1010">
        <v>-1.1917735E-2</v>
      </c>
    </row>
    <row r="1011" spans="1:5" x14ac:dyDescent="0.3">
      <c r="A1011" s="8">
        <v>45</v>
      </c>
      <c r="B1011" s="8">
        <v>20</v>
      </c>
      <c r="C1011" s="8">
        <v>3592</v>
      </c>
      <c r="D1011" s="16">
        <v>-3.1159209999999998E-3</v>
      </c>
      <c r="E1011">
        <v>-1.5579604999999999E-3</v>
      </c>
    </row>
    <row r="1012" spans="1:5" x14ac:dyDescent="0.3">
      <c r="A1012" s="8">
        <v>45</v>
      </c>
      <c r="B1012" s="8">
        <v>21</v>
      </c>
      <c r="C1012" s="8">
        <v>3642</v>
      </c>
      <c r="D1012" s="16">
        <v>-5.5575720000000002E-2</v>
      </c>
      <c r="E1012">
        <v>-2.7787860000000001E-2</v>
      </c>
    </row>
    <row r="1013" spans="1:5" x14ac:dyDescent="0.3">
      <c r="A1013" s="8">
        <v>45</v>
      </c>
      <c r="B1013" s="8">
        <v>22</v>
      </c>
      <c r="C1013" s="8">
        <v>3590</v>
      </c>
      <c r="D1013" s="16">
        <v>1.0356509999999999E-2</v>
      </c>
      <c r="E1013">
        <v>5.1782549999999997E-3</v>
      </c>
    </row>
    <row r="1014" spans="1:5" x14ac:dyDescent="0.3">
      <c r="A1014" s="8">
        <v>45</v>
      </c>
      <c r="B1014" s="8">
        <v>23</v>
      </c>
      <c r="C1014" s="8">
        <v>3602</v>
      </c>
      <c r="D1014" s="16">
        <v>-2.2002399999999998E-2</v>
      </c>
      <c r="E1014">
        <v>-1.1001199999999999E-2</v>
      </c>
    </row>
    <row r="1015" spans="1:5" x14ac:dyDescent="0.3">
      <c r="A1015" s="8">
        <v>45</v>
      </c>
      <c r="B1015" s="8">
        <v>24</v>
      </c>
      <c r="C1015" s="8">
        <v>3627</v>
      </c>
      <c r="D1015" s="16">
        <v>1.3351460000000001E-2</v>
      </c>
      <c r="E1015">
        <v>6.6757300000000004E-3</v>
      </c>
    </row>
    <row r="1016" spans="1:5" x14ac:dyDescent="0.3">
      <c r="A1016" s="8">
        <v>45</v>
      </c>
      <c r="B1016" s="8">
        <v>25</v>
      </c>
      <c r="C1016" s="8">
        <v>3591</v>
      </c>
      <c r="D1016" s="16">
        <v>4.9713090000000001E-4</v>
      </c>
      <c r="E1016">
        <v>2.4856545000000001E-4</v>
      </c>
    </row>
    <row r="1017" spans="1:5" x14ac:dyDescent="0.3">
      <c r="A1017" s="8">
        <v>45</v>
      </c>
      <c r="B1017" s="8">
        <v>26</v>
      </c>
      <c r="C1017" s="8">
        <v>3641</v>
      </c>
      <c r="D1017" s="16">
        <v>-1.9006619999999998E-2</v>
      </c>
      <c r="E1017">
        <v>-9.5033099999999992E-3</v>
      </c>
    </row>
    <row r="1018" spans="1:5" x14ac:dyDescent="0.3">
      <c r="A1018" s="8">
        <v>45</v>
      </c>
      <c r="B1018" s="8">
        <v>27</v>
      </c>
      <c r="C1018" s="8">
        <v>3601</v>
      </c>
      <c r="D1018" s="16">
        <v>-5.5421459999999999E-2</v>
      </c>
      <c r="E1018">
        <v>-2.7710729999999999E-2</v>
      </c>
    </row>
    <row r="1019" spans="1:5" x14ac:dyDescent="0.3">
      <c r="A1019" s="8">
        <v>45</v>
      </c>
      <c r="B1019" s="8">
        <v>28</v>
      </c>
      <c r="C1019" s="8">
        <v>3550</v>
      </c>
      <c r="D1019" s="16">
        <v>-1.2058650000000001E-2</v>
      </c>
      <c r="E1019">
        <v>-6.0293250000000003E-3</v>
      </c>
    </row>
    <row r="1020" spans="1:5" x14ac:dyDescent="0.3">
      <c r="A1020" s="8">
        <v>45</v>
      </c>
      <c r="B1020" s="8">
        <v>29</v>
      </c>
      <c r="C1020" s="8">
        <v>3591</v>
      </c>
      <c r="D1020" s="16">
        <v>-1.8862050000000002E-2</v>
      </c>
      <c r="E1020">
        <v>-9.4310250000000009E-3</v>
      </c>
    </row>
    <row r="1021" spans="1:5" x14ac:dyDescent="0.3">
      <c r="A1021" s="8">
        <v>45</v>
      </c>
      <c r="B1021" s="8">
        <v>30</v>
      </c>
      <c r="C1021" s="8">
        <v>3587</v>
      </c>
      <c r="D1021" s="16">
        <v>1.521136E-3</v>
      </c>
      <c r="E1021">
        <v>7.6056799999999999E-4</v>
      </c>
    </row>
    <row r="1022" spans="1:5" x14ac:dyDescent="0.3">
      <c r="A1022" s="8">
        <v>45</v>
      </c>
      <c r="B1022" s="8">
        <v>31</v>
      </c>
      <c r="C1022" s="8">
        <v>3525</v>
      </c>
      <c r="D1022" s="16">
        <v>-1.295522E-2</v>
      </c>
      <c r="E1022">
        <v>-6.47761E-3</v>
      </c>
    </row>
    <row r="1023" spans="1:5" x14ac:dyDescent="0.3">
      <c r="A1023" s="8">
        <v>45</v>
      </c>
      <c r="B1023" s="8">
        <v>32</v>
      </c>
      <c r="C1023" s="8">
        <v>3588</v>
      </c>
      <c r="D1023" s="16">
        <v>1.9334070000000001E-3</v>
      </c>
      <c r="E1023">
        <v>9.6670350000000003E-4</v>
      </c>
    </row>
    <row r="1024" spans="1:5" x14ac:dyDescent="0.3">
      <c r="A1024" s="8">
        <v>45</v>
      </c>
      <c r="B1024" s="8">
        <v>33</v>
      </c>
      <c r="C1024" s="8">
        <v>3622</v>
      </c>
      <c r="D1024" s="16">
        <v>-1.3954909999999999E-2</v>
      </c>
      <c r="E1024">
        <v>-6.9774549999999996E-3</v>
      </c>
    </row>
    <row r="1025" spans="1:5" x14ac:dyDescent="0.3">
      <c r="A1025" s="8">
        <v>45</v>
      </c>
      <c r="B1025" s="8">
        <v>34</v>
      </c>
      <c r="C1025" s="8">
        <v>3626</v>
      </c>
      <c r="D1025" s="16">
        <v>-1.3665399999999999E-2</v>
      </c>
      <c r="E1025">
        <v>-6.8326999999999997E-3</v>
      </c>
    </row>
    <row r="1026" spans="1:5" x14ac:dyDescent="0.3">
      <c r="A1026" s="8">
        <v>45</v>
      </c>
      <c r="B1026" s="8">
        <v>35</v>
      </c>
      <c r="C1026" s="8">
        <v>3606</v>
      </c>
      <c r="D1026" s="16">
        <v>-1.52058E-2</v>
      </c>
      <c r="E1026">
        <v>-7.6029000000000001E-3</v>
      </c>
    </row>
    <row r="1027" spans="1:5" x14ac:dyDescent="0.3">
      <c r="A1027" s="8">
        <v>45</v>
      </c>
      <c r="B1027" s="8">
        <v>36</v>
      </c>
      <c r="C1027" s="8">
        <v>3590</v>
      </c>
      <c r="D1027" s="16">
        <v>9.4525259999999993E-3</v>
      </c>
      <c r="E1027">
        <v>4.7262629999999996E-3</v>
      </c>
    </row>
    <row r="1028" spans="1:5" x14ac:dyDescent="0.3">
      <c r="A1028" s="8">
        <v>45</v>
      </c>
      <c r="B1028" s="8">
        <v>37</v>
      </c>
      <c r="C1028" s="8">
        <v>3570</v>
      </c>
      <c r="D1028" s="16">
        <v>-3.385589E-2</v>
      </c>
      <c r="E1028">
        <v>-1.6927945E-2</v>
      </c>
    </row>
    <row r="1029" spans="1:5" x14ac:dyDescent="0.3">
      <c r="A1029" s="8">
        <v>45</v>
      </c>
      <c r="B1029" s="8">
        <v>38</v>
      </c>
      <c r="C1029" s="8">
        <v>3614</v>
      </c>
      <c r="D1029" s="16">
        <v>-2.2077019999999999E-2</v>
      </c>
      <c r="E1029">
        <v>-1.103851E-2</v>
      </c>
    </row>
    <row r="1030" spans="1:5" x14ac:dyDescent="0.3">
      <c r="A1030" s="8">
        <v>45</v>
      </c>
      <c r="B1030" s="8">
        <v>39</v>
      </c>
      <c r="C1030" s="8">
        <v>3595</v>
      </c>
      <c r="D1030" s="16">
        <v>1.2435440000000001E-2</v>
      </c>
      <c r="E1030">
        <v>6.2177200000000004E-3</v>
      </c>
    </row>
    <row r="1031" spans="1:5" x14ac:dyDescent="0.3">
      <c r="A1031" s="8">
        <v>45</v>
      </c>
      <c r="B1031" s="8">
        <v>40</v>
      </c>
      <c r="C1031" s="8">
        <v>3628</v>
      </c>
      <c r="D1031" s="16">
        <v>-1.557679E-2</v>
      </c>
      <c r="E1031">
        <v>-7.788395E-3</v>
      </c>
    </row>
    <row r="1032" spans="1:5" x14ac:dyDescent="0.3">
      <c r="A1032" s="8">
        <v>45</v>
      </c>
      <c r="B1032" s="8">
        <v>41</v>
      </c>
      <c r="C1032" s="8">
        <v>3577</v>
      </c>
      <c r="D1032" s="16">
        <v>-4.5792350000000002E-2</v>
      </c>
      <c r="E1032">
        <v>-2.2896175000000001E-2</v>
      </c>
    </row>
    <row r="1033" spans="1:5" x14ac:dyDescent="0.3">
      <c r="A1033" s="8">
        <v>45</v>
      </c>
      <c r="B1033" s="8">
        <v>42</v>
      </c>
      <c r="C1033" s="8">
        <v>3601</v>
      </c>
      <c r="D1033" s="16">
        <v>1.4535589999999999E-2</v>
      </c>
      <c r="E1033">
        <v>7.2677949999999996E-3</v>
      </c>
    </row>
    <row r="1034" spans="1:5" x14ac:dyDescent="0.3">
      <c r="A1034" s="8">
        <v>45</v>
      </c>
      <c r="B1034" s="8">
        <v>43</v>
      </c>
      <c r="C1034" s="8">
        <v>3580</v>
      </c>
      <c r="D1034" s="16">
        <v>-2.994964E-2</v>
      </c>
      <c r="E1034">
        <v>-1.497482E-2</v>
      </c>
    </row>
    <row r="1035" spans="1:5" x14ac:dyDescent="0.3">
      <c r="A1035" s="8">
        <v>45</v>
      </c>
      <c r="B1035" s="8">
        <v>44</v>
      </c>
      <c r="C1035" s="8">
        <v>3566</v>
      </c>
      <c r="D1035" s="16">
        <v>-1.7447609999999999E-2</v>
      </c>
      <c r="E1035">
        <v>-8.7238049999999994E-3</v>
      </c>
    </row>
    <row r="1036" spans="1:5" x14ac:dyDescent="0.3">
      <c r="A1036" s="8">
        <v>45</v>
      </c>
      <c r="B1036" s="8">
        <v>45</v>
      </c>
      <c r="C1036" s="8">
        <v>3893</v>
      </c>
      <c r="D1036" s="16">
        <v>1.0072920000000001</v>
      </c>
      <c r="E1036"/>
    </row>
    <row r="1037" spans="1:5" x14ac:dyDescent="0.3">
      <c r="A1037" s="8">
        <v>46</v>
      </c>
      <c r="B1037" s="8">
        <v>1</v>
      </c>
      <c r="C1037" s="8">
        <v>3624</v>
      </c>
      <c r="D1037" s="16">
        <v>-1.7022530000000001E-2</v>
      </c>
      <c r="E1037">
        <v>-8.5112650000000005E-3</v>
      </c>
    </row>
    <row r="1038" spans="1:5" x14ac:dyDescent="0.3">
      <c r="A1038" s="8">
        <v>46</v>
      </c>
      <c r="B1038" s="8">
        <v>2</v>
      </c>
      <c r="C1038" s="8">
        <v>3603</v>
      </c>
      <c r="D1038" s="16">
        <v>-6.7442830000000002E-4</v>
      </c>
      <c r="E1038">
        <v>-3.3721415000000001E-4</v>
      </c>
    </row>
    <row r="1039" spans="1:5" x14ac:dyDescent="0.3">
      <c r="A1039" s="8">
        <v>46</v>
      </c>
      <c r="B1039" s="8">
        <v>3</v>
      </c>
      <c r="C1039" s="8">
        <v>3624</v>
      </c>
      <c r="D1039" s="16">
        <v>8.4280220000000003E-3</v>
      </c>
      <c r="E1039">
        <v>4.2140110000000001E-3</v>
      </c>
    </row>
    <row r="1040" spans="1:5" x14ac:dyDescent="0.3">
      <c r="A1040" s="8">
        <v>46</v>
      </c>
      <c r="B1040" s="8">
        <v>4</v>
      </c>
      <c r="C1040" s="8">
        <v>3581</v>
      </c>
      <c r="D1040" s="16">
        <v>1.541535E-2</v>
      </c>
      <c r="E1040">
        <v>7.7076749999999998E-3</v>
      </c>
    </row>
    <row r="1041" spans="1:5" x14ac:dyDescent="0.3">
      <c r="A1041" s="8">
        <v>46</v>
      </c>
      <c r="B1041" s="8">
        <v>5</v>
      </c>
      <c r="C1041" s="8">
        <v>3594</v>
      </c>
      <c r="D1041" s="16">
        <v>-2.4197940000000001E-2</v>
      </c>
      <c r="E1041">
        <v>-1.2098970000000001E-2</v>
      </c>
    </row>
    <row r="1042" spans="1:5" x14ac:dyDescent="0.3">
      <c r="A1042" s="8">
        <v>46</v>
      </c>
      <c r="B1042" s="8">
        <v>6</v>
      </c>
      <c r="C1042" s="8">
        <v>3608</v>
      </c>
      <c r="D1042" s="16">
        <v>8.4604120000000005E-3</v>
      </c>
      <c r="E1042">
        <v>4.2302060000000002E-3</v>
      </c>
    </row>
    <row r="1043" spans="1:5" x14ac:dyDescent="0.3">
      <c r="A1043" s="8">
        <v>46</v>
      </c>
      <c r="B1043" s="8">
        <v>7</v>
      </c>
      <c r="C1043" s="8">
        <v>3578</v>
      </c>
      <c r="D1043" s="16">
        <v>-6.0461480000000003E-3</v>
      </c>
      <c r="E1043">
        <v>-3.0230740000000002E-3</v>
      </c>
    </row>
    <row r="1044" spans="1:5" x14ac:dyDescent="0.3">
      <c r="A1044" s="8">
        <v>46</v>
      </c>
      <c r="B1044" s="8">
        <v>8</v>
      </c>
      <c r="C1044" s="8">
        <v>3602</v>
      </c>
      <c r="D1044" s="16">
        <v>-5.5335519999999997E-3</v>
      </c>
      <c r="E1044">
        <v>-2.7667759999999999E-3</v>
      </c>
    </row>
    <row r="1045" spans="1:5" x14ac:dyDescent="0.3">
      <c r="A1045" s="8">
        <v>46</v>
      </c>
      <c r="B1045" s="8">
        <v>9</v>
      </c>
      <c r="C1045" s="8">
        <v>3602</v>
      </c>
      <c r="D1045" s="16">
        <v>6.9993109999999997E-2</v>
      </c>
      <c r="E1045">
        <v>3.4996554999999999E-2</v>
      </c>
    </row>
    <row r="1046" spans="1:5" x14ac:dyDescent="0.3">
      <c r="A1046" s="8">
        <v>46</v>
      </c>
      <c r="B1046" s="8">
        <v>10</v>
      </c>
      <c r="C1046" s="8">
        <v>3612</v>
      </c>
      <c r="D1046" s="16">
        <v>-2.662378E-2</v>
      </c>
      <c r="E1046">
        <v>-1.331189E-2</v>
      </c>
    </row>
    <row r="1047" spans="1:5" x14ac:dyDescent="0.3">
      <c r="A1047" s="8">
        <v>46</v>
      </c>
      <c r="B1047" s="8">
        <v>11</v>
      </c>
      <c r="C1047" s="8">
        <v>3610</v>
      </c>
      <c r="D1047" s="16">
        <v>-3.8111979999999997E-2</v>
      </c>
      <c r="E1047">
        <v>-1.9055989999999998E-2</v>
      </c>
    </row>
    <row r="1048" spans="1:5" x14ac:dyDescent="0.3">
      <c r="A1048" s="8">
        <v>46</v>
      </c>
      <c r="B1048" s="8">
        <v>12</v>
      </c>
      <c r="C1048" s="8">
        <v>3621</v>
      </c>
      <c r="D1048" s="16">
        <v>6.1243249999999999E-2</v>
      </c>
      <c r="E1048">
        <v>3.0621625E-2</v>
      </c>
    </row>
    <row r="1049" spans="1:5" x14ac:dyDescent="0.3">
      <c r="A1049" s="8">
        <v>46</v>
      </c>
      <c r="B1049" s="8">
        <v>13</v>
      </c>
      <c r="C1049" s="8">
        <v>3607</v>
      </c>
      <c r="D1049" s="16">
        <v>-3.5721290000000003E-2</v>
      </c>
      <c r="E1049">
        <v>-1.7860645000000001E-2</v>
      </c>
    </row>
    <row r="1050" spans="1:5" x14ac:dyDescent="0.3">
      <c r="A1050" s="8">
        <v>46</v>
      </c>
      <c r="B1050" s="8">
        <v>14</v>
      </c>
      <c r="C1050" s="8">
        <v>3587</v>
      </c>
      <c r="D1050" s="16">
        <v>7.2629720000000004E-3</v>
      </c>
      <c r="E1050">
        <v>3.6314860000000002E-3</v>
      </c>
    </row>
    <row r="1051" spans="1:5" x14ac:dyDescent="0.3">
      <c r="A1051" s="8">
        <v>46</v>
      </c>
      <c r="B1051" s="8">
        <v>15</v>
      </c>
      <c r="C1051" s="8">
        <v>3619</v>
      </c>
      <c r="D1051" s="16">
        <v>-3.2854229999999998E-2</v>
      </c>
      <c r="E1051">
        <v>-1.6427114999999999E-2</v>
      </c>
    </row>
    <row r="1052" spans="1:5" x14ac:dyDescent="0.3">
      <c r="A1052" s="8">
        <v>46</v>
      </c>
      <c r="B1052" s="8">
        <v>16</v>
      </c>
      <c r="C1052" s="8">
        <v>3595</v>
      </c>
      <c r="D1052" s="16">
        <v>-5.7289670000000001E-2</v>
      </c>
      <c r="E1052">
        <v>-2.8644835E-2</v>
      </c>
    </row>
    <row r="1053" spans="1:5" x14ac:dyDescent="0.3">
      <c r="A1053" s="8">
        <v>46</v>
      </c>
      <c r="B1053" s="8">
        <v>17</v>
      </c>
      <c r="C1053" s="8">
        <v>3616</v>
      </c>
      <c r="D1053" s="16">
        <v>-1.004993E-2</v>
      </c>
      <c r="E1053">
        <v>-5.0249650000000002E-3</v>
      </c>
    </row>
    <row r="1054" spans="1:5" x14ac:dyDescent="0.3">
      <c r="A1054" s="8">
        <v>46</v>
      </c>
      <c r="B1054" s="8">
        <v>18</v>
      </c>
      <c r="C1054" s="8">
        <v>3611</v>
      </c>
      <c r="D1054" s="16">
        <v>-3.2836770000000001E-2</v>
      </c>
      <c r="E1054">
        <v>-1.6418385000000001E-2</v>
      </c>
    </row>
    <row r="1055" spans="1:5" x14ac:dyDescent="0.3">
      <c r="A1055" s="8">
        <v>46</v>
      </c>
      <c r="B1055" s="8">
        <v>19</v>
      </c>
      <c r="C1055" s="8">
        <v>3580</v>
      </c>
      <c r="D1055" s="16">
        <v>-3.4895669999999997E-2</v>
      </c>
      <c r="E1055">
        <v>-1.7447834999999998E-2</v>
      </c>
    </row>
    <row r="1056" spans="1:5" x14ac:dyDescent="0.3">
      <c r="A1056" s="8">
        <v>46</v>
      </c>
      <c r="B1056" s="8">
        <v>20</v>
      </c>
      <c r="C1056" s="8">
        <v>3582</v>
      </c>
      <c r="D1056" s="16">
        <v>-1.6445899999999999E-2</v>
      </c>
      <c r="E1056">
        <v>-8.2229499999999997E-3</v>
      </c>
    </row>
    <row r="1057" spans="1:5" x14ac:dyDescent="0.3">
      <c r="A1057" s="8">
        <v>46</v>
      </c>
      <c r="B1057" s="8">
        <v>21</v>
      </c>
      <c r="C1057" s="8">
        <v>3640</v>
      </c>
      <c r="D1057" s="16">
        <v>-3.1278090000000001E-2</v>
      </c>
      <c r="E1057">
        <v>-1.5639045000000001E-2</v>
      </c>
    </row>
    <row r="1058" spans="1:5" x14ac:dyDescent="0.3">
      <c r="A1058" s="8">
        <v>46</v>
      </c>
      <c r="B1058" s="8">
        <v>22</v>
      </c>
      <c r="C1058" s="8">
        <v>3589</v>
      </c>
      <c r="D1058" s="16">
        <v>1.718973E-2</v>
      </c>
      <c r="E1058">
        <v>8.5948650000000001E-3</v>
      </c>
    </row>
    <row r="1059" spans="1:5" x14ac:dyDescent="0.3">
      <c r="A1059" s="8">
        <v>46</v>
      </c>
      <c r="B1059" s="8">
        <v>23</v>
      </c>
      <c r="C1059" s="8">
        <v>3595</v>
      </c>
      <c r="D1059" s="16">
        <v>-2.894116E-2</v>
      </c>
      <c r="E1059">
        <v>-1.447058E-2</v>
      </c>
    </row>
    <row r="1060" spans="1:5" x14ac:dyDescent="0.3">
      <c r="A1060" s="8">
        <v>46</v>
      </c>
      <c r="B1060" s="8">
        <v>24</v>
      </c>
      <c r="C1060" s="8">
        <v>3621</v>
      </c>
      <c r="D1060" s="16">
        <v>-1.989668E-2</v>
      </c>
      <c r="E1060">
        <v>-9.94834E-3</v>
      </c>
    </row>
    <row r="1061" spans="1:5" x14ac:dyDescent="0.3">
      <c r="A1061" s="8">
        <v>46</v>
      </c>
      <c r="B1061" s="8">
        <v>25</v>
      </c>
      <c r="C1061" s="8">
        <v>3593</v>
      </c>
      <c r="D1061" s="16">
        <v>7.0163780000000002E-3</v>
      </c>
      <c r="E1061">
        <v>3.5081890000000001E-3</v>
      </c>
    </row>
    <row r="1062" spans="1:5" x14ac:dyDescent="0.3">
      <c r="A1062" s="8">
        <v>46</v>
      </c>
      <c r="B1062" s="8">
        <v>26</v>
      </c>
      <c r="C1062" s="8">
        <v>3617</v>
      </c>
      <c r="D1062" s="16">
        <v>6.2963999999999997E-3</v>
      </c>
      <c r="E1062">
        <v>3.1481999999999999E-3</v>
      </c>
    </row>
    <row r="1063" spans="1:5" x14ac:dyDescent="0.3">
      <c r="A1063" s="8">
        <v>46</v>
      </c>
      <c r="B1063" s="8">
        <v>27</v>
      </c>
      <c r="C1063" s="8">
        <v>3587</v>
      </c>
      <c r="D1063" s="16">
        <v>-2.6099379999999998E-2</v>
      </c>
      <c r="E1063">
        <v>-1.3049689999999999E-2</v>
      </c>
    </row>
    <row r="1064" spans="1:5" x14ac:dyDescent="0.3">
      <c r="A1064" s="8">
        <v>46</v>
      </c>
      <c r="B1064" s="8">
        <v>28</v>
      </c>
      <c r="C1064" s="8">
        <v>3551</v>
      </c>
      <c r="D1064" s="16">
        <v>-3.6565189999999997E-2</v>
      </c>
      <c r="E1064">
        <v>-1.8282594999999999E-2</v>
      </c>
    </row>
    <row r="1065" spans="1:5" x14ac:dyDescent="0.3">
      <c r="A1065" s="8">
        <v>46</v>
      </c>
      <c r="B1065" s="8">
        <v>29</v>
      </c>
      <c r="C1065" s="8">
        <v>3569</v>
      </c>
      <c r="D1065" s="16">
        <v>-1.234384E-2</v>
      </c>
      <c r="E1065">
        <v>-6.17192E-3</v>
      </c>
    </row>
    <row r="1066" spans="1:5" x14ac:dyDescent="0.3">
      <c r="A1066" s="8">
        <v>46</v>
      </c>
      <c r="B1066" s="8">
        <v>30</v>
      </c>
      <c r="C1066" s="8">
        <v>3577</v>
      </c>
      <c r="D1066" s="16">
        <v>-4.27991E-2</v>
      </c>
      <c r="E1066">
        <v>-2.139955E-2</v>
      </c>
    </row>
    <row r="1067" spans="1:5" x14ac:dyDescent="0.3">
      <c r="A1067" s="8">
        <v>46</v>
      </c>
      <c r="B1067" s="8">
        <v>31</v>
      </c>
      <c r="C1067" s="8">
        <v>3507</v>
      </c>
      <c r="D1067" s="16">
        <v>-2.7537409999999998E-2</v>
      </c>
      <c r="E1067">
        <v>-1.3768704999999999E-2</v>
      </c>
    </row>
    <row r="1068" spans="1:5" x14ac:dyDescent="0.3">
      <c r="A1068" s="8">
        <v>46</v>
      </c>
      <c r="B1068" s="8">
        <v>32</v>
      </c>
      <c r="C1068" s="8">
        <v>3576</v>
      </c>
      <c r="D1068" s="16">
        <v>-2.4539439999999999E-2</v>
      </c>
      <c r="E1068">
        <v>-1.226972E-2</v>
      </c>
    </row>
    <row r="1069" spans="1:5" x14ac:dyDescent="0.3">
      <c r="A1069" s="8">
        <v>46</v>
      </c>
      <c r="B1069" s="8">
        <v>33</v>
      </c>
      <c r="C1069" s="8">
        <v>3622</v>
      </c>
      <c r="D1069" s="16">
        <v>-4.9886319999999998E-2</v>
      </c>
      <c r="E1069">
        <v>-2.4943159999999999E-2</v>
      </c>
    </row>
    <row r="1070" spans="1:5" x14ac:dyDescent="0.3">
      <c r="A1070" s="8">
        <v>46</v>
      </c>
      <c r="B1070" s="8">
        <v>34</v>
      </c>
      <c r="C1070" s="8">
        <v>3610</v>
      </c>
      <c r="D1070" s="16">
        <v>-4.4664620000000002E-2</v>
      </c>
      <c r="E1070">
        <v>-2.2332310000000001E-2</v>
      </c>
    </row>
    <row r="1071" spans="1:5" x14ac:dyDescent="0.3">
      <c r="A1071" s="8">
        <v>46</v>
      </c>
      <c r="B1071" s="8">
        <v>35</v>
      </c>
      <c r="C1071" s="8">
        <v>3596</v>
      </c>
      <c r="D1071" s="16">
        <v>-8.2303410000000004E-3</v>
      </c>
      <c r="E1071">
        <v>-4.1151705000000002E-3</v>
      </c>
    </row>
    <row r="1072" spans="1:5" x14ac:dyDescent="0.3">
      <c r="A1072" s="8">
        <v>46</v>
      </c>
      <c r="B1072" s="8">
        <v>36</v>
      </c>
      <c r="C1072" s="8">
        <v>3584</v>
      </c>
      <c r="D1072" s="16">
        <v>6.6334929999999999E-3</v>
      </c>
      <c r="E1072">
        <v>3.3167464999999999E-3</v>
      </c>
    </row>
    <row r="1073" spans="1:5" x14ac:dyDescent="0.3">
      <c r="A1073" s="8">
        <v>46</v>
      </c>
      <c r="B1073" s="8">
        <v>37</v>
      </c>
      <c r="C1073" s="8">
        <v>3566</v>
      </c>
      <c r="D1073" s="16">
        <v>-1.4069949999999999E-2</v>
      </c>
      <c r="E1073">
        <v>-7.0349749999999997E-3</v>
      </c>
    </row>
    <row r="1074" spans="1:5" x14ac:dyDescent="0.3">
      <c r="A1074" s="8">
        <v>46</v>
      </c>
      <c r="B1074" s="8">
        <v>38</v>
      </c>
      <c r="C1074" s="8">
        <v>3608</v>
      </c>
      <c r="D1074" s="16">
        <v>-3.61953E-2</v>
      </c>
      <c r="E1074">
        <v>-1.809765E-2</v>
      </c>
    </row>
    <row r="1075" spans="1:5" x14ac:dyDescent="0.3">
      <c r="A1075" s="8">
        <v>46</v>
      </c>
      <c r="B1075" s="8">
        <v>39</v>
      </c>
      <c r="C1075" s="8">
        <v>3587</v>
      </c>
      <c r="D1075" s="16">
        <v>-1.6747439999999999E-2</v>
      </c>
      <c r="E1075">
        <v>-8.3737199999999994E-3</v>
      </c>
    </row>
    <row r="1076" spans="1:5" x14ac:dyDescent="0.3">
      <c r="A1076" s="8">
        <v>46</v>
      </c>
      <c r="B1076" s="8">
        <v>40</v>
      </c>
      <c r="C1076" s="8">
        <v>3612</v>
      </c>
      <c r="D1076" s="16">
        <v>-2.7774579999999998E-4</v>
      </c>
      <c r="E1076">
        <v>-1.3887289999999999E-4</v>
      </c>
    </row>
    <row r="1077" spans="1:5" x14ac:dyDescent="0.3">
      <c r="A1077" s="8">
        <v>46</v>
      </c>
      <c r="B1077" s="8">
        <v>41</v>
      </c>
      <c r="C1077" s="8">
        <v>3565</v>
      </c>
      <c r="D1077" s="16">
        <v>-2.6643070000000001E-2</v>
      </c>
      <c r="E1077">
        <v>-1.3321535000000001E-2</v>
      </c>
    </row>
    <row r="1078" spans="1:5" x14ac:dyDescent="0.3">
      <c r="A1078" s="8">
        <v>46</v>
      </c>
      <c r="B1078" s="8">
        <v>42</v>
      </c>
      <c r="C1078" s="8">
        <v>3607</v>
      </c>
      <c r="D1078" s="16">
        <v>3.301917E-2</v>
      </c>
      <c r="E1078">
        <v>1.6509585E-2</v>
      </c>
    </row>
    <row r="1079" spans="1:5" x14ac:dyDescent="0.3">
      <c r="A1079" s="8">
        <v>46</v>
      </c>
      <c r="B1079" s="8">
        <v>43</v>
      </c>
      <c r="C1079" s="8">
        <v>3556</v>
      </c>
      <c r="D1079" s="16">
        <v>-6.7646670000000006E-2</v>
      </c>
      <c r="E1079">
        <v>-3.3823335000000003E-2</v>
      </c>
    </row>
    <row r="1080" spans="1:5" x14ac:dyDescent="0.3">
      <c r="A1080" s="8">
        <v>46</v>
      </c>
      <c r="B1080" s="8">
        <v>44</v>
      </c>
      <c r="C1080" s="8">
        <v>3549</v>
      </c>
      <c r="D1080" s="16">
        <v>-3.1507599999999997E-2</v>
      </c>
      <c r="E1080">
        <v>-1.5753799999999998E-2</v>
      </c>
    </row>
    <row r="1081" spans="1:5" x14ac:dyDescent="0.3">
      <c r="A1081" s="8">
        <v>46</v>
      </c>
      <c r="B1081" s="8">
        <v>45</v>
      </c>
      <c r="C1081" s="8">
        <v>3603</v>
      </c>
      <c r="D1081" s="16">
        <v>1.586945E-3</v>
      </c>
      <c r="E1081">
        <v>7.9347249999999999E-4</v>
      </c>
    </row>
    <row r="1082" spans="1:5" x14ac:dyDescent="0.3">
      <c r="A1082" s="8">
        <v>46</v>
      </c>
      <c r="B1082" s="8">
        <v>46</v>
      </c>
      <c r="C1082" s="8">
        <v>3881</v>
      </c>
      <c r="D1082" s="16">
        <v>1.151937</v>
      </c>
      <c r="E1082"/>
    </row>
    <row r="1083" spans="1:5" x14ac:dyDescent="0.3">
      <c r="A1083" s="8">
        <v>47</v>
      </c>
      <c r="B1083" s="8">
        <v>1</v>
      </c>
      <c r="C1083" s="8">
        <v>3630</v>
      </c>
      <c r="D1083" s="16">
        <v>-9.5030340000000005E-3</v>
      </c>
      <c r="E1083">
        <v>-4.7515170000000002E-3</v>
      </c>
    </row>
    <row r="1084" spans="1:5" x14ac:dyDescent="0.3">
      <c r="A1084" s="8">
        <v>47</v>
      </c>
      <c r="B1084" s="8">
        <v>2</v>
      </c>
      <c r="C1084" s="8">
        <v>3623</v>
      </c>
      <c r="D1084" s="16">
        <v>2.479364E-3</v>
      </c>
      <c r="E1084">
        <v>1.239682E-3</v>
      </c>
    </row>
    <row r="1085" spans="1:5" x14ac:dyDescent="0.3">
      <c r="A1085" s="8">
        <v>47</v>
      </c>
      <c r="B1085" s="8">
        <v>3</v>
      </c>
      <c r="C1085" s="8">
        <v>3638</v>
      </c>
      <c r="D1085" s="16">
        <v>6.9458599999999999E-3</v>
      </c>
      <c r="E1085">
        <v>3.4729299999999999E-3</v>
      </c>
    </row>
    <row r="1086" spans="1:5" x14ac:dyDescent="0.3">
      <c r="A1086" s="8">
        <v>47</v>
      </c>
      <c r="B1086" s="8">
        <v>4</v>
      </c>
      <c r="C1086" s="8">
        <v>3587</v>
      </c>
      <c r="D1086" s="16">
        <v>-1.2966800000000001E-2</v>
      </c>
      <c r="E1086">
        <v>-6.4834000000000003E-3</v>
      </c>
    </row>
    <row r="1087" spans="1:5" x14ac:dyDescent="0.3">
      <c r="A1087" s="8">
        <v>47</v>
      </c>
      <c r="B1087" s="8">
        <v>5</v>
      </c>
      <c r="C1087" s="8">
        <v>3605</v>
      </c>
      <c r="D1087" s="16">
        <v>-1.0289710000000001E-2</v>
      </c>
      <c r="E1087">
        <v>-5.1448550000000003E-3</v>
      </c>
    </row>
    <row r="1088" spans="1:5" x14ac:dyDescent="0.3">
      <c r="A1088" s="8">
        <v>47</v>
      </c>
      <c r="B1088" s="8">
        <v>6</v>
      </c>
      <c r="C1088" s="8">
        <v>3607</v>
      </c>
      <c r="D1088" s="16">
        <v>-4.7856080000000002E-2</v>
      </c>
      <c r="E1088">
        <v>-2.3928040000000001E-2</v>
      </c>
    </row>
    <row r="1089" spans="1:5" x14ac:dyDescent="0.3">
      <c r="A1089" s="8">
        <v>47</v>
      </c>
      <c r="B1089" s="8">
        <v>7</v>
      </c>
      <c r="C1089" s="8">
        <v>3586</v>
      </c>
      <c r="D1089" s="16">
        <v>1.392198E-2</v>
      </c>
      <c r="E1089">
        <v>6.9609900000000002E-3</v>
      </c>
    </row>
    <row r="1090" spans="1:5" x14ac:dyDescent="0.3">
      <c r="A1090" s="8">
        <v>47</v>
      </c>
      <c r="B1090" s="8">
        <v>8</v>
      </c>
      <c r="C1090" s="8">
        <v>3610</v>
      </c>
      <c r="D1090" s="16">
        <v>-1.3482839999999999E-2</v>
      </c>
      <c r="E1090">
        <v>-6.7414199999999997E-3</v>
      </c>
    </row>
    <row r="1091" spans="1:5" x14ac:dyDescent="0.3">
      <c r="A1091" s="8">
        <v>47</v>
      </c>
      <c r="B1091" s="8">
        <v>9</v>
      </c>
      <c r="C1091" s="8">
        <v>3621</v>
      </c>
      <c r="D1091" s="16">
        <v>-1.051854E-2</v>
      </c>
      <c r="E1091">
        <v>-5.2592699999999999E-3</v>
      </c>
    </row>
    <row r="1092" spans="1:5" x14ac:dyDescent="0.3">
      <c r="A1092" s="8">
        <v>47</v>
      </c>
      <c r="B1092" s="8">
        <v>10</v>
      </c>
      <c r="C1092" s="8">
        <v>3617</v>
      </c>
      <c r="D1092" s="16">
        <v>-3.8486199999999998E-2</v>
      </c>
      <c r="E1092">
        <v>-1.9243099999999999E-2</v>
      </c>
    </row>
    <row r="1093" spans="1:5" x14ac:dyDescent="0.3">
      <c r="A1093" s="8">
        <v>47</v>
      </c>
      <c r="B1093" s="8">
        <v>11</v>
      </c>
      <c r="C1093" s="8">
        <v>3614</v>
      </c>
      <c r="D1093" s="16">
        <v>-1.9270490000000001E-2</v>
      </c>
      <c r="E1093">
        <v>-9.6352450000000006E-3</v>
      </c>
    </row>
    <row r="1094" spans="1:5" x14ac:dyDescent="0.3">
      <c r="A1094" s="8">
        <v>47</v>
      </c>
      <c r="B1094" s="8">
        <v>12</v>
      </c>
      <c r="C1094" s="8">
        <v>3624</v>
      </c>
      <c r="D1094" s="16">
        <v>-3.267685E-2</v>
      </c>
      <c r="E1094">
        <v>-1.6338425E-2</v>
      </c>
    </row>
    <row r="1095" spans="1:5" x14ac:dyDescent="0.3">
      <c r="A1095" s="8">
        <v>47</v>
      </c>
      <c r="B1095" s="8">
        <v>13</v>
      </c>
      <c r="C1095" s="8">
        <v>3614</v>
      </c>
      <c r="D1095" s="16">
        <v>1.176928E-2</v>
      </c>
      <c r="E1095">
        <v>5.88464E-3</v>
      </c>
    </row>
    <row r="1096" spans="1:5" x14ac:dyDescent="0.3">
      <c r="A1096" s="8">
        <v>47</v>
      </c>
      <c r="B1096" s="8">
        <v>14</v>
      </c>
      <c r="C1096" s="8">
        <v>3599</v>
      </c>
      <c r="D1096" s="16">
        <v>-1.274754E-2</v>
      </c>
      <c r="E1096">
        <v>-6.37377E-3</v>
      </c>
    </row>
    <row r="1097" spans="1:5" x14ac:dyDescent="0.3">
      <c r="A1097" s="8">
        <v>47</v>
      </c>
      <c r="B1097" s="8">
        <v>15</v>
      </c>
      <c r="C1097" s="8">
        <v>3623</v>
      </c>
      <c r="D1097" s="16">
        <v>-3.3332800000000003E-2</v>
      </c>
      <c r="E1097">
        <v>-1.6666400000000001E-2</v>
      </c>
    </row>
    <row r="1098" spans="1:5" x14ac:dyDescent="0.3">
      <c r="A1098" s="8">
        <v>47</v>
      </c>
      <c r="B1098" s="8">
        <v>16</v>
      </c>
      <c r="C1098" s="8">
        <v>3591</v>
      </c>
      <c r="D1098" s="16">
        <v>-1.1921269999999999E-2</v>
      </c>
      <c r="E1098">
        <v>-5.9606349999999997E-3</v>
      </c>
    </row>
    <row r="1099" spans="1:5" x14ac:dyDescent="0.3">
      <c r="A1099" s="8">
        <v>47</v>
      </c>
      <c r="B1099" s="8">
        <v>17</v>
      </c>
      <c r="C1099" s="8">
        <v>3613</v>
      </c>
      <c r="D1099" s="16">
        <v>-2.53192E-2</v>
      </c>
      <c r="E1099">
        <v>-1.26596E-2</v>
      </c>
    </row>
    <row r="1100" spans="1:5" x14ac:dyDescent="0.3">
      <c r="A1100" s="8">
        <v>47</v>
      </c>
      <c r="B1100" s="8">
        <v>18</v>
      </c>
      <c r="C1100" s="8">
        <v>3610</v>
      </c>
      <c r="D1100" s="16">
        <v>-2.2569599999999999E-2</v>
      </c>
      <c r="E1100">
        <v>-1.1284799999999999E-2</v>
      </c>
    </row>
    <row r="1101" spans="1:5" x14ac:dyDescent="0.3">
      <c r="A1101" s="8">
        <v>47</v>
      </c>
      <c r="B1101" s="8">
        <v>19</v>
      </c>
      <c r="C1101" s="8">
        <v>3588</v>
      </c>
      <c r="D1101" s="16">
        <v>-1.9691730000000001E-2</v>
      </c>
      <c r="E1101">
        <v>-9.8458650000000005E-3</v>
      </c>
    </row>
    <row r="1102" spans="1:5" x14ac:dyDescent="0.3">
      <c r="A1102" s="8">
        <v>47</v>
      </c>
      <c r="B1102" s="8">
        <v>20</v>
      </c>
      <c r="C1102" s="8">
        <v>3590</v>
      </c>
      <c r="D1102" s="16">
        <v>-2.069588E-2</v>
      </c>
      <c r="E1102">
        <v>-1.034794E-2</v>
      </c>
    </row>
    <row r="1103" spans="1:5" x14ac:dyDescent="0.3">
      <c r="A1103" s="8">
        <v>47</v>
      </c>
      <c r="B1103" s="8">
        <v>21</v>
      </c>
      <c r="C1103" s="8">
        <v>3632</v>
      </c>
      <c r="D1103" s="16">
        <v>1.523832E-2</v>
      </c>
      <c r="E1103">
        <v>7.6191599999999998E-3</v>
      </c>
    </row>
    <row r="1104" spans="1:5" x14ac:dyDescent="0.3">
      <c r="A1104" s="8">
        <v>47</v>
      </c>
      <c r="B1104" s="8">
        <v>22</v>
      </c>
      <c r="C1104" s="8">
        <v>3592</v>
      </c>
      <c r="D1104" s="16">
        <v>-2.20495E-2</v>
      </c>
      <c r="E1104">
        <v>-1.102475E-2</v>
      </c>
    </row>
    <row r="1105" spans="1:5" x14ac:dyDescent="0.3">
      <c r="A1105" s="8">
        <v>47</v>
      </c>
      <c r="B1105" s="8">
        <v>23</v>
      </c>
      <c r="C1105" s="8">
        <v>3592</v>
      </c>
      <c r="D1105" s="16">
        <v>1.59474E-2</v>
      </c>
      <c r="E1105">
        <v>7.9737000000000002E-3</v>
      </c>
    </row>
    <row r="1106" spans="1:5" x14ac:dyDescent="0.3">
      <c r="A1106" s="8">
        <v>47</v>
      </c>
      <c r="B1106" s="8">
        <v>24</v>
      </c>
      <c r="C1106" s="8">
        <v>3617</v>
      </c>
      <c r="D1106" s="16">
        <v>-2.499299E-2</v>
      </c>
      <c r="E1106">
        <v>-1.2496495E-2</v>
      </c>
    </row>
    <row r="1107" spans="1:5" x14ac:dyDescent="0.3">
      <c r="A1107" s="8">
        <v>47</v>
      </c>
      <c r="B1107" s="8">
        <v>25</v>
      </c>
      <c r="C1107" s="8">
        <v>3590</v>
      </c>
      <c r="D1107" s="16">
        <v>3.211897E-3</v>
      </c>
      <c r="E1107">
        <v>1.6059485E-3</v>
      </c>
    </row>
    <row r="1108" spans="1:5" x14ac:dyDescent="0.3">
      <c r="A1108" s="8">
        <v>47</v>
      </c>
      <c r="B1108" s="8">
        <v>26</v>
      </c>
      <c r="C1108" s="8">
        <v>3631</v>
      </c>
      <c r="D1108" s="16">
        <v>-2.7218820000000001E-2</v>
      </c>
      <c r="E1108">
        <v>-1.3609410000000001E-2</v>
      </c>
    </row>
    <row r="1109" spans="1:5" x14ac:dyDescent="0.3">
      <c r="A1109" s="8">
        <v>47</v>
      </c>
      <c r="B1109" s="8">
        <v>27</v>
      </c>
      <c r="C1109" s="8">
        <v>3595</v>
      </c>
      <c r="D1109" s="16">
        <v>6.7254339999999996E-2</v>
      </c>
      <c r="E1109">
        <v>3.3627169999999998E-2</v>
      </c>
    </row>
    <row r="1110" spans="1:5" x14ac:dyDescent="0.3">
      <c r="A1110" s="8">
        <v>47</v>
      </c>
      <c r="B1110" s="8">
        <v>28</v>
      </c>
      <c r="C1110" s="8">
        <v>3550</v>
      </c>
      <c r="D1110" s="16">
        <v>-2.3045909999999999E-2</v>
      </c>
      <c r="E1110">
        <v>-1.1522955E-2</v>
      </c>
    </row>
    <row r="1111" spans="1:5" x14ac:dyDescent="0.3">
      <c r="A1111" s="8">
        <v>47</v>
      </c>
      <c r="B1111" s="8">
        <v>29</v>
      </c>
      <c r="C1111" s="8">
        <v>3576</v>
      </c>
      <c r="D1111" s="16">
        <v>6.5505570000000003E-3</v>
      </c>
      <c r="E1111">
        <v>3.2752785000000001E-3</v>
      </c>
    </row>
    <row r="1112" spans="1:5" x14ac:dyDescent="0.3">
      <c r="A1112" s="8">
        <v>47</v>
      </c>
      <c r="B1112" s="8">
        <v>30</v>
      </c>
      <c r="C1112" s="8">
        <v>3583</v>
      </c>
      <c r="D1112" s="16">
        <v>8.3147429999999994E-3</v>
      </c>
      <c r="E1112">
        <v>4.1573714999999997E-3</v>
      </c>
    </row>
    <row r="1113" spans="1:5" x14ac:dyDescent="0.3">
      <c r="A1113" s="8">
        <v>47</v>
      </c>
      <c r="B1113" s="8">
        <v>31</v>
      </c>
      <c r="C1113" s="8">
        <v>3506</v>
      </c>
      <c r="D1113" s="16">
        <v>3.8780389999999998E-3</v>
      </c>
      <c r="E1113">
        <v>1.9390194999999999E-3</v>
      </c>
    </row>
    <row r="1114" spans="1:5" x14ac:dyDescent="0.3">
      <c r="A1114" s="8">
        <v>47</v>
      </c>
      <c r="B1114" s="8">
        <v>32</v>
      </c>
      <c r="C1114" s="8">
        <v>3581</v>
      </c>
      <c r="D1114" s="16">
        <v>-2.7883189999999999E-2</v>
      </c>
      <c r="E1114">
        <v>-1.3941594999999999E-2</v>
      </c>
    </row>
    <row r="1115" spans="1:5" x14ac:dyDescent="0.3">
      <c r="A1115" s="8">
        <v>47</v>
      </c>
      <c r="B1115" s="8">
        <v>33</v>
      </c>
      <c r="C1115" s="8">
        <v>3626</v>
      </c>
      <c r="D1115" s="16">
        <v>7.2661820000000004E-3</v>
      </c>
      <c r="E1115">
        <v>3.6330910000000002E-3</v>
      </c>
    </row>
    <row r="1116" spans="1:5" x14ac:dyDescent="0.3">
      <c r="A1116" s="8">
        <v>47</v>
      </c>
      <c r="B1116" s="8">
        <v>34</v>
      </c>
      <c r="C1116" s="8">
        <v>3624</v>
      </c>
      <c r="D1116" s="16">
        <v>-2.7601589999999999E-2</v>
      </c>
      <c r="E1116">
        <v>-1.3800794999999999E-2</v>
      </c>
    </row>
    <row r="1117" spans="1:5" x14ac:dyDescent="0.3">
      <c r="A1117" s="8">
        <v>47</v>
      </c>
      <c r="B1117" s="8">
        <v>35</v>
      </c>
      <c r="C1117" s="8">
        <v>3602</v>
      </c>
      <c r="D1117" s="16">
        <v>-3.7410880000000001E-2</v>
      </c>
      <c r="E1117">
        <v>-1.870544E-2</v>
      </c>
    </row>
    <row r="1118" spans="1:5" x14ac:dyDescent="0.3">
      <c r="A1118" s="8">
        <v>47</v>
      </c>
      <c r="B1118" s="8">
        <v>36</v>
      </c>
      <c r="C1118" s="8">
        <v>3605</v>
      </c>
      <c r="D1118" s="16">
        <v>1.287427E-2</v>
      </c>
      <c r="E1118">
        <v>6.4371350000000001E-3</v>
      </c>
    </row>
    <row r="1119" spans="1:5" x14ac:dyDescent="0.3">
      <c r="A1119" s="8">
        <v>47</v>
      </c>
      <c r="B1119" s="8">
        <v>37</v>
      </c>
      <c r="C1119" s="8">
        <v>3567</v>
      </c>
      <c r="D1119" s="16">
        <v>-5.0341869999999997E-2</v>
      </c>
      <c r="E1119">
        <v>-2.5170934999999998E-2</v>
      </c>
    </row>
    <row r="1120" spans="1:5" x14ac:dyDescent="0.3">
      <c r="A1120" s="8">
        <v>47</v>
      </c>
      <c r="B1120" s="8">
        <v>38</v>
      </c>
      <c r="C1120" s="8">
        <v>3619</v>
      </c>
      <c r="D1120" s="16">
        <v>-2.7966439999999999E-2</v>
      </c>
      <c r="E1120">
        <v>-1.3983219999999999E-2</v>
      </c>
    </row>
    <row r="1121" spans="1:5" x14ac:dyDescent="0.3">
      <c r="A1121" s="8">
        <v>47</v>
      </c>
      <c r="B1121" s="8">
        <v>39</v>
      </c>
      <c r="C1121" s="8">
        <v>3592</v>
      </c>
      <c r="D1121" s="16">
        <v>-4.1402670000000003E-2</v>
      </c>
      <c r="E1121">
        <v>-2.0701335000000001E-2</v>
      </c>
    </row>
    <row r="1122" spans="1:5" x14ac:dyDescent="0.3">
      <c r="A1122" s="8">
        <v>47</v>
      </c>
      <c r="B1122" s="8">
        <v>40</v>
      </c>
      <c r="C1122" s="8">
        <v>3617</v>
      </c>
      <c r="D1122" s="16">
        <v>-2.6442440000000001E-2</v>
      </c>
      <c r="E1122">
        <v>-1.3221220000000001E-2</v>
      </c>
    </row>
    <row r="1123" spans="1:5" x14ac:dyDescent="0.3">
      <c r="A1123" s="8">
        <v>47</v>
      </c>
      <c r="B1123" s="8">
        <v>41</v>
      </c>
      <c r="C1123" s="8">
        <v>3583</v>
      </c>
      <c r="D1123" s="16">
        <v>-2.9367130000000002E-2</v>
      </c>
      <c r="E1123">
        <v>-1.4683565000000001E-2</v>
      </c>
    </row>
    <row r="1124" spans="1:5" x14ac:dyDescent="0.3">
      <c r="A1124" s="8">
        <v>47</v>
      </c>
      <c r="B1124" s="8">
        <v>42</v>
      </c>
      <c r="C1124" s="8">
        <v>3605</v>
      </c>
      <c r="D1124" s="16">
        <v>-3.2861679999999997E-2</v>
      </c>
      <c r="E1124">
        <v>-1.6430839999999999E-2</v>
      </c>
    </row>
    <row r="1125" spans="1:5" x14ac:dyDescent="0.3">
      <c r="A1125" s="8">
        <v>47</v>
      </c>
      <c r="B1125" s="8">
        <v>43</v>
      </c>
      <c r="C1125" s="8">
        <v>3576</v>
      </c>
      <c r="D1125" s="16">
        <v>-4.0165630000000001E-2</v>
      </c>
      <c r="E1125">
        <v>-2.0082815E-2</v>
      </c>
    </row>
    <row r="1126" spans="1:5" x14ac:dyDescent="0.3">
      <c r="A1126" s="8">
        <v>47</v>
      </c>
      <c r="B1126" s="8">
        <v>44</v>
      </c>
      <c r="C1126" s="8">
        <v>3570</v>
      </c>
      <c r="D1126" s="16">
        <v>8.9386099999999996E-3</v>
      </c>
      <c r="E1126">
        <v>4.4693049999999998E-3</v>
      </c>
    </row>
    <row r="1127" spans="1:5" x14ac:dyDescent="0.3">
      <c r="A1127" s="8">
        <v>47</v>
      </c>
      <c r="B1127" s="8">
        <v>45</v>
      </c>
      <c r="C1127" s="8">
        <v>3612</v>
      </c>
      <c r="D1127" s="16">
        <v>-1.9341919999999999E-2</v>
      </c>
      <c r="E1127">
        <v>-9.6709599999999993E-3</v>
      </c>
    </row>
    <row r="1128" spans="1:5" x14ac:dyDescent="0.3">
      <c r="A1128" s="8">
        <v>47</v>
      </c>
      <c r="B1128" s="8">
        <v>46</v>
      </c>
      <c r="C1128" s="8">
        <v>3608</v>
      </c>
      <c r="D1128" s="16">
        <v>-3.7491579999999997E-2</v>
      </c>
      <c r="E1128">
        <v>-1.8745789999999998E-2</v>
      </c>
    </row>
    <row r="1129" spans="1:5" x14ac:dyDescent="0.3">
      <c r="A1129" s="8">
        <v>47</v>
      </c>
      <c r="B1129" s="8">
        <v>47</v>
      </c>
      <c r="C1129" s="8">
        <v>3888</v>
      </c>
      <c r="D1129" s="16">
        <v>1.1673100000000001</v>
      </c>
      <c r="E1129"/>
    </row>
    <row r="1130" spans="1:5" x14ac:dyDescent="0.3">
      <c r="A1130" s="8">
        <v>48</v>
      </c>
      <c r="B1130" s="8">
        <v>1</v>
      </c>
      <c r="C1130" s="8">
        <v>3599</v>
      </c>
      <c r="D1130" s="16">
        <v>1.7832250000000001E-2</v>
      </c>
      <c r="E1130">
        <v>8.9161250000000004E-3</v>
      </c>
    </row>
    <row r="1131" spans="1:5" x14ac:dyDescent="0.3">
      <c r="A1131" s="8">
        <v>48</v>
      </c>
      <c r="B1131" s="8">
        <v>2</v>
      </c>
      <c r="C1131" s="8">
        <v>3588</v>
      </c>
      <c r="D1131" s="16">
        <v>-2.1503999999999999E-2</v>
      </c>
      <c r="E1131">
        <v>-1.0751999999999999E-2</v>
      </c>
    </row>
    <row r="1132" spans="1:5" x14ac:dyDescent="0.3">
      <c r="A1132" s="8">
        <v>48</v>
      </c>
      <c r="B1132" s="8">
        <v>3</v>
      </c>
      <c r="C1132" s="8">
        <v>3593</v>
      </c>
      <c r="D1132" s="16">
        <v>-5.3558179999999997E-2</v>
      </c>
      <c r="E1132">
        <v>-2.6779089999999998E-2</v>
      </c>
    </row>
    <row r="1133" spans="1:5" x14ac:dyDescent="0.3">
      <c r="A1133" s="8">
        <v>48</v>
      </c>
      <c r="B1133" s="8">
        <v>4</v>
      </c>
      <c r="C1133" s="8">
        <v>3566</v>
      </c>
      <c r="D1133" s="16">
        <v>6.4079759999999999E-2</v>
      </c>
      <c r="E1133">
        <v>3.203988E-2</v>
      </c>
    </row>
    <row r="1134" spans="1:5" x14ac:dyDescent="0.3">
      <c r="A1134" s="8">
        <v>48</v>
      </c>
      <c r="B1134" s="8">
        <v>5</v>
      </c>
      <c r="C1134" s="8">
        <v>3573</v>
      </c>
      <c r="D1134" s="16">
        <v>-1.6189749999999999E-2</v>
      </c>
      <c r="E1134">
        <v>-8.0948749999999996E-3</v>
      </c>
    </row>
    <row r="1135" spans="1:5" x14ac:dyDescent="0.3">
      <c r="A1135" s="8">
        <v>48</v>
      </c>
      <c r="B1135" s="8">
        <v>6</v>
      </c>
      <c r="C1135" s="8">
        <v>3586</v>
      </c>
      <c r="D1135" s="16">
        <v>-5.0506229999999997E-3</v>
      </c>
      <c r="E1135">
        <v>-2.5253114999999999E-3</v>
      </c>
    </row>
    <row r="1136" spans="1:5" x14ac:dyDescent="0.3">
      <c r="A1136" s="8">
        <v>48</v>
      </c>
      <c r="B1136" s="8">
        <v>7</v>
      </c>
      <c r="C1136" s="8">
        <v>3551</v>
      </c>
      <c r="D1136" s="16">
        <v>2.8413239999999999E-2</v>
      </c>
      <c r="E1136">
        <v>1.420662E-2</v>
      </c>
    </row>
    <row r="1137" spans="1:5" x14ac:dyDescent="0.3">
      <c r="A1137" s="8">
        <v>48</v>
      </c>
      <c r="B1137" s="8">
        <v>8</v>
      </c>
      <c r="C1137" s="8">
        <v>3565</v>
      </c>
      <c r="D1137" s="16">
        <v>7.3123999999999997E-4</v>
      </c>
      <c r="E1137">
        <v>3.6561999999999999E-4</v>
      </c>
    </row>
    <row r="1138" spans="1:5" x14ac:dyDescent="0.3">
      <c r="A1138" s="8">
        <v>48</v>
      </c>
      <c r="B1138" s="8">
        <v>9</v>
      </c>
      <c r="C1138" s="8">
        <v>3589</v>
      </c>
      <c r="D1138" s="16">
        <v>-7.2613540000000004E-2</v>
      </c>
      <c r="E1138">
        <v>-3.6306770000000002E-2</v>
      </c>
    </row>
    <row r="1139" spans="1:5" x14ac:dyDescent="0.3">
      <c r="A1139" s="8">
        <v>48</v>
      </c>
      <c r="B1139" s="8">
        <v>10</v>
      </c>
      <c r="C1139" s="8">
        <v>3588</v>
      </c>
      <c r="D1139" s="16">
        <v>-3.6565540000000001E-2</v>
      </c>
      <c r="E1139">
        <v>-1.828277E-2</v>
      </c>
    </row>
    <row r="1140" spans="1:5" x14ac:dyDescent="0.3">
      <c r="A1140" s="8">
        <v>48</v>
      </c>
      <c r="B1140" s="8">
        <v>11</v>
      </c>
      <c r="C1140" s="8">
        <v>3582</v>
      </c>
      <c r="D1140" s="16">
        <v>-9.8836270000000007E-3</v>
      </c>
      <c r="E1140">
        <v>-4.9418135000000004E-3</v>
      </c>
    </row>
    <row r="1141" spans="1:5" x14ac:dyDescent="0.3">
      <c r="A1141" s="8">
        <v>48</v>
      </c>
      <c r="B1141" s="8">
        <v>12</v>
      </c>
      <c r="C1141" s="8">
        <v>3601</v>
      </c>
      <c r="D1141" s="16">
        <v>-3.633041E-2</v>
      </c>
      <c r="E1141">
        <v>-1.8165205E-2</v>
      </c>
    </row>
    <row r="1142" spans="1:5" x14ac:dyDescent="0.3">
      <c r="A1142" s="8">
        <v>48</v>
      </c>
      <c r="B1142" s="8">
        <v>13</v>
      </c>
      <c r="C1142" s="8">
        <v>3582</v>
      </c>
      <c r="D1142" s="16">
        <v>-3.0177229999999999E-2</v>
      </c>
      <c r="E1142">
        <v>-1.5088615E-2</v>
      </c>
    </row>
    <row r="1143" spans="1:5" x14ac:dyDescent="0.3">
      <c r="A1143" s="8">
        <v>48</v>
      </c>
      <c r="B1143" s="8">
        <v>14</v>
      </c>
      <c r="C1143" s="8">
        <v>3575</v>
      </c>
      <c r="D1143" s="16">
        <v>-1.521466E-2</v>
      </c>
      <c r="E1143">
        <v>-7.6073299999999998E-3</v>
      </c>
    </row>
    <row r="1144" spans="1:5" x14ac:dyDescent="0.3">
      <c r="A1144" s="8">
        <v>48</v>
      </c>
      <c r="B1144" s="8">
        <v>15</v>
      </c>
      <c r="C1144" s="8">
        <v>3598</v>
      </c>
      <c r="D1144" s="16">
        <v>-3.574024E-2</v>
      </c>
      <c r="E1144">
        <v>-1.787012E-2</v>
      </c>
    </row>
    <row r="1145" spans="1:5" x14ac:dyDescent="0.3">
      <c r="A1145" s="8">
        <v>48</v>
      </c>
      <c r="B1145" s="8">
        <v>16</v>
      </c>
      <c r="C1145" s="8">
        <v>3580</v>
      </c>
      <c r="D1145" s="16">
        <v>-4.5346610000000002E-2</v>
      </c>
      <c r="E1145">
        <v>-2.2673305000000001E-2</v>
      </c>
    </row>
    <row r="1146" spans="1:5" x14ac:dyDescent="0.3">
      <c r="A1146" s="8">
        <v>48</v>
      </c>
      <c r="B1146" s="8">
        <v>17</v>
      </c>
      <c r="C1146" s="8">
        <v>3585</v>
      </c>
      <c r="D1146" s="16">
        <v>-2.615222E-2</v>
      </c>
      <c r="E1146">
        <v>-1.307611E-2</v>
      </c>
    </row>
    <row r="1147" spans="1:5" x14ac:dyDescent="0.3">
      <c r="A1147" s="8">
        <v>48</v>
      </c>
      <c r="B1147" s="8">
        <v>18</v>
      </c>
      <c r="C1147" s="8">
        <v>3588</v>
      </c>
      <c r="D1147" s="16">
        <v>-2.9582379999999998E-2</v>
      </c>
      <c r="E1147">
        <v>-1.4791189999999999E-2</v>
      </c>
    </row>
    <row r="1148" spans="1:5" x14ac:dyDescent="0.3">
      <c r="A1148" s="8">
        <v>48</v>
      </c>
      <c r="B1148" s="8">
        <v>19</v>
      </c>
      <c r="C1148" s="8">
        <v>3549</v>
      </c>
      <c r="D1148" s="16">
        <v>-6.258975E-3</v>
      </c>
      <c r="E1148">
        <v>-3.1294875E-3</v>
      </c>
    </row>
    <row r="1149" spans="1:5" x14ac:dyDescent="0.3">
      <c r="A1149" s="8">
        <v>48</v>
      </c>
      <c r="B1149" s="8">
        <v>20</v>
      </c>
      <c r="C1149" s="8">
        <v>3560</v>
      </c>
      <c r="D1149" s="16">
        <v>-3.4816809999999997E-2</v>
      </c>
      <c r="E1149">
        <v>-1.7408404999999998E-2</v>
      </c>
    </row>
    <row r="1150" spans="1:5" x14ac:dyDescent="0.3">
      <c r="A1150" s="8">
        <v>48</v>
      </c>
      <c r="B1150" s="8">
        <v>21</v>
      </c>
      <c r="C1150" s="8">
        <v>3618</v>
      </c>
      <c r="D1150" s="16">
        <v>1.8207089999999999E-2</v>
      </c>
      <c r="E1150">
        <v>9.1035449999999993E-3</v>
      </c>
    </row>
    <row r="1151" spans="1:5" x14ac:dyDescent="0.3">
      <c r="A1151" s="8">
        <v>48</v>
      </c>
      <c r="B1151" s="8">
        <v>22</v>
      </c>
      <c r="C1151" s="8">
        <v>3560</v>
      </c>
      <c r="D1151" s="16">
        <v>-8.0400279999999995E-5</v>
      </c>
      <c r="E1151">
        <v>-4.0200139999999998E-5</v>
      </c>
    </row>
    <row r="1152" spans="1:5" x14ac:dyDescent="0.3">
      <c r="A1152" s="8">
        <v>48</v>
      </c>
      <c r="B1152" s="8">
        <v>23</v>
      </c>
      <c r="C1152" s="8">
        <v>3588</v>
      </c>
      <c r="D1152" s="16">
        <v>1.487228E-2</v>
      </c>
      <c r="E1152">
        <v>7.4361399999999999E-3</v>
      </c>
    </row>
    <row r="1153" spans="1:5" x14ac:dyDescent="0.3">
      <c r="A1153" s="8">
        <v>48</v>
      </c>
      <c r="B1153" s="8">
        <v>24</v>
      </c>
      <c r="C1153" s="8">
        <v>3594</v>
      </c>
      <c r="D1153" s="16">
        <v>2.0997950000000001E-2</v>
      </c>
      <c r="E1153">
        <v>1.0498975000000001E-2</v>
      </c>
    </row>
    <row r="1154" spans="1:5" x14ac:dyDescent="0.3">
      <c r="A1154" s="8">
        <v>48</v>
      </c>
      <c r="B1154" s="8">
        <v>25</v>
      </c>
      <c r="C1154" s="8">
        <v>3560</v>
      </c>
      <c r="D1154" s="16">
        <v>-9.3929219999999997E-3</v>
      </c>
      <c r="E1154">
        <v>-4.6964609999999999E-3</v>
      </c>
    </row>
    <row r="1155" spans="1:5" x14ac:dyDescent="0.3">
      <c r="A1155" s="8">
        <v>48</v>
      </c>
      <c r="B1155" s="8">
        <v>26</v>
      </c>
      <c r="C1155" s="8">
        <v>3605</v>
      </c>
      <c r="D1155" s="16">
        <v>-2.0784130000000001E-2</v>
      </c>
      <c r="E1155">
        <v>-1.0392065000000001E-2</v>
      </c>
    </row>
    <row r="1156" spans="1:5" x14ac:dyDescent="0.3">
      <c r="A1156" s="8">
        <v>48</v>
      </c>
      <c r="B1156" s="8">
        <v>27</v>
      </c>
      <c r="C1156" s="8">
        <v>3554</v>
      </c>
      <c r="D1156" s="16">
        <v>3.1666939999999998E-2</v>
      </c>
      <c r="E1156">
        <v>1.5833469999999999E-2</v>
      </c>
    </row>
    <row r="1157" spans="1:5" x14ac:dyDescent="0.3">
      <c r="A1157" s="8">
        <v>48</v>
      </c>
      <c r="B1157" s="8">
        <v>28</v>
      </c>
      <c r="C1157" s="8">
        <v>3529</v>
      </c>
      <c r="D1157" s="16">
        <v>5.9179460000000003E-3</v>
      </c>
      <c r="E1157">
        <v>2.9589730000000002E-3</v>
      </c>
    </row>
    <row r="1158" spans="1:5" x14ac:dyDescent="0.3">
      <c r="A1158" s="8">
        <v>48</v>
      </c>
      <c r="B1158" s="8">
        <v>29</v>
      </c>
      <c r="C1158" s="8">
        <v>3552</v>
      </c>
      <c r="D1158" s="16">
        <v>-1.6603960000000001E-2</v>
      </c>
      <c r="E1158">
        <v>-8.3019800000000005E-3</v>
      </c>
    </row>
    <row r="1159" spans="1:5" x14ac:dyDescent="0.3">
      <c r="A1159" s="8">
        <v>48</v>
      </c>
      <c r="B1159" s="8">
        <v>30</v>
      </c>
      <c r="C1159" s="8">
        <v>3562</v>
      </c>
      <c r="D1159" s="16">
        <v>-9.7478319999999997E-4</v>
      </c>
      <c r="E1159">
        <v>-4.8739159999999998E-4</v>
      </c>
    </row>
    <row r="1160" spans="1:5" x14ac:dyDescent="0.3">
      <c r="A1160" s="8">
        <v>48</v>
      </c>
      <c r="B1160" s="8">
        <v>31</v>
      </c>
      <c r="C1160" s="8">
        <v>3497</v>
      </c>
      <c r="D1160" s="16">
        <v>-2.8726499999999999E-2</v>
      </c>
      <c r="E1160">
        <v>-1.4363249999999999E-2</v>
      </c>
    </row>
    <row r="1161" spans="1:5" x14ac:dyDescent="0.3">
      <c r="A1161" s="8">
        <v>48</v>
      </c>
      <c r="B1161" s="8">
        <v>32</v>
      </c>
      <c r="C1161" s="8">
        <v>3541</v>
      </c>
      <c r="D1161" s="16">
        <v>-3.636296E-2</v>
      </c>
      <c r="E1161">
        <v>-1.818148E-2</v>
      </c>
    </row>
    <row r="1162" spans="1:5" x14ac:dyDescent="0.3">
      <c r="A1162" s="8">
        <v>48</v>
      </c>
      <c r="B1162" s="8">
        <v>33</v>
      </c>
      <c r="C1162" s="8">
        <v>3590</v>
      </c>
      <c r="D1162" s="16">
        <v>8.662197E-3</v>
      </c>
      <c r="E1162">
        <v>4.3310985E-3</v>
      </c>
    </row>
    <row r="1163" spans="1:5" x14ac:dyDescent="0.3">
      <c r="A1163" s="8">
        <v>48</v>
      </c>
      <c r="B1163" s="8">
        <v>34</v>
      </c>
      <c r="C1163" s="8">
        <v>3593</v>
      </c>
      <c r="D1163" s="16">
        <v>-5.3258760000000002E-2</v>
      </c>
      <c r="E1163">
        <v>-2.6629380000000001E-2</v>
      </c>
    </row>
    <row r="1164" spans="1:5" x14ac:dyDescent="0.3">
      <c r="A1164" s="8">
        <v>48</v>
      </c>
      <c r="B1164" s="8">
        <v>35</v>
      </c>
      <c r="C1164" s="8">
        <v>3571</v>
      </c>
      <c r="D1164" s="16">
        <v>-2.842397E-2</v>
      </c>
      <c r="E1164">
        <v>-1.4211985E-2</v>
      </c>
    </row>
    <row r="1165" spans="1:5" x14ac:dyDescent="0.3">
      <c r="A1165" s="8">
        <v>48</v>
      </c>
      <c r="B1165" s="8">
        <v>36</v>
      </c>
      <c r="C1165" s="8">
        <v>3575</v>
      </c>
      <c r="D1165" s="16">
        <v>-2.5857720000000001E-2</v>
      </c>
      <c r="E1165">
        <v>-1.292886E-2</v>
      </c>
    </row>
    <row r="1166" spans="1:5" x14ac:dyDescent="0.3">
      <c r="A1166" s="8">
        <v>48</v>
      </c>
      <c r="B1166" s="8">
        <v>37</v>
      </c>
      <c r="C1166" s="8">
        <v>3552</v>
      </c>
      <c r="D1166" s="16">
        <v>-1.7885330000000001E-2</v>
      </c>
      <c r="E1166">
        <v>-8.9426650000000007E-3</v>
      </c>
    </row>
    <row r="1167" spans="1:5" x14ac:dyDescent="0.3">
      <c r="A1167" s="8">
        <v>48</v>
      </c>
      <c r="B1167" s="8">
        <v>38</v>
      </c>
      <c r="C1167" s="8">
        <v>3587</v>
      </c>
      <c r="D1167" s="16">
        <v>-1.0811909999999999E-2</v>
      </c>
      <c r="E1167">
        <v>-5.4059549999999996E-3</v>
      </c>
    </row>
    <row r="1168" spans="1:5" x14ac:dyDescent="0.3">
      <c r="A1168" s="8">
        <v>48</v>
      </c>
      <c r="B1168" s="8">
        <v>39</v>
      </c>
      <c r="C1168" s="8">
        <v>3569</v>
      </c>
      <c r="D1168" s="16">
        <v>-4.6211259999999997E-3</v>
      </c>
      <c r="E1168">
        <v>-2.3105629999999999E-3</v>
      </c>
    </row>
    <row r="1169" spans="1:5" x14ac:dyDescent="0.3">
      <c r="A1169" s="8">
        <v>48</v>
      </c>
      <c r="B1169" s="8">
        <v>40</v>
      </c>
      <c r="C1169" s="8">
        <v>3592</v>
      </c>
      <c r="D1169" s="16">
        <v>-4.5552269999999999E-2</v>
      </c>
      <c r="E1169">
        <v>-2.2776134999999999E-2</v>
      </c>
    </row>
    <row r="1170" spans="1:5" x14ac:dyDescent="0.3">
      <c r="A1170" s="8">
        <v>48</v>
      </c>
      <c r="B1170" s="8">
        <v>41</v>
      </c>
      <c r="C1170" s="8">
        <v>3549</v>
      </c>
      <c r="D1170" s="16">
        <v>-6.5029530000000002E-2</v>
      </c>
      <c r="E1170">
        <v>-3.2514765000000001E-2</v>
      </c>
    </row>
    <row r="1171" spans="1:5" x14ac:dyDescent="0.3">
      <c r="A1171" s="8">
        <v>48</v>
      </c>
      <c r="B1171" s="8">
        <v>42</v>
      </c>
      <c r="C1171" s="8">
        <v>3571</v>
      </c>
      <c r="D1171" s="16">
        <v>-1.545495E-2</v>
      </c>
      <c r="E1171">
        <v>-7.7274750000000001E-3</v>
      </c>
    </row>
    <row r="1172" spans="1:5" x14ac:dyDescent="0.3">
      <c r="A1172" s="8">
        <v>48</v>
      </c>
      <c r="B1172" s="8">
        <v>43</v>
      </c>
      <c r="C1172" s="8">
        <v>3547</v>
      </c>
      <c r="D1172" s="16">
        <v>3.5025000000000001E-2</v>
      </c>
      <c r="E1172">
        <v>1.75125E-2</v>
      </c>
    </row>
    <row r="1173" spans="1:5" x14ac:dyDescent="0.3">
      <c r="A1173" s="8">
        <v>48</v>
      </c>
      <c r="B1173" s="8">
        <v>44</v>
      </c>
      <c r="C1173" s="8">
        <v>3531</v>
      </c>
      <c r="D1173" s="16">
        <v>-2.2605770000000002E-3</v>
      </c>
      <c r="E1173">
        <v>-1.1302885000000001E-3</v>
      </c>
    </row>
    <row r="1174" spans="1:5" x14ac:dyDescent="0.3">
      <c r="A1174" s="8">
        <v>48</v>
      </c>
      <c r="B1174" s="8">
        <v>45</v>
      </c>
      <c r="C1174" s="8">
        <v>3581</v>
      </c>
      <c r="D1174" s="16">
        <v>-5.4347290000000001E-3</v>
      </c>
      <c r="E1174">
        <v>-2.7173645000000001E-3</v>
      </c>
    </row>
    <row r="1175" spans="1:5" x14ac:dyDescent="0.3">
      <c r="A1175" s="8">
        <v>48</v>
      </c>
      <c r="B1175" s="8">
        <v>46</v>
      </c>
      <c r="C1175" s="8">
        <v>3582</v>
      </c>
      <c r="D1175" s="16">
        <v>-4.3709860000000003E-2</v>
      </c>
      <c r="E1175">
        <v>-2.1854930000000002E-2</v>
      </c>
    </row>
    <row r="1176" spans="1:5" x14ac:dyDescent="0.3">
      <c r="A1176" s="8">
        <v>48</v>
      </c>
      <c r="B1176" s="8">
        <v>47</v>
      </c>
      <c r="C1176" s="8">
        <v>3582</v>
      </c>
      <c r="D1176" s="16">
        <v>-3.0349729999999998E-2</v>
      </c>
      <c r="E1176">
        <v>-1.5174864999999999E-2</v>
      </c>
    </row>
    <row r="1177" spans="1:5" x14ac:dyDescent="0.3">
      <c r="A1177" s="8">
        <v>48</v>
      </c>
      <c r="B1177" s="8">
        <v>48</v>
      </c>
      <c r="C1177" s="8">
        <v>3852</v>
      </c>
      <c r="D1177" s="16">
        <v>1.0295380000000001</v>
      </c>
      <c r="E1177"/>
    </row>
    <row r="1178" spans="1:5" x14ac:dyDescent="0.3">
      <c r="A1178" s="8">
        <v>49</v>
      </c>
      <c r="B1178" s="8">
        <v>1</v>
      </c>
      <c r="C1178" s="8">
        <v>3622</v>
      </c>
      <c r="D1178" s="16">
        <v>1.902438E-2</v>
      </c>
      <c r="E1178">
        <v>9.5121900000000002E-3</v>
      </c>
    </row>
    <row r="1179" spans="1:5" x14ac:dyDescent="0.3">
      <c r="A1179" s="8">
        <v>49</v>
      </c>
      <c r="B1179" s="8">
        <v>2</v>
      </c>
      <c r="C1179" s="8">
        <v>3601</v>
      </c>
      <c r="D1179" s="16">
        <v>7.7890729999999997E-3</v>
      </c>
      <c r="E1179">
        <v>3.8945364999999998E-3</v>
      </c>
    </row>
    <row r="1180" spans="1:5" x14ac:dyDescent="0.3">
      <c r="A1180" s="8">
        <v>49</v>
      </c>
      <c r="B1180" s="8">
        <v>3</v>
      </c>
      <c r="C1180" s="8">
        <v>3615</v>
      </c>
      <c r="D1180" s="16">
        <v>1.7876550000000001E-4</v>
      </c>
      <c r="E1180">
        <v>8.9382750000000004E-5</v>
      </c>
    </row>
    <row r="1181" spans="1:5" x14ac:dyDescent="0.3">
      <c r="A1181" s="8">
        <v>49</v>
      </c>
      <c r="B1181" s="8">
        <v>4</v>
      </c>
      <c r="C1181" s="8">
        <v>3567</v>
      </c>
      <c r="D1181" s="16">
        <v>3.8846390000000001E-2</v>
      </c>
      <c r="E1181">
        <v>1.9423195000000001E-2</v>
      </c>
    </row>
    <row r="1182" spans="1:5" x14ac:dyDescent="0.3">
      <c r="A1182" s="8">
        <v>49</v>
      </c>
      <c r="B1182" s="8">
        <v>5</v>
      </c>
      <c r="C1182" s="8">
        <v>3585</v>
      </c>
      <c r="D1182" s="16">
        <v>-2.445052E-2</v>
      </c>
      <c r="E1182">
        <v>-1.222526E-2</v>
      </c>
    </row>
    <row r="1183" spans="1:5" x14ac:dyDescent="0.3">
      <c r="A1183" s="8">
        <v>49</v>
      </c>
      <c r="B1183" s="8">
        <v>6</v>
      </c>
      <c r="C1183" s="8">
        <v>3586</v>
      </c>
      <c r="D1183" s="16">
        <v>-1.1992539999999999E-2</v>
      </c>
      <c r="E1183">
        <v>-5.9962699999999997E-3</v>
      </c>
    </row>
    <row r="1184" spans="1:5" x14ac:dyDescent="0.3">
      <c r="A1184" s="8">
        <v>49</v>
      </c>
      <c r="B1184" s="8">
        <v>7</v>
      </c>
      <c r="C1184" s="8">
        <v>3559</v>
      </c>
      <c r="D1184" s="16">
        <v>6.2868459999999996E-3</v>
      </c>
      <c r="E1184">
        <v>3.1434229999999998E-3</v>
      </c>
    </row>
    <row r="1185" spans="1:5" x14ac:dyDescent="0.3">
      <c r="A1185" s="8">
        <v>49</v>
      </c>
      <c r="B1185" s="8">
        <v>8</v>
      </c>
      <c r="C1185" s="8">
        <v>3590</v>
      </c>
      <c r="D1185" s="16">
        <v>-2.425391E-2</v>
      </c>
      <c r="E1185">
        <v>-1.2126955E-2</v>
      </c>
    </row>
    <row r="1186" spans="1:5" x14ac:dyDescent="0.3">
      <c r="A1186" s="8">
        <v>49</v>
      </c>
      <c r="B1186" s="8">
        <v>9</v>
      </c>
      <c r="C1186" s="8">
        <v>3602</v>
      </c>
      <c r="D1186" s="16">
        <v>-3.9232650000000001E-2</v>
      </c>
      <c r="E1186">
        <v>-1.9616325E-2</v>
      </c>
    </row>
    <row r="1187" spans="1:5" x14ac:dyDescent="0.3">
      <c r="A1187" s="8">
        <v>49</v>
      </c>
      <c r="B1187" s="8">
        <v>10</v>
      </c>
      <c r="C1187" s="8">
        <v>3606</v>
      </c>
      <c r="D1187" s="16">
        <v>-4.1867750000000002E-2</v>
      </c>
      <c r="E1187">
        <v>-2.0933875000000001E-2</v>
      </c>
    </row>
    <row r="1188" spans="1:5" x14ac:dyDescent="0.3">
      <c r="A1188" s="8">
        <v>49</v>
      </c>
      <c r="B1188" s="8">
        <v>11</v>
      </c>
      <c r="C1188" s="8">
        <v>3600</v>
      </c>
      <c r="D1188" s="16">
        <v>-2.9460340000000002E-2</v>
      </c>
      <c r="E1188">
        <v>-1.4730170000000001E-2</v>
      </c>
    </row>
    <row r="1189" spans="1:5" x14ac:dyDescent="0.3">
      <c r="A1189" s="8">
        <v>49</v>
      </c>
      <c r="B1189" s="8">
        <v>12</v>
      </c>
      <c r="C1189" s="8">
        <v>3615</v>
      </c>
      <c r="D1189" s="16">
        <v>-1.0973800000000001E-2</v>
      </c>
      <c r="E1189">
        <v>-5.4869000000000003E-3</v>
      </c>
    </row>
    <row r="1190" spans="1:5" x14ac:dyDescent="0.3">
      <c r="A1190" s="8">
        <v>49</v>
      </c>
      <c r="B1190" s="8">
        <v>13</v>
      </c>
      <c r="C1190" s="8">
        <v>3596</v>
      </c>
      <c r="D1190" s="16">
        <v>-3.7825230000000001E-2</v>
      </c>
      <c r="E1190">
        <v>-1.8912615000000001E-2</v>
      </c>
    </row>
    <row r="1191" spans="1:5" x14ac:dyDescent="0.3">
      <c r="A1191" s="8">
        <v>49</v>
      </c>
      <c r="B1191" s="8">
        <v>14</v>
      </c>
      <c r="C1191" s="8">
        <v>3582</v>
      </c>
      <c r="D1191" s="16">
        <v>-4.6233139999999999E-3</v>
      </c>
      <c r="E1191">
        <v>-2.3116569999999999E-3</v>
      </c>
    </row>
    <row r="1192" spans="1:5" x14ac:dyDescent="0.3">
      <c r="A1192" s="8">
        <v>49</v>
      </c>
      <c r="B1192" s="8">
        <v>15</v>
      </c>
      <c r="C1192" s="8">
        <v>3605</v>
      </c>
      <c r="D1192" s="16">
        <v>-2.049718E-2</v>
      </c>
      <c r="E1192">
        <v>-1.024859E-2</v>
      </c>
    </row>
    <row r="1193" spans="1:5" x14ac:dyDescent="0.3">
      <c r="A1193" s="8">
        <v>49</v>
      </c>
      <c r="B1193" s="8">
        <v>16</v>
      </c>
      <c r="C1193" s="8">
        <v>3586</v>
      </c>
      <c r="D1193" s="16">
        <v>-3.3277649999999999E-2</v>
      </c>
      <c r="E1193">
        <v>-1.6638824999999999E-2</v>
      </c>
    </row>
    <row r="1194" spans="1:5" x14ac:dyDescent="0.3">
      <c r="A1194" s="8">
        <v>49</v>
      </c>
      <c r="B1194" s="8">
        <v>17</v>
      </c>
      <c r="C1194" s="8">
        <v>3605</v>
      </c>
      <c r="D1194" s="16">
        <v>1.272E-2</v>
      </c>
      <c r="E1194">
        <v>6.3600000000000002E-3</v>
      </c>
    </row>
    <row r="1195" spans="1:5" x14ac:dyDescent="0.3">
      <c r="A1195" s="8">
        <v>49</v>
      </c>
      <c r="B1195" s="8">
        <v>18</v>
      </c>
      <c r="C1195" s="8">
        <v>3599</v>
      </c>
      <c r="D1195" s="16">
        <v>-2.6241199999999999E-2</v>
      </c>
      <c r="E1195">
        <v>-1.31206E-2</v>
      </c>
    </row>
    <row r="1196" spans="1:5" x14ac:dyDescent="0.3">
      <c r="A1196" s="8">
        <v>49</v>
      </c>
      <c r="B1196" s="8">
        <v>19</v>
      </c>
      <c r="C1196" s="8">
        <v>3566</v>
      </c>
      <c r="D1196" s="16">
        <v>1.9208389999999999E-2</v>
      </c>
      <c r="E1196">
        <v>9.6041949999999994E-3</v>
      </c>
    </row>
    <row r="1197" spans="1:5" x14ac:dyDescent="0.3">
      <c r="A1197" s="8">
        <v>49</v>
      </c>
      <c r="B1197" s="8">
        <v>20</v>
      </c>
      <c r="C1197" s="8">
        <v>3576</v>
      </c>
      <c r="D1197" s="16">
        <v>7.9359860000000008E-3</v>
      </c>
      <c r="E1197">
        <v>3.9679930000000004E-3</v>
      </c>
    </row>
    <row r="1198" spans="1:5" x14ac:dyDescent="0.3">
      <c r="A1198" s="8">
        <v>49</v>
      </c>
      <c r="B1198" s="8">
        <v>21</v>
      </c>
      <c r="C1198" s="8">
        <v>3636</v>
      </c>
      <c r="D1198" s="16">
        <v>-1.13606E-2</v>
      </c>
      <c r="E1198">
        <v>-5.6803000000000001E-3</v>
      </c>
    </row>
    <row r="1199" spans="1:5" x14ac:dyDescent="0.3">
      <c r="A1199" s="8">
        <v>49</v>
      </c>
      <c r="B1199" s="8">
        <v>22</v>
      </c>
      <c r="C1199" s="8">
        <v>3580</v>
      </c>
      <c r="D1199" s="16">
        <v>1.759662E-2</v>
      </c>
      <c r="E1199">
        <v>8.7983100000000002E-3</v>
      </c>
    </row>
    <row r="1200" spans="1:5" x14ac:dyDescent="0.3">
      <c r="A1200" s="8">
        <v>49</v>
      </c>
      <c r="B1200" s="8">
        <v>23</v>
      </c>
      <c r="C1200" s="8">
        <v>3585</v>
      </c>
      <c r="D1200" s="16">
        <v>-3.321843E-2</v>
      </c>
      <c r="E1200">
        <v>-1.6609215E-2</v>
      </c>
    </row>
    <row r="1201" spans="1:5" x14ac:dyDescent="0.3">
      <c r="A1201" s="8">
        <v>49</v>
      </c>
      <c r="B1201" s="8">
        <v>24</v>
      </c>
      <c r="C1201" s="8">
        <v>3610</v>
      </c>
      <c r="D1201" s="16">
        <v>-7.2681120000000002E-3</v>
      </c>
      <c r="E1201">
        <v>-3.6340560000000001E-3</v>
      </c>
    </row>
    <row r="1202" spans="1:5" x14ac:dyDescent="0.3">
      <c r="A1202" s="8">
        <v>49</v>
      </c>
      <c r="B1202" s="8">
        <v>25</v>
      </c>
      <c r="C1202" s="8">
        <v>3577</v>
      </c>
      <c r="D1202" s="16">
        <v>-4.5372580000000003E-2</v>
      </c>
      <c r="E1202">
        <v>-2.2686290000000001E-2</v>
      </c>
    </row>
    <row r="1203" spans="1:5" x14ac:dyDescent="0.3">
      <c r="A1203" s="8">
        <v>49</v>
      </c>
      <c r="B1203" s="8">
        <v>26</v>
      </c>
      <c r="C1203" s="8">
        <v>3620</v>
      </c>
      <c r="D1203" s="16">
        <v>-2.501447E-2</v>
      </c>
      <c r="E1203">
        <v>-1.2507235E-2</v>
      </c>
    </row>
    <row r="1204" spans="1:5" x14ac:dyDescent="0.3">
      <c r="A1204" s="8">
        <v>49</v>
      </c>
      <c r="B1204" s="8">
        <v>27</v>
      </c>
      <c r="C1204" s="8">
        <v>3567</v>
      </c>
      <c r="D1204" s="16">
        <v>-7.7414500000000004E-3</v>
      </c>
      <c r="E1204">
        <v>-3.8707250000000002E-3</v>
      </c>
    </row>
    <row r="1205" spans="1:5" x14ac:dyDescent="0.3">
      <c r="A1205" s="8">
        <v>49</v>
      </c>
      <c r="B1205" s="8">
        <v>28</v>
      </c>
      <c r="C1205" s="8">
        <v>3544</v>
      </c>
      <c r="D1205" s="16">
        <v>-4.779688E-2</v>
      </c>
      <c r="E1205">
        <v>-2.389844E-2</v>
      </c>
    </row>
    <row r="1206" spans="1:5" x14ac:dyDescent="0.3">
      <c r="A1206" s="8">
        <v>49</v>
      </c>
      <c r="B1206" s="8">
        <v>29</v>
      </c>
      <c r="C1206" s="8">
        <v>3560</v>
      </c>
      <c r="D1206" s="16">
        <v>-6.9631869999999998E-2</v>
      </c>
      <c r="E1206">
        <v>-3.4815934999999999E-2</v>
      </c>
    </row>
    <row r="1207" spans="1:5" x14ac:dyDescent="0.3">
      <c r="A1207" s="8">
        <v>49</v>
      </c>
      <c r="B1207" s="8">
        <v>30</v>
      </c>
      <c r="C1207" s="8">
        <v>3572</v>
      </c>
      <c r="D1207" s="16">
        <v>-3.525379E-2</v>
      </c>
      <c r="E1207">
        <v>-1.7626895E-2</v>
      </c>
    </row>
    <row r="1208" spans="1:5" x14ac:dyDescent="0.3">
      <c r="A1208" s="8">
        <v>49</v>
      </c>
      <c r="B1208" s="8">
        <v>31</v>
      </c>
      <c r="C1208" s="8">
        <v>3510</v>
      </c>
      <c r="D1208" s="16">
        <v>2.7477600000000001E-3</v>
      </c>
      <c r="E1208">
        <v>1.3738800000000001E-3</v>
      </c>
    </row>
    <row r="1209" spans="1:5" x14ac:dyDescent="0.3">
      <c r="A1209" s="8">
        <v>49</v>
      </c>
      <c r="B1209" s="8">
        <v>32</v>
      </c>
      <c r="C1209" s="8">
        <v>3551</v>
      </c>
      <c r="D1209" s="16">
        <v>-2.833751E-2</v>
      </c>
      <c r="E1209">
        <v>-1.4168755E-2</v>
      </c>
    </row>
    <row r="1210" spans="1:5" x14ac:dyDescent="0.3">
      <c r="A1210" s="8">
        <v>49</v>
      </c>
      <c r="B1210" s="8">
        <v>33</v>
      </c>
      <c r="C1210" s="8">
        <v>3605</v>
      </c>
      <c r="D1210" s="16">
        <v>-1.3296880000000001E-2</v>
      </c>
      <c r="E1210">
        <v>-6.6484400000000003E-3</v>
      </c>
    </row>
    <row r="1211" spans="1:5" x14ac:dyDescent="0.3">
      <c r="A1211" s="8">
        <v>49</v>
      </c>
      <c r="B1211" s="8">
        <v>34</v>
      </c>
      <c r="C1211" s="8">
        <v>3606</v>
      </c>
      <c r="D1211" s="16">
        <v>-6.5526120000000002E-3</v>
      </c>
      <c r="E1211">
        <v>-3.2763060000000001E-3</v>
      </c>
    </row>
    <row r="1212" spans="1:5" x14ac:dyDescent="0.3">
      <c r="A1212" s="8">
        <v>49</v>
      </c>
      <c r="B1212" s="8">
        <v>35</v>
      </c>
      <c r="C1212" s="8">
        <v>3590</v>
      </c>
      <c r="D1212" s="16">
        <v>-5.2830340000000003E-2</v>
      </c>
      <c r="E1212">
        <v>-2.6415170000000002E-2</v>
      </c>
    </row>
    <row r="1213" spans="1:5" x14ac:dyDescent="0.3">
      <c r="A1213" s="8">
        <v>49</v>
      </c>
      <c r="B1213" s="8">
        <v>36</v>
      </c>
      <c r="C1213" s="8">
        <v>3576</v>
      </c>
      <c r="D1213" s="16">
        <v>-2.4091000000000001E-2</v>
      </c>
      <c r="E1213">
        <v>-1.2045500000000001E-2</v>
      </c>
    </row>
    <row r="1214" spans="1:5" x14ac:dyDescent="0.3">
      <c r="A1214" s="8">
        <v>49</v>
      </c>
      <c r="B1214" s="8">
        <v>37</v>
      </c>
      <c r="C1214" s="8">
        <v>3565</v>
      </c>
      <c r="D1214" s="16">
        <v>6.3874630000000003E-3</v>
      </c>
      <c r="E1214">
        <v>3.1937315000000002E-3</v>
      </c>
    </row>
    <row r="1215" spans="1:5" x14ac:dyDescent="0.3">
      <c r="A1215" s="8">
        <v>49</v>
      </c>
      <c r="B1215" s="8">
        <v>38</v>
      </c>
      <c r="C1215" s="8">
        <v>3607</v>
      </c>
      <c r="D1215" s="16">
        <v>-7.7774330000000003E-3</v>
      </c>
      <c r="E1215">
        <v>-3.8887165000000001E-3</v>
      </c>
    </row>
    <row r="1216" spans="1:5" x14ac:dyDescent="0.3">
      <c r="A1216" s="8">
        <v>49</v>
      </c>
      <c r="B1216" s="8">
        <v>39</v>
      </c>
      <c r="C1216" s="8">
        <v>3589</v>
      </c>
      <c r="D1216" s="16">
        <v>2.2569760000000001E-2</v>
      </c>
      <c r="E1216">
        <v>1.1284880000000001E-2</v>
      </c>
    </row>
    <row r="1217" spans="1:5" x14ac:dyDescent="0.3">
      <c r="A1217" s="8">
        <v>49</v>
      </c>
      <c r="B1217" s="8">
        <v>40</v>
      </c>
      <c r="C1217" s="8">
        <v>3609</v>
      </c>
      <c r="D1217" s="16">
        <v>-1.1528439999999999E-2</v>
      </c>
      <c r="E1217">
        <v>-5.7642199999999996E-3</v>
      </c>
    </row>
    <row r="1218" spans="1:5" x14ac:dyDescent="0.3">
      <c r="A1218" s="8">
        <v>49</v>
      </c>
      <c r="B1218" s="8">
        <v>41</v>
      </c>
      <c r="C1218" s="8">
        <v>3558</v>
      </c>
      <c r="D1218" s="16">
        <v>-2.676779E-2</v>
      </c>
      <c r="E1218">
        <v>-1.3383895E-2</v>
      </c>
    </row>
    <row r="1219" spans="1:5" x14ac:dyDescent="0.3">
      <c r="A1219" s="8">
        <v>49</v>
      </c>
      <c r="B1219" s="8">
        <v>42</v>
      </c>
      <c r="C1219" s="8">
        <v>3599</v>
      </c>
      <c r="D1219" s="16">
        <v>2.9814339999999998E-3</v>
      </c>
      <c r="E1219">
        <v>1.4907169999999999E-3</v>
      </c>
    </row>
    <row r="1220" spans="1:5" x14ac:dyDescent="0.3">
      <c r="A1220" s="8">
        <v>49</v>
      </c>
      <c r="B1220" s="8">
        <v>43</v>
      </c>
      <c r="C1220" s="8">
        <v>3568</v>
      </c>
      <c r="D1220" s="16">
        <v>1.74068E-2</v>
      </c>
      <c r="E1220">
        <v>8.7034E-3</v>
      </c>
    </row>
    <row r="1221" spans="1:5" x14ac:dyDescent="0.3">
      <c r="A1221" s="8">
        <v>49</v>
      </c>
      <c r="B1221" s="8">
        <v>44</v>
      </c>
      <c r="C1221" s="8">
        <v>3554</v>
      </c>
      <c r="D1221" s="16">
        <v>-2.745394E-2</v>
      </c>
      <c r="E1221">
        <v>-1.372697E-2</v>
      </c>
    </row>
    <row r="1222" spans="1:5" x14ac:dyDescent="0.3">
      <c r="A1222" s="8">
        <v>49</v>
      </c>
      <c r="B1222" s="8">
        <v>45</v>
      </c>
      <c r="C1222" s="8">
        <v>3596</v>
      </c>
      <c r="D1222" s="16">
        <v>-1.736526E-2</v>
      </c>
      <c r="E1222">
        <v>-8.6826300000000002E-3</v>
      </c>
    </row>
    <row r="1223" spans="1:5" x14ac:dyDescent="0.3">
      <c r="A1223" s="8">
        <v>49</v>
      </c>
      <c r="B1223" s="8">
        <v>46</v>
      </c>
      <c r="C1223" s="8">
        <v>3594</v>
      </c>
      <c r="D1223" s="16">
        <v>-1.6585740000000002E-2</v>
      </c>
      <c r="E1223">
        <v>-8.2928700000000008E-3</v>
      </c>
    </row>
    <row r="1224" spans="1:5" x14ac:dyDescent="0.3">
      <c r="A1224" s="8">
        <v>49</v>
      </c>
      <c r="B1224" s="8">
        <v>47</v>
      </c>
      <c r="C1224" s="8">
        <v>3590</v>
      </c>
      <c r="D1224" s="16">
        <v>-3.3382799999999997E-2</v>
      </c>
      <c r="E1224">
        <v>-1.6691399999999999E-2</v>
      </c>
    </row>
    <row r="1225" spans="1:5" x14ac:dyDescent="0.3">
      <c r="A1225" s="8">
        <v>49</v>
      </c>
      <c r="B1225" s="8">
        <v>48</v>
      </c>
      <c r="C1225" s="8">
        <v>3565</v>
      </c>
      <c r="D1225" s="16">
        <v>4.5573229999999999E-2</v>
      </c>
      <c r="E1225">
        <v>2.2786615E-2</v>
      </c>
    </row>
    <row r="1226" spans="1:5" x14ac:dyDescent="0.3">
      <c r="A1226" s="8">
        <v>49</v>
      </c>
      <c r="B1226" s="8">
        <v>49</v>
      </c>
      <c r="C1226" s="8">
        <v>3877</v>
      </c>
      <c r="D1226" s="16">
        <v>1.0095890000000001</v>
      </c>
      <c r="E1226"/>
    </row>
    <row r="1227" spans="1:5" x14ac:dyDescent="0.3">
      <c r="A1227" s="8">
        <v>50</v>
      </c>
      <c r="B1227" s="8">
        <v>1</v>
      </c>
      <c r="C1227" s="8">
        <v>3633</v>
      </c>
      <c r="D1227" s="16">
        <v>-9.788237E-4</v>
      </c>
      <c r="E1227">
        <v>-4.8941185E-4</v>
      </c>
    </row>
    <row r="1228" spans="1:5" x14ac:dyDescent="0.3">
      <c r="A1228" s="8">
        <v>50</v>
      </c>
      <c r="B1228" s="8">
        <v>2</v>
      </c>
      <c r="C1228" s="8">
        <v>3618</v>
      </c>
      <c r="D1228" s="16">
        <v>-2.4862249999999999E-2</v>
      </c>
      <c r="E1228">
        <v>-1.2431124999999999E-2</v>
      </c>
    </row>
    <row r="1229" spans="1:5" x14ac:dyDescent="0.3">
      <c r="A1229" s="8">
        <v>50</v>
      </c>
      <c r="B1229" s="8">
        <v>3</v>
      </c>
      <c r="C1229" s="8">
        <v>3637</v>
      </c>
      <c r="D1229" s="16">
        <v>1.149792E-2</v>
      </c>
      <c r="E1229">
        <v>5.74896E-3</v>
      </c>
    </row>
    <row r="1230" spans="1:5" x14ac:dyDescent="0.3">
      <c r="A1230" s="8">
        <v>50</v>
      </c>
      <c r="B1230" s="8">
        <v>4</v>
      </c>
      <c r="C1230" s="8">
        <v>3584</v>
      </c>
      <c r="D1230" s="16">
        <v>-2.168428E-2</v>
      </c>
      <c r="E1230">
        <v>-1.084214E-2</v>
      </c>
    </row>
    <row r="1231" spans="1:5" x14ac:dyDescent="0.3">
      <c r="A1231" s="8">
        <v>50</v>
      </c>
      <c r="B1231" s="8">
        <v>5</v>
      </c>
      <c r="C1231" s="8">
        <v>3615</v>
      </c>
      <c r="D1231" s="16">
        <v>-1.042447E-2</v>
      </c>
      <c r="E1231">
        <v>-5.212235E-3</v>
      </c>
    </row>
    <row r="1232" spans="1:5" x14ac:dyDescent="0.3">
      <c r="A1232" s="8">
        <v>50</v>
      </c>
      <c r="B1232" s="8">
        <v>6</v>
      </c>
      <c r="C1232" s="8">
        <v>3622</v>
      </c>
      <c r="D1232" s="16">
        <v>7.8394039999999998E-2</v>
      </c>
      <c r="E1232">
        <v>3.9197019999999999E-2</v>
      </c>
    </row>
    <row r="1233" spans="1:5" x14ac:dyDescent="0.3">
      <c r="A1233" s="8">
        <v>50</v>
      </c>
      <c r="B1233" s="8">
        <v>7</v>
      </c>
      <c r="C1233" s="8">
        <v>3585</v>
      </c>
      <c r="D1233" s="16">
        <v>-5.4745509999999997E-2</v>
      </c>
      <c r="E1233">
        <v>-2.7372754999999999E-2</v>
      </c>
    </row>
    <row r="1234" spans="1:5" x14ac:dyDescent="0.3">
      <c r="A1234" s="8">
        <v>50</v>
      </c>
      <c r="B1234" s="8">
        <v>8</v>
      </c>
      <c r="C1234" s="8">
        <v>3616</v>
      </c>
      <c r="D1234" s="16">
        <v>-5.5345430000000001E-2</v>
      </c>
      <c r="E1234">
        <v>-2.7672715000000001E-2</v>
      </c>
    </row>
    <row r="1235" spans="1:5" x14ac:dyDescent="0.3">
      <c r="A1235" s="8">
        <v>50</v>
      </c>
      <c r="B1235" s="8">
        <v>9</v>
      </c>
      <c r="C1235" s="8">
        <v>3627</v>
      </c>
      <c r="D1235" s="16">
        <v>-2.1154119999999998E-2</v>
      </c>
      <c r="E1235">
        <v>-1.0577059999999999E-2</v>
      </c>
    </row>
    <row r="1236" spans="1:5" x14ac:dyDescent="0.3">
      <c r="A1236" s="8">
        <v>50</v>
      </c>
      <c r="B1236" s="8">
        <v>10</v>
      </c>
      <c r="C1236" s="8">
        <v>3629</v>
      </c>
      <c r="D1236" s="16">
        <v>-4.2695140000000003E-3</v>
      </c>
      <c r="E1236">
        <v>-2.1347570000000001E-3</v>
      </c>
    </row>
    <row r="1237" spans="1:5" x14ac:dyDescent="0.3">
      <c r="A1237" s="8">
        <v>50</v>
      </c>
      <c r="B1237" s="8">
        <v>11</v>
      </c>
      <c r="C1237" s="8">
        <v>3612</v>
      </c>
      <c r="D1237" s="16">
        <v>5.2295850000000001E-3</v>
      </c>
      <c r="E1237">
        <v>2.6147925000000001E-3</v>
      </c>
    </row>
    <row r="1238" spans="1:5" x14ac:dyDescent="0.3">
      <c r="A1238" s="8">
        <v>50</v>
      </c>
      <c r="B1238" s="8">
        <v>12</v>
      </c>
      <c r="C1238" s="8">
        <v>3632</v>
      </c>
      <c r="D1238" s="16">
        <v>-1.5762760000000001E-2</v>
      </c>
      <c r="E1238">
        <v>-7.8813800000000003E-3</v>
      </c>
    </row>
    <row r="1239" spans="1:5" x14ac:dyDescent="0.3">
      <c r="A1239" s="8">
        <v>50</v>
      </c>
      <c r="B1239" s="8">
        <v>13</v>
      </c>
      <c r="C1239" s="8">
        <v>3620</v>
      </c>
      <c r="D1239" s="16">
        <v>2.892075E-3</v>
      </c>
      <c r="E1239">
        <v>1.4460375E-3</v>
      </c>
    </row>
    <row r="1240" spans="1:5" x14ac:dyDescent="0.3">
      <c r="A1240" s="8">
        <v>50</v>
      </c>
      <c r="B1240" s="8">
        <v>14</v>
      </c>
      <c r="C1240" s="8">
        <v>3613</v>
      </c>
      <c r="D1240" s="16">
        <v>-3.4096689999999999E-2</v>
      </c>
      <c r="E1240">
        <v>-1.7048344999999999E-2</v>
      </c>
    </row>
    <row r="1241" spans="1:5" x14ac:dyDescent="0.3">
      <c r="A1241" s="8">
        <v>50</v>
      </c>
      <c r="B1241" s="8">
        <v>15</v>
      </c>
      <c r="C1241" s="8">
        <v>3639</v>
      </c>
      <c r="D1241" s="16">
        <v>-6.1661779999999996E-3</v>
      </c>
      <c r="E1241">
        <v>-3.0830889999999998E-3</v>
      </c>
    </row>
    <row r="1242" spans="1:5" x14ac:dyDescent="0.3">
      <c r="A1242" s="8">
        <v>50</v>
      </c>
      <c r="B1242" s="8">
        <v>16</v>
      </c>
      <c r="C1242" s="8">
        <v>3612</v>
      </c>
      <c r="D1242" s="16">
        <v>2.6659120000000001E-2</v>
      </c>
      <c r="E1242">
        <v>1.3329560000000001E-2</v>
      </c>
    </row>
    <row r="1243" spans="1:5" x14ac:dyDescent="0.3">
      <c r="A1243" s="8">
        <v>50</v>
      </c>
      <c r="B1243" s="8">
        <v>17</v>
      </c>
      <c r="C1243" s="8">
        <v>3625</v>
      </c>
      <c r="D1243" s="16">
        <v>-3.1580759999999999E-2</v>
      </c>
      <c r="E1243">
        <v>-1.579038E-2</v>
      </c>
    </row>
    <row r="1244" spans="1:5" x14ac:dyDescent="0.3">
      <c r="A1244" s="8">
        <v>50</v>
      </c>
      <c r="B1244" s="8">
        <v>18</v>
      </c>
      <c r="C1244" s="8">
        <v>3631</v>
      </c>
      <c r="D1244" s="16">
        <v>7.8694320000000009E-3</v>
      </c>
      <c r="E1244">
        <v>3.9347160000000004E-3</v>
      </c>
    </row>
    <row r="1245" spans="1:5" x14ac:dyDescent="0.3">
      <c r="A1245" s="8">
        <v>50</v>
      </c>
      <c r="B1245" s="8">
        <v>19</v>
      </c>
      <c r="C1245" s="8">
        <v>3599</v>
      </c>
      <c r="D1245" s="16">
        <v>9.4508560000000005E-3</v>
      </c>
      <c r="E1245">
        <v>4.7254280000000003E-3</v>
      </c>
    </row>
    <row r="1246" spans="1:5" x14ac:dyDescent="0.3">
      <c r="A1246" s="8">
        <v>50</v>
      </c>
      <c r="B1246" s="8">
        <v>20</v>
      </c>
      <c r="C1246" s="8">
        <v>3589</v>
      </c>
      <c r="D1246" s="16">
        <v>6.945578E-3</v>
      </c>
      <c r="E1246">
        <v>3.472789E-3</v>
      </c>
    </row>
    <row r="1247" spans="1:5" x14ac:dyDescent="0.3">
      <c r="A1247" s="8">
        <v>50</v>
      </c>
      <c r="B1247" s="8">
        <v>21</v>
      </c>
      <c r="C1247" s="8">
        <v>3646</v>
      </c>
      <c r="D1247" s="16">
        <v>-3.7369029999999998E-2</v>
      </c>
      <c r="E1247">
        <v>-1.8684514999999999E-2</v>
      </c>
    </row>
    <row r="1248" spans="1:5" x14ac:dyDescent="0.3">
      <c r="A1248" s="8">
        <v>50</v>
      </c>
      <c r="B1248" s="8">
        <v>22</v>
      </c>
      <c r="C1248" s="8">
        <v>3625</v>
      </c>
      <c r="D1248" s="16">
        <v>-3.9783079999999998E-2</v>
      </c>
      <c r="E1248">
        <v>-1.9891539999999999E-2</v>
      </c>
    </row>
    <row r="1249" spans="1:5" x14ac:dyDescent="0.3">
      <c r="A1249" s="8">
        <v>50</v>
      </c>
      <c r="B1249" s="8">
        <v>23</v>
      </c>
      <c r="C1249" s="8">
        <v>3610</v>
      </c>
      <c r="D1249" s="16">
        <v>-5.4006810000000002E-2</v>
      </c>
      <c r="E1249">
        <v>-2.7003405000000001E-2</v>
      </c>
    </row>
    <row r="1250" spans="1:5" x14ac:dyDescent="0.3">
      <c r="A1250" s="8">
        <v>50</v>
      </c>
      <c r="B1250" s="8">
        <v>24</v>
      </c>
      <c r="C1250" s="8">
        <v>3631</v>
      </c>
      <c r="D1250" s="16">
        <v>-5.4268289999999997E-2</v>
      </c>
      <c r="E1250">
        <v>-2.7134144999999998E-2</v>
      </c>
    </row>
    <row r="1251" spans="1:5" x14ac:dyDescent="0.3">
      <c r="A1251" s="8">
        <v>50</v>
      </c>
      <c r="B1251" s="8">
        <v>25</v>
      </c>
      <c r="C1251" s="8">
        <v>3609</v>
      </c>
      <c r="D1251" s="16">
        <v>-1.185466E-2</v>
      </c>
      <c r="E1251">
        <v>-5.9273299999999998E-3</v>
      </c>
    </row>
    <row r="1252" spans="1:5" x14ac:dyDescent="0.3">
      <c r="A1252" s="8">
        <v>50</v>
      </c>
      <c r="B1252" s="8">
        <v>26</v>
      </c>
      <c r="C1252" s="8">
        <v>3640</v>
      </c>
      <c r="D1252" s="16">
        <v>8.8392130000000003E-3</v>
      </c>
      <c r="E1252">
        <v>4.4196065000000001E-3</v>
      </c>
    </row>
    <row r="1253" spans="1:5" x14ac:dyDescent="0.3">
      <c r="A1253" s="8">
        <v>50</v>
      </c>
      <c r="B1253" s="8">
        <v>27</v>
      </c>
      <c r="C1253" s="8">
        <v>3616</v>
      </c>
      <c r="D1253" s="16">
        <v>-3.6526879999999998E-2</v>
      </c>
      <c r="E1253">
        <v>-1.8263439999999999E-2</v>
      </c>
    </row>
    <row r="1254" spans="1:5" x14ac:dyDescent="0.3">
      <c r="A1254" s="8">
        <v>50</v>
      </c>
      <c r="B1254" s="8">
        <v>28</v>
      </c>
      <c r="C1254" s="8">
        <v>3562</v>
      </c>
      <c r="D1254" s="16">
        <v>1.768981E-2</v>
      </c>
      <c r="E1254">
        <v>8.8449050000000001E-3</v>
      </c>
    </row>
    <row r="1255" spans="1:5" x14ac:dyDescent="0.3">
      <c r="A1255" s="8">
        <v>50</v>
      </c>
      <c r="B1255" s="8">
        <v>29</v>
      </c>
      <c r="C1255" s="8">
        <v>3593</v>
      </c>
      <c r="D1255" s="16">
        <v>-1.589668E-2</v>
      </c>
      <c r="E1255">
        <v>-7.9483399999999999E-3</v>
      </c>
    </row>
    <row r="1256" spans="1:5" x14ac:dyDescent="0.3">
      <c r="A1256" s="8">
        <v>50</v>
      </c>
      <c r="B1256" s="8">
        <v>30</v>
      </c>
      <c r="C1256" s="8">
        <v>3599</v>
      </c>
      <c r="D1256" s="16">
        <v>-2.8675620000000001E-3</v>
      </c>
      <c r="E1256">
        <v>-1.4337810000000001E-3</v>
      </c>
    </row>
    <row r="1257" spans="1:5" x14ac:dyDescent="0.3">
      <c r="A1257" s="8">
        <v>50</v>
      </c>
      <c r="B1257" s="8">
        <v>31</v>
      </c>
      <c r="C1257" s="8">
        <v>3530</v>
      </c>
      <c r="D1257" s="16">
        <v>3.238154E-3</v>
      </c>
      <c r="E1257">
        <v>1.619077E-3</v>
      </c>
    </row>
    <row r="1258" spans="1:5" x14ac:dyDescent="0.3">
      <c r="A1258" s="8">
        <v>50</v>
      </c>
      <c r="B1258" s="8">
        <v>32</v>
      </c>
      <c r="C1258" s="8">
        <v>3584</v>
      </c>
      <c r="D1258" s="16">
        <v>-3.497128E-2</v>
      </c>
      <c r="E1258">
        <v>-1.748564E-2</v>
      </c>
    </row>
    <row r="1259" spans="1:5" x14ac:dyDescent="0.3">
      <c r="A1259" s="8">
        <v>50</v>
      </c>
      <c r="B1259" s="8">
        <v>33</v>
      </c>
      <c r="C1259" s="8">
        <v>3641</v>
      </c>
      <c r="D1259" s="16">
        <v>-2.7766030000000001E-2</v>
      </c>
      <c r="E1259">
        <v>-1.3883015E-2</v>
      </c>
    </row>
    <row r="1260" spans="1:5" x14ac:dyDescent="0.3">
      <c r="A1260" s="8">
        <v>50</v>
      </c>
      <c r="B1260" s="8">
        <v>34</v>
      </c>
      <c r="C1260" s="8">
        <v>3633</v>
      </c>
      <c r="D1260" s="16">
        <v>-1.548623E-2</v>
      </c>
      <c r="E1260">
        <v>-7.7431150000000001E-3</v>
      </c>
    </row>
    <row r="1261" spans="1:5" x14ac:dyDescent="0.3">
      <c r="A1261" s="8">
        <v>50</v>
      </c>
      <c r="B1261" s="8">
        <v>35</v>
      </c>
      <c r="C1261" s="8">
        <v>3616</v>
      </c>
      <c r="D1261" s="16">
        <v>8.6830810000000005E-3</v>
      </c>
      <c r="E1261">
        <v>4.3415405000000002E-3</v>
      </c>
    </row>
    <row r="1262" spans="1:5" x14ac:dyDescent="0.3">
      <c r="A1262" s="8">
        <v>50</v>
      </c>
      <c r="B1262" s="8">
        <v>36</v>
      </c>
      <c r="C1262" s="8">
        <v>3612</v>
      </c>
      <c r="D1262" s="16">
        <v>-2.7357679999999999E-2</v>
      </c>
      <c r="E1262">
        <v>-1.3678839999999999E-2</v>
      </c>
    </row>
    <row r="1263" spans="1:5" x14ac:dyDescent="0.3">
      <c r="A1263" s="8">
        <v>50</v>
      </c>
      <c r="B1263" s="8">
        <v>37</v>
      </c>
      <c r="C1263" s="8">
        <v>3586</v>
      </c>
      <c r="D1263" s="16">
        <v>-5.7302389999999998E-3</v>
      </c>
      <c r="E1263">
        <v>-2.8651194999999999E-3</v>
      </c>
    </row>
    <row r="1264" spans="1:5" x14ac:dyDescent="0.3">
      <c r="A1264" s="8">
        <v>50</v>
      </c>
      <c r="B1264" s="8">
        <v>38</v>
      </c>
      <c r="C1264" s="8">
        <v>3633</v>
      </c>
      <c r="D1264" s="16">
        <v>7.3727879999999999E-3</v>
      </c>
      <c r="E1264">
        <v>3.686394E-3</v>
      </c>
    </row>
    <row r="1265" spans="1:5" x14ac:dyDescent="0.3">
      <c r="A1265" s="8">
        <v>50</v>
      </c>
      <c r="B1265" s="8">
        <v>39</v>
      </c>
      <c r="C1265" s="8">
        <v>3610</v>
      </c>
      <c r="D1265" s="16">
        <v>-1.5736610000000002E-2</v>
      </c>
      <c r="E1265">
        <v>-7.8683050000000008E-3</v>
      </c>
    </row>
    <row r="1266" spans="1:5" x14ac:dyDescent="0.3">
      <c r="A1266" s="8">
        <v>50</v>
      </c>
      <c r="B1266" s="8">
        <v>40</v>
      </c>
      <c r="C1266" s="8">
        <v>3639</v>
      </c>
      <c r="D1266" s="16">
        <v>-1.2265539999999999E-3</v>
      </c>
      <c r="E1266">
        <v>-6.1327699999999996E-4</v>
      </c>
    </row>
    <row r="1267" spans="1:5" x14ac:dyDescent="0.3">
      <c r="A1267" s="8">
        <v>50</v>
      </c>
      <c r="B1267" s="8">
        <v>41</v>
      </c>
      <c r="C1267" s="8">
        <v>3584</v>
      </c>
      <c r="D1267" s="16">
        <v>9.3517719999999995E-3</v>
      </c>
      <c r="E1267">
        <v>4.6758859999999998E-3</v>
      </c>
    </row>
    <row r="1268" spans="1:5" x14ac:dyDescent="0.3">
      <c r="A1268" s="8">
        <v>50</v>
      </c>
      <c r="B1268" s="8">
        <v>42</v>
      </c>
      <c r="C1268" s="8">
        <v>3611</v>
      </c>
      <c r="D1268" s="16">
        <v>-3.4112049999999999E-4</v>
      </c>
      <c r="E1268">
        <v>-1.7056025E-4</v>
      </c>
    </row>
    <row r="1269" spans="1:5" x14ac:dyDescent="0.3">
      <c r="A1269" s="8">
        <v>50</v>
      </c>
      <c r="B1269" s="8">
        <v>43</v>
      </c>
      <c r="C1269" s="8">
        <v>3584</v>
      </c>
      <c r="D1269" s="16">
        <v>-3.9431510000000003E-2</v>
      </c>
      <c r="E1269">
        <v>-1.9715755000000001E-2</v>
      </c>
    </row>
    <row r="1270" spans="1:5" x14ac:dyDescent="0.3">
      <c r="A1270" s="8">
        <v>50</v>
      </c>
      <c r="B1270" s="8">
        <v>44</v>
      </c>
      <c r="C1270" s="8">
        <v>3584</v>
      </c>
      <c r="D1270" s="16">
        <v>-7.0823370000000002E-3</v>
      </c>
      <c r="E1270">
        <v>-3.5411685000000001E-3</v>
      </c>
    </row>
    <row r="1271" spans="1:5" x14ac:dyDescent="0.3">
      <c r="A1271" s="8">
        <v>50</v>
      </c>
      <c r="B1271" s="8">
        <v>45</v>
      </c>
      <c r="C1271" s="8">
        <v>3637</v>
      </c>
      <c r="D1271" s="16">
        <v>2.798371E-3</v>
      </c>
      <c r="E1271">
        <v>1.3991855E-3</v>
      </c>
    </row>
    <row r="1272" spans="1:5" x14ac:dyDescent="0.3">
      <c r="A1272" s="8">
        <v>50</v>
      </c>
      <c r="B1272" s="8">
        <v>46</v>
      </c>
      <c r="C1272" s="8">
        <v>3610</v>
      </c>
      <c r="D1272" s="16">
        <v>-1.386065E-2</v>
      </c>
      <c r="E1272">
        <v>-6.9303250000000002E-3</v>
      </c>
    </row>
    <row r="1273" spans="1:5" x14ac:dyDescent="0.3">
      <c r="A1273" s="8">
        <v>50</v>
      </c>
      <c r="B1273" s="8">
        <v>47</v>
      </c>
      <c r="C1273" s="8">
        <v>3616</v>
      </c>
      <c r="D1273" s="16">
        <v>-2.2258219999999999E-2</v>
      </c>
      <c r="E1273">
        <v>-1.1129109999999999E-2</v>
      </c>
    </row>
    <row r="1274" spans="1:5" x14ac:dyDescent="0.3">
      <c r="A1274" s="8">
        <v>50</v>
      </c>
      <c r="B1274" s="8">
        <v>48</v>
      </c>
      <c r="C1274" s="8">
        <v>3604</v>
      </c>
      <c r="D1274" s="16">
        <v>-4.3526160000000001E-2</v>
      </c>
      <c r="E1274">
        <v>-2.1763080000000001E-2</v>
      </c>
    </row>
    <row r="1275" spans="1:5" x14ac:dyDescent="0.3">
      <c r="A1275" s="8">
        <v>50</v>
      </c>
      <c r="B1275" s="8">
        <v>49</v>
      </c>
      <c r="C1275" s="8">
        <v>3620</v>
      </c>
      <c r="D1275" s="16">
        <v>-4.164872E-2</v>
      </c>
      <c r="E1275">
        <v>-2.082436E-2</v>
      </c>
    </row>
    <row r="1276" spans="1:5" x14ac:dyDescent="0.3">
      <c r="A1276" s="8">
        <v>50</v>
      </c>
      <c r="B1276" s="8">
        <v>50</v>
      </c>
      <c r="C1276" s="8">
        <v>3899</v>
      </c>
      <c r="D1276" s="16">
        <v>0.97223210000000004</v>
      </c>
      <c r="E1276"/>
    </row>
    <row r="1277" spans="1:5" x14ac:dyDescent="0.3">
      <c r="A1277" s="8">
        <v>51</v>
      </c>
      <c r="B1277" s="8">
        <v>1</v>
      </c>
      <c r="C1277" s="8">
        <v>3600</v>
      </c>
      <c r="D1277" s="16">
        <v>-9.2168449999999996E-3</v>
      </c>
      <c r="E1277">
        <v>-4.6084224999999998E-3</v>
      </c>
    </row>
    <row r="1278" spans="1:5" x14ac:dyDescent="0.3">
      <c r="A1278" s="8">
        <v>51</v>
      </c>
      <c r="B1278" s="8">
        <v>2</v>
      </c>
      <c r="C1278" s="8">
        <v>3580</v>
      </c>
      <c r="D1278" s="16">
        <v>4.1397209999999997E-2</v>
      </c>
      <c r="E1278">
        <v>2.0698604999999998E-2</v>
      </c>
    </row>
    <row r="1279" spans="1:5" x14ac:dyDescent="0.3">
      <c r="A1279" s="8">
        <v>51</v>
      </c>
      <c r="B1279" s="8">
        <v>3</v>
      </c>
      <c r="C1279" s="8">
        <v>3597</v>
      </c>
      <c r="D1279" s="16">
        <v>-4.7666300000000002E-2</v>
      </c>
      <c r="E1279">
        <v>-2.3833150000000001E-2</v>
      </c>
    </row>
    <row r="1280" spans="1:5" x14ac:dyDescent="0.3">
      <c r="A1280" s="8">
        <v>51</v>
      </c>
      <c r="B1280" s="8">
        <v>4</v>
      </c>
      <c r="C1280" s="8">
        <v>3556</v>
      </c>
      <c r="D1280" s="16">
        <v>4.1236600000000003E-3</v>
      </c>
      <c r="E1280">
        <v>2.0618300000000002E-3</v>
      </c>
    </row>
    <row r="1281" spans="1:5" x14ac:dyDescent="0.3">
      <c r="A1281" s="8">
        <v>51</v>
      </c>
      <c r="B1281" s="8">
        <v>5</v>
      </c>
      <c r="C1281" s="8">
        <v>3581</v>
      </c>
      <c r="D1281" s="16">
        <v>-4.635326E-2</v>
      </c>
      <c r="E1281">
        <v>-2.317663E-2</v>
      </c>
    </row>
    <row r="1282" spans="1:5" x14ac:dyDescent="0.3">
      <c r="A1282" s="8">
        <v>51</v>
      </c>
      <c r="B1282" s="8">
        <v>6</v>
      </c>
      <c r="C1282" s="8">
        <v>3577</v>
      </c>
      <c r="D1282" s="16">
        <v>-1.6874569999999998E-2</v>
      </c>
      <c r="E1282">
        <v>-8.4372849999999992E-3</v>
      </c>
    </row>
    <row r="1283" spans="1:5" x14ac:dyDescent="0.3">
      <c r="A1283" s="8">
        <v>51</v>
      </c>
      <c r="B1283" s="8">
        <v>7</v>
      </c>
      <c r="C1283" s="8">
        <v>3552</v>
      </c>
      <c r="D1283" s="16">
        <v>-2.951459E-2</v>
      </c>
      <c r="E1283">
        <v>-1.4757295E-2</v>
      </c>
    </row>
    <row r="1284" spans="1:5" x14ac:dyDescent="0.3">
      <c r="A1284" s="8">
        <v>51</v>
      </c>
      <c r="B1284" s="8">
        <v>8</v>
      </c>
      <c r="C1284" s="8">
        <v>3586</v>
      </c>
      <c r="D1284" s="16">
        <v>-3.1491050000000001E-3</v>
      </c>
      <c r="E1284">
        <v>-1.5745525000000001E-3</v>
      </c>
    </row>
    <row r="1285" spans="1:5" x14ac:dyDescent="0.3">
      <c r="A1285" s="8">
        <v>51</v>
      </c>
      <c r="B1285" s="8">
        <v>9</v>
      </c>
      <c r="C1285" s="8">
        <v>3583</v>
      </c>
      <c r="D1285" s="16">
        <v>-5.2623169999999997E-2</v>
      </c>
      <c r="E1285">
        <v>-2.6311584999999998E-2</v>
      </c>
    </row>
    <row r="1286" spans="1:5" x14ac:dyDescent="0.3">
      <c r="A1286" s="8">
        <v>51</v>
      </c>
      <c r="B1286" s="8">
        <v>10</v>
      </c>
      <c r="C1286" s="8">
        <v>3591</v>
      </c>
      <c r="D1286" s="16">
        <v>-4.7592759999999998E-2</v>
      </c>
      <c r="E1286">
        <v>-2.3796379999999999E-2</v>
      </c>
    </row>
    <row r="1287" spans="1:5" x14ac:dyDescent="0.3">
      <c r="A1287" s="8">
        <v>51</v>
      </c>
      <c r="B1287" s="8">
        <v>11</v>
      </c>
      <c r="C1287" s="8">
        <v>3586</v>
      </c>
      <c r="D1287" s="16">
        <v>-2.408273E-2</v>
      </c>
      <c r="E1287">
        <v>-1.2041365E-2</v>
      </c>
    </row>
    <row r="1288" spans="1:5" x14ac:dyDescent="0.3">
      <c r="A1288" s="8">
        <v>51</v>
      </c>
      <c r="B1288" s="8">
        <v>12</v>
      </c>
      <c r="C1288" s="8">
        <v>3605</v>
      </c>
      <c r="D1288" s="16">
        <v>-2.4908690000000001E-2</v>
      </c>
      <c r="E1288">
        <v>-1.2454345E-2</v>
      </c>
    </row>
    <row r="1289" spans="1:5" x14ac:dyDescent="0.3">
      <c r="A1289" s="8">
        <v>51</v>
      </c>
      <c r="B1289" s="8">
        <v>13</v>
      </c>
      <c r="C1289" s="8">
        <v>3580</v>
      </c>
      <c r="D1289" s="16">
        <v>2.7268279999999999E-2</v>
      </c>
      <c r="E1289">
        <v>1.3634139999999999E-2</v>
      </c>
    </row>
    <row r="1290" spans="1:5" x14ac:dyDescent="0.3">
      <c r="A1290" s="8">
        <v>51</v>
      </c>
      <c r="B1290" s="8">
        <v>14</v>
      </c>
      <c r="C1290" s="8">
        <v>3578</v>
      </c>
      <c r="D1290" s="16">
        <v>-1.7131090000000002E-2</v>
      </c>
      <c r="E1290">
        <v>-8.5655450000000008E-3</v>
      </c>
    </row>
    <row r="1291" spans="1:5" x14ac:dyDescent="0.3">
      <c r="A1291" s="8">
        <v>51</v>
      </c>
      <c r="B1291" s="8">
        <v>15</v>
      </c>
      <c r="C1291" s="8">
        <v>3592</v>
      </c>
      <c r="D1291" s="16">
        <v>6.1992810000000001E-3</v>
      </c>
      <c r="E1291">
        <v>3.0996405E-3</v>
      </c>
    </row>
    <row r="1292" spans="1:5" x14ac:dyDescent="0.3">
      <c r="A1292" s="8">
        <v>51</v>
      </c>
      <c r="B1292" s="8">
        <v>16</v>
      </c>
      <c r="C1292" s="8">
        <v>3569</v>
      </c>
      <c r="D1292" s="16">
        <v>-5.3841970000000003E-2</v>
      </c>
      <c r="E1292">
        <v>-2.6920985000000001E-2</v>
      </c>
    </row>
    <row r="1293" spans="1:5" x14ac:dyDescent="0.3">
      <c r="A1293" s="8">
        <v>51</v>
      </c>
      <c r="B1293" s="8">
        <v>17</v>
      </c>
      <c r="C1293" s="8">
        <v>3581</v>
      </c>
      <c r="D1293" s="16">
        <v>1.631244E-3</v>
      </c>
      <c r="E1293">
        <v>8.15622E-4</v>
      </c>
    </row>
    <row r="1294" spans="1:5" x14ac:dyDescent="0.3">
      <c r="A1294" s="8">
        <v>51</v>
      </c>
      <c r="B1294" s="8">
        <v>18</v>
      </c>
      <c r="C1294" s="8">
        <v>3588</v>
      </c>
      <c r="D1294" s="16">
        <v>1.135091E-3</v>
      </c>
      <c r="E1294">
        <v>5.6754549999999998E-4</v>
      </c>
    </row>
    <row r="1295" spans="1:5" x14ac:dyDescent="0.3">
      <c r="A1295" s="8">
        <v>51</v>
      </c>
      <c r="B1295" s="8">
        <v>19</v>
      </c>
      <c r="C1295" s="8">
        <v>3558</v>
      </c>
      <c r="D1295" s="16">
        <v>4.1218610000000002E-4</v>
      </c>
      <c r="E1295">
        <v>2.0609305000000001E-4</v>
      </c>
    </row>
    <row r="1296" spans="1:5" x14ac:dyDescent="0.3">
      <c r="A1296" s="8">
        <v>51</v>
      </c>
      <c r="B1296" s="8">
        <v>20</v>
      </c>
      <c r="C1296" s="8">
        <v>3542</v>
      </c>
      <c r="D1296" s="16">
        <v>-4.6752450000000001E-2</v>
      </c>
      <c r="E1296">
        <v>-2.3376225E-2</v>
      </c>
    </row>
    <row r="1297" spans="1:5" x14ac:dyDescent="0.3">
      <c r="A1297" s="8">
        <v>51</v>
      </c>
      <c r="B1297" s="8">
        <v>21</v>
      </c>
      <c r="C1297" s="8">
        <v>3602</v>
      </c>
      <c r="D1297" s="16">
        <v>-3.4523169999999999E-2</v>
      </c>
      <c r="E1297">
        <v>-1.7261584999999999E-2</v>
      </c>
    </row>
    <row r="1298" spans="1:5" x14ac:dyDescent="0.3">
      <c r="A1298" s="8">
        <v>51</v>
      </c>
      <c r="B1298" s="8">
        <v>22</v>
      </c>
      <c r="C1298" s="8">
        <v>3558</v>
      </c>
      <c r="D1298" s="16">
        <v>2.972939E-3</v>
      </c>
      <c r="E1298">
        <v>1.4864695E-3</v>
      </c>
    </row>
    <row r="1299" spans="1:5" x14ac:dyDescent="0.3">
      <c r="A1299" s="8">
        <v>51</v>
      </c>
      <c r="B1299" s="8">
        <v>23</v>
      </c>
      <c r="C1299" s="8">
        <v>3581</v>
      </c>
      <c r="D1299" s="16">
        <v>-2.0814280000000002E-3</v>
      </c>
      <c r="E1299">
        <v>-1.0407140000000001E-3</v>
      </c>
    </row>
    <row r="1300" spans="1:5" x14ac:dyDescent="0.3">
      <c r="A1300" s="8">
        <v>51</v>
      </c>
      <c r="B1300" s="8">
        <v>24</v>
      </c>
      <c r="C1300" s="8">
        <v>3593</v>
      </c>
      <c r="D1300" s="16">
        <v>-5.8332879999999998E-3</v>
      </c>
      <c r="E1300">
        <v>-2.9166439999999999E-3</v>
      </c>
    </row>
    <row r="1301" spans="1:5" x14ac:dyDescent="0.3">
      <c r="A1301" s="8">
        <v>51</v>
      </c>
      <c r="B1301" s="8">
        <v>25</v>
      </c>
      <c r="C1301" s="8">
        <v>3571</v>
      </c>
      <c r="D1301" s="16">
        <v>-4.1344820000000001E-3</v>
      </c>
      <c r="E1301">
        <v>-2.067241E-3</v>
      </c>
    </row>
    <row r="1302" spans="1:5" x14ac:dyDescent="0.3">
      <c r="A1302" s="8">
        <v>51</v>
      </c>
      <c r="B1302" s="8">
        <v>26</v>
      </c>
      <c r="C1302" s="8">
        <v>3606</v>
      </c>
      <c r="D1302" s="16">
        <v>-1.4202299999999999E-2</v>
      </c>
      <c r="E1302">
        <v>-7.1011499999999996E-3</v>
      </c>
    </row>
    <row r="1303" spans="1:5" x14ac:dyDescent="0.3">
      <c r="A1303" s="8">
        <v>51</v>
      </c>
      <c r="B1303" s="8">
        <v>27</v>
      </c>
      <c r="C1303" s="8">
        <v>3573</v>
      </c>
      <c r="D1303" s="16">
        <v>5.7394639999999997E-3</v>
      </c>
      <c r="E1303">
        <v>2.8697319999999998E-3</v>
      </c>
    </row>
    <row r="1304" spans="1:5" x14ac:dyDescent="0.3">
      <c r="A1304" s="8">
        <v>51</v>
      </c>
      <c r="B1304" s="8">
        <v>28</v>
      </c>
      <c r="C1304" s="8">
        <v>3520</v>
      </c>
      <c r="D1304" s="16">
        <v>-5.3412599999999998E-2</v>
      </c>
      <c r="E1304">
        <v>-2.6706299999999999E-2</v>
      </c>
    </row>
    <row r="1305" spans="1:5" x14ac:dyDescent="0.3">
      <c r="A1305" s="8">
        <v>51</v>
      </c>
      <c r="B1305" s="8">
        <v>29</v>
      </c>
      <c r="C1305" s="8">
        <v>3544</v>
      </c>
      <c r="D1305" s="16">
        <v>-5.6855410000000002E-2</v>
      </c>
      <c r="E1305">
        <v>-2.8427705000000001E-2</v>
      </c>
    </row>
    <row r="1306" spans="1:5" x14ac:dyDescent="0.3">
      <c r="A1306" s="8">
        <v>51</v>
      </c>
      <c r="B1306" s="8">
        <v>30</v>
      </c>
      <c r="C1306" s="8">
        <v>3562</v>
      </c>
      <c r="D1306" s="16">
        <v>3.2571240000000001E-2</v>
      </c>
      <c r="E1306">
        <v>1.6285620000000001E-2</v>
      </c>
    </row>
    <row r="1307" spans="1:5" x14ac:dyDescent="0.3">
      <c r="A1307" s="8">
        <v>51</v>
      </c>
      <c r="B1307" s="8">
        <v>31</v>
      </c>
      <c r="C1307" s="8">
        <v>3485</v>
      </c>
      <c r="D1307" s="16">
        <v>-2.4182439999999999E-3</v>
      </c>
      <c r="E1307">
        <v>-1.209122E-3</v>
      </c>
    </row>
    <row r="1308" spans="1:5" x14ac:dyDescent="0.3">
      <c r="A1308" s="8">
        <v>51</v>
      </c>
      <c r="B1308" s="8">
        <v>32</v>
      </c>
      <c r="C1308" s="8">
        <v>3552</v>
      </c>
      <c r="D1308" s="16">
        <v>-2.7696180000000001E-2</v>
      </c>
      <c r="E1308">
        <v>-1.384809E-2</v>
      </c>
    </row>
    <row r="1309" spans="1:5" x14ac:dyDescent="0.3">
      <c r="A1309" s="8">
        <v>51</v>
      </c>
      <c r="B1309" s="8">
        <v>33</v>
      </c>
      <c r="C1309" s="8">
        <v>3590</v>
      </c>
      <c r="D1309" s="16">
        <v>-4.5063869999999999E-2</v>
      </c>
      <c r="E1309">
        <v>-2.2531934999999999E-2</v>
      </c>
    </row>
    <row r="1310" spans="1:5" x14ac:dyDescent="0.3">
      <c r="A1310" s="8">
        <v>51</v>
      </c>
      <c r="B1310" s="8">
        <v>34</v>
      </c>
      <c r="C1310" s="8">
        <v>3600</v>
      </c>
      <c r="D1310" s="16">
        <v>-2.7407150000000002E-2</v>
      </c>
      <c r="E1310">
        <v>-1.3703575000000001E-2</v>
      </c>
    </row>
    <row r="1311" spans="1:5" x14ac:dyDescent="0.3">
      <c r="A1311" s="8">
        <v>51</v>
      </c>
      <c r="B1311" s="8">
        <v>35</v>
      </c>
      <c r="C1311" s="8">
        <v>3569</v>
      </c>
      <c r="D1311" s="16">
        <v>1.690473E-2</v>
      </c>
      <c r="E1311">
        <v>8.4523649999999999E-3</v>
      </c>
    </row>
    <row r="1312" spans="1:5" x14ac:dyDescent="0.3">
      <c r="A1312" s="8">
        <v>51</v>
      </c>
      <c r="B1312" s="8">
        <v>36</v>
      </c>
      <c r="C1312" s="8">
        <v>3567</v>
      </c>
      <c r="D1312" s="16">
        <v>-2.5931929999999999E-2</v>
      </c>
      <c r="E1312">
        <v>-1.2965964999999999E-2</v>
      </c>
    </row>
    <row r="1313" spans="1:5" x14ac:dyDescent="0.3">
      <c r="A1313" s="8">
        <v>51</v>
      </c>
      <c r="B1313" s="8">
        <v>37</v>
      </c>
      <c r="C1313" s="8">
        <v>3541</v>
      </c>
      <c r="D1313" s="16">
        <v>-2.7149800000000002E-2</v>
      </c>
      <c r="E1313">
        <v>-1.3574900000000001E-2</v>
      </c>
    </row>
    <row r="1314" spans="1:5" x14ac:dyDescent="0.3">
      <c r="A1314" s="8">
        <v>51</v>
      </c>
      <c r="B1314" s="8">
        <v>38</v>
      </c>
      <c r="C1314" s="8">
        <v>3590</v>
      </c>
      <c r="D1314" s="16">
        <v>-8.8523479999999995E-3</v>
      </c>
      <c r="E1314">
        <v>-4.4261739999999997E-3</v>
      </c>
    </row>
    <row r="1315" spans="1:5" x14ac:dyDescent="0.3">
      <c r="A1315" s="8">
        <v>51</v>
      </c>
      <c r="B1315" s="8">
        <v>39</v>
      </c>
      <c r="C1315" s="8">
        <v>3574</v>
      </c>
      <c r="D1315" s="16">
        <v>4.0426949999999998E-3</v>
      </c>
      <c r="E1315">
        <v>2.0213474999999999E-3</v>
      </c>
    </row>
    <row r="1316" spans="1:5" x14ac:dyDescent="0.3">
      <c r="A1316" s="8">
        <v>51</v>
      </c>
      <c r="B1316" s="8">
        <v>40</v>
      </c>
      <c r="C1316" s="8">
        <v>3591</v>
      </c>
      <c r="D1316" s="16">
        <v>-2.503439E-2</v>
      </c>
      <c r="E1316">
        <v>-1.2517195E-2</v>
      </c>
    </row>
    <row r="1317" spans="1:5" x14ac:dyDescent="0.3">
      <c r="A1317" s="8">
        <v>51</v>
      </c>
      <c r="B1317" s="8">
        <v>41</v>
      </c>
      <c r="C1317" s="8">
        <v>3546</v>
      </c>
      <c r="D1317" s="16">
        <v>-1.895759E-2</v>
      </c>
      <c r="E1317">
        <v>-9.4787949999999999E-3</v>
      </c>
    </row>
    <row r="1318" spans="1:5" x14ac:dyDescent="0.3">
      <c r="A1318" s="8">
        <v>51</v>
      </c>
      <c r="B1318" s="8">
        <v>42</v>
      </c>
      <c r="C1318" s="8">
        <v>3578</v>
      </c>
      <c r="D1318" s="16">
        <v>-2.1120570000000002E-2</v>
      </c>
      <c r="E1318">
        <v>-1.0560285000000001E-2</v>
      </c>
    </row>
    <row r="1319" spans="1:5" x14ac:dyDescent="0.3">
      <c r="A1319" s="8">
        <v>51</v>
      </c>
      <c r="B1319" s="8">
        <v>43</v>
      </c>
      <c r="C1319" s="8">
        <v>3544</v>
      </c>
      <c r="D1319" s="16">
        <v>-2.1563909999999999E-2</v>
      </c>
      <c r="E1319">
        <v>-1.0781954999999999E-2</v>
      </c>
    </row>
    <row r="1320" spans="1:5" x14ac:dyDescent="0.3">
      <c r="A1320" s="8">
        <v>51</v>
      </c>
      <c r="B1320" s="8">
        <v>44</v>
      </c>
      <c r="C1320" s="8">
        <v>3534</v>
      </c>
      <c r="D1320" s="16">
        <v>-3.7098440000000003E-2</v>
      </c>
      <c r="E1320">
        <v>-1.8549220000000002E-2</v>
      </c>
    </row>
    <row r="1321" spans="1:5" x14ac:dyDescent="0.3">
      <c r="A1321" s="8">
        <v>51</v>
      </c>
      <c r="B1321" s="8">
        <v>45</v>
      </c>
      <c r="C1321" s="8">
        <v>3585</v>
      </c>
      <c r="D1321" s="16">
        <v>-3.5086729999999997E-2</v>
      </c>
      <c r="E1321">
        <v>-1.7543364999999998E-2</v>
      </c>
    </row>
    <row r="1322" spans="1:5" x14ac:dyDescent="0.3">
      <c r="A1322" s="8">
        <v>51</v>
      </c>
      <c r="B1322" s="8">
        <v>46</v>
      </c>
      <c r="C1322" s="8">
        <v>3584</v>
      </c>
      <c r="D1322" s="16">
        <v>-9.1047720000000006E-3</v>
      </c>
      <c r="E1322">
        <v>-4.5523860000000003E-3</v>
      </c>
    </row>
    <row r="1323" spans="1:5" x14ac:dyDescent="0.3">
      <c r="A1323" s="8">
        <v>51</v>
      </c>
      <c r="B1323" s="8">
        <v>47</v>
      </c>
      <c r="C1323" s="8">
        <v>3593</v>
      </c>
      <c r="D1323" s="16">
        <v>-1.5698489999999999E-3</v>
      </c>
      <c r="E1323">
        <v>-7.8492449999999995E-4</v>
      </c>
    </row>
    <row r="1324" spans="1:5" x14ac:dyDescent="0.3">
      <c r="A1324" s="8">
        <v>51</v>
      </c>
      <c r="B1324" s="8">
        <v>48</v>
      </c>
      <c r="C1324" s="8">
        <v>3548</v>
      </c>
      <c r="D1324" s="16">
        <v>-1.067625E-2</v>
      </c>
      <c r="E1324">
        <v>-5.338125E-3</v>
      </c>
    </row>
    <row r="1325" spans="1:5" x14ac:dyDescent="0.3">
      <c r="A1325" s="8">
        <v>51</v>
      </c>
      <c r="B1325" s="8">
        <v>49</v>
      </c>
      <c r="C1325" s="8">
        <v>3580</v>
      </c>
      <c r="D1325" s="16">
        <v>-5.57399E-3</v>
      </c>
      <c r="E1325">
        <v>-2.786995E-3</v>
      </c>
    </row>
    <row r="1326" spans="1:5" x14ac:dyDescent="0.3">
      <c r="A1326" s="8">
        <v>51</v>
      </c>
      <c r="B1326" s="8">
        <v>50</v>
      </c>
      <c r="C1326" s="8">
        <v>3604</v>
      </c>
      <c r="D1326" s="16">
        <v>-5.49831E-2</v>
      </c>
      <c r="E1326">
        <v>-2.749155E-2</v>
      </c>
    </row>
    <row r="1327" spans="1:5" x14ac:dyDescent="0.3">
      <c r="A1327" s="8">
        <v>51</v>
      </c>
      <c r="B1327" s="8">
        <v>51</v>
      </c>
      <c r="C1327" s="8">
        <v>3858</v>
      </c>
      <c r="D1327" s="16">
        <v>1.245555</v>
      </c>
      <c r="E1327"/>
    </row>
    <row r="1328" spans="1:5" x14ac:dyDescent="0.3">
      <c r="A1328" s="8">
        <v>52</v>
      </c>
      <c r="B1328" s="8">
        <v>1</v>
      </c>
      <c r="C1328" s="8">
        <v>3607</v>
      </c>
      <c r="D1328" s="16">
        <v>-1.1139670000000001E-2</v>
      </c>
      <c r="E1328">
        <v>-5.5698350000000004E-3</v>
      </c>
    </row>
    <row r="1329" spans="1:5" x14ac:dyDescent="0.3">
      <c r="A1329" s="8">
        <v>52</v>
      </c>
      <c r="B1329" s="8">
        <v>2</v>
      </c>
      <c r="C1329" s="8">
        <v>3582</v>
      </c>
      <c r="D1329" s="16">
        <v>-4.1444790000000002E-2</v>
      </c>
      <c r="E1329">
        <v>-2.0722395000000001E-2</v>
      </c>
    </row>
    <row r="1330" spans="1:5" x14ac:dyDescent="0.3">
      <c r="A1330" s="8">
        <v>52</v>
      </c>
      <c r="B1330" s="8">
        <v>3</v>
      </c>
      <c r="C1330" s="8">
        <v>3600</v>
      </c>
      <c r="D1330" s="16">
        <v>2.7164350000000001E-3</v>
      </c>
      <c r="E1330">
        <v>1.3582175000000001E-3</v>
      </c>
    </row>
    <row r="1331" spans="1:5" x14ac:dyDescent="0.3">
      <c r="A1331" s="8">
        <v>52</v>
      </c>
      <c r="B1331" s="8">
        <v>4</v>
      </c>
      <c r="C1331" s="8">
        <v>3559</v>
      </c>
      <c r="D1331" s="16">
        <v>2.776932E-2</v>
      </c>
      <c r="E1331">
        <v>1.388466E-2</v>
      </c>
    </row>
    <row r="1332" spans="1:5" x14ac:dyDescent="0.3">
      <c r="A1332" s="8">
        <v>52</v>
      </c>
      <c r="B1332" s="8">
        <v>5</v>
      </c>
      <c r="C1332" s="8">
        <v>3594</v>
      </c>
      <c r="D1332" s="16">
        <v>-1.702275E-2</v>
      </c>
      <c r="E1332">
        <v>-8.5113749999999998E-3</v>
      </c>
    </row>
    <row r="1333" spans="1:5" x14ac:dyDescent="0.3">
      <c r="A1333" s="8">
        <v>52</v>
      </c>
      <c r="B1333" s="8">
        <v>6</v>
      </c>
      <c r="C1333" s="8">
        <v>3583</v>
      </c>
      <c r="D1333" s="16">
        <v>-2.4047269999999999E-2</v>
      </c>
      <c r="E1333">
        <v>-1.2023635E-2</v>
      </c>
    </row>
    <row r="1334" spans="1:5" x14ac:dyDescent="0.3">
      <c r="A1334" s="8">
        <v>52</v>
      </c>
      <c r="B1334" s="8">
        <v>7</v>
      </c>
      <c r="C1334" s="8">
        <v>3551</v>
      </c>
      <c r="D1334" s="16">
        <v>3.4039310000000003E-2</v>
      </c>
      <c r="E1334">
        <v>1.7019655000000002E-2</v>
      </c>
    </row>
    <row r="1335" spans="1:5" x14ac:dyDescent="0.3">
      <c r="A1335" s="8">
        <v>52</v>
      </c>
      <c r="B1335" s="8">
        <v>8</v>
      </c>
      <c r="C1335" s="8">
        <v>3593</v>
      </c>
      <c r="D1335" s="16">
        <v>-1.561133E-2</v>
      </c>
      <c r="E1335">
        <v>-7.8056649999999998E-3</v>
      </c>
    </row>
    <row r="1336" spans="1:5" x14ac:dyDescent="0.3">
      <c r="A1336" s="8">
        <v>52</v>
      </c>
      <c r="B1336" s="8">
        <v>9</v>
      </c>
      <c r="C1336" s="8">
        <v>3594</v>
      </c>
      <c r="D1336" s="16">
        <v>-2.566063E-2</v>
      </c>
      <c r="E1336">
        <v>-1.2830315E-2</v>
      </c>
    </row>
    <row r="1337" spans="1:5" x14ac:dyDescent="0.3">
      <c r="A1337" s="8">
        <v>52</v>
      </c>
      <c r="B1337" s="8">
        <v>10</v>
      </c>
      <c r="C1337" s="8">
        <v>3598</v>
      </c>
      <c r="D1337" s="16">
        <v>-4.5330639999999998E-2</v>
      </c>
      <c r="E1337">
        <v>-2.2665319999999999E-2</v>
      </c>
    </row>
    <row r="1338" spans="1:5" x14ac:dyDescent="0.3">
      <c r="A1338" s="8">
        <v>52</v>
      </c>
      <c r="B1338" s="8">
        <v>11</v>
      </c>
      <c r="C1338" s="8">
        <v>3587</v>
      </c>
      <c r="D1338" s="16">
        <v>-1.8600519999999999E-2</v>
      </c>
      <c r="E1338">
        <v>-9.3002599999999994E-3</v>
      </c>
    </row>
    <row r="1339" spans="1:5" x14ac:dyDescent="0.3">
      <c r="A1339" s="8">
        <v>52</v>
      </c>
      <c r="B1339" s="8">
        <v>12</v>
      </c>
      <c r="C1339" s="8">
        <v>3595</v>
      </c>
      <c r="D1339" s="16">
        <v>-1.177217E-2</v>
      </c>
      <c r="E1339">
        <v>-5.8860850000000001E-3</v>
      </c>
    </row>
    <row r="1340" spans="1:5" x14ac:dyDescent="0.3">
      <c r="A1340" s="8">
        <v>52</v>
      </c>
      <c r="B1340" s="8">
        <v>13</v>
      </c>
      <c r="C1340" s="8">
        <v>3581</v>
      </c>
      <c r="D1340" s="16">
        <v>-2.7926860000000001E-2</v>
      </c>
      <c r="E1340">
        <v>-1.3963430000000001E-2</v>
      </c>
    </row>
    <row r="1341" spans="1:5" x14ac:dyDescent="0.3">
      <c r="A1341" s="8">
        <v>52</v>
      </c>
      <c r="B1341" s="8">
        <v>14</v>
      </c>
      <c r="C1341" s="8">
        <v>3579</v>
      </c>
      <c r="D1341" s="16">
        <v>4.1275219999999998E-3</v>
      </c>
      <c r="E1341">
        <v>2.0637609999999999E-3</v>
      </c>
    </row>
    <row r="1342" spans="1:5" x14ac:dyDescent="0.3">
      <c r="A1342" s="8">
        <v>52</v>
      </c>
      <c r="B1342" s="8">
        <v>15</v>
      </c>
      <c r="C1342" s="8">
        <v>3610</v>
      </c>
      <c r="D1342" s="16">
        <v>-6.573171E-3</v>
      </c>
      <c r="E1342">
        <v>-3.2865855E-3</v>
      </c>
    </row>
    <row r="1343" spans="1:5" x14ac:dyDescent="0.3">
      <c r="A1343" s="8">
        <v>52</v>
      </c>
      <c r="B1343" s="8">
        <v>16</v>
      </c>
      <c r="C1343" s="8">
        <v>3574</v>
      </c>
      <c r="D1343" s="16">
        <v>-9.1685619999999999E-3</v>
      </c>
      <c r="E1343">
        <v>-4.5842809999999999E-3</v>
      </c>
    </row>
    <row r="1344" spans="1:5" x14ac:dyDescent="0.3">
      <c r="A1344" s="8">
        <v>52</v>
      </c>
      <c r="B1344" s="8">
        <v>17</v>
      </c>
      <c r="C1344" s="8">
        <v>3601</v>
      </c>
      <c r="D1344" s="16">
        <v>2.7085260000000002E-3</v>
      </c>
      <c r="E1344">
        <v>1.3542630000000001E-3</v>
      </c>
    </row>
    <row r="1345" spans="1:5" x14ac:dyDescent="0.3">
      <c r="A1345" s="8">
        <v>52</v>
      </c>
      <c r="B1345" s="8">
        <v>18</v>
      </c>
      <c r="C1345" s="8">
        <v>3605</v>
      </c>
      <c r="D1345" s="16">
        <v>2.8702720000000001E-2</v>
      </c>
      <c r="E1345">
        <v>1.4351360000000001E-2</v>
      </c>
    </row>
    <row r="1346" spans="1:5" x14ac:dyDescent="0.3">
      <c r="A1346" s="8">
        <v>52</v>
      </c>
      <c r="B1346" s="8">
        <v>19</v>
      </c>
      <c r="C1346" s="8">
        <v>3570</v>
      </c>
      <c r="D1346" s="16">
        <v>-2.9817950000000002E-3</v>
      </c>
      <c r="E1346">
        <v>-1.4908975000000001E-3</v>
      </c>
    </row>
    <row r="1347" spans="1:5" x14ac:dyDescent="0.3">
      <c r="A1347" s="8">
        <v>52</v>
      </c>
      <c r="B1347" s="8">
        <v>20</v>
      </c>
      <c r="C1347" s="8">
        <v>3569</v>
      </c>
      <c r="D1347" s="16">
        <v>-5.0123340000000002E-3</v>
      </c>
      <c r="E1347">
        <v>-2.5061670000000001E-3</v>
      </c>
    </row>
    <row r="1348" spans="1:5" x14ac:dyDescent="0.3">
      <c r="A1348" s="8">
        <v>52</v>
      </c>
      <c r="B1348" s="8">
        <v>21</v>
      </c>
      <c r="C1348" s="8">
        <v>3618</v>
      </c>
      <c r="D1348" s="16">
        <v>-3.8992190000000003E-2</v>
      </c>
      <c r="E1348">
        <v>-1.9496095000000001E-2</v>
      </c>
    </row>
    <row r="1349" spans="1:5" x14ac:dyDescent="0.3">
      <c r="A1349" s="8">
        <v>52</v>
      </c>
      <c r="B1349" s="8">
        <v>22</v>
      </c>
      <c r="C1349" s="8">
        <v>3582</v>
      </c>
      <c r="D1349" s="16">
        <v>-1.2667609999999999E-2</v>
      </c>
      <c r="E1349">
        <v>-6.3338049999999996E-3</v>
      </c>
    </row>
    <row r="1350" spans="1:5" x14ac:dyDescent="0.3">
      <c r="A1350" s="8">
        <v>52</v>
      </c>
      <c r="B1350" s="8">
        <v>23</v>
      </c>
      <c r="C1350" s="8">
        <v>3576</v>
      </c>
      <c r="D1350" s="16">
        <v>4.6381249999999999E-2</v>
      </c>
      <c r="E1350">
        <v>2.3190624999999999E-2</v>
      </c>
    </row>
    <row r="1351" spans="1:5" x14ac:dyDescent="0.3">
      <c r="A1351" s="8">
        <v>52</v>
      </c>
      <c r="B1351" s="8">
        <v>24</v>
      </c>
      <c r="C1351" s="8">
        <v>3606</v>
      </c>
      <c r="D1351" s="16">
        <v>8.5018890000000003E-3</v>
      </c>
      <c r="E1351">
        <v>4.2509445000000002E-3</v>
      </c>
    </row>
    <row r="1352" spans="1:5" x14ac:dyDescent="0.3">
      <c r="A1352" s="8">
        <v>52</v>
      </c>
      <c r="B1352" s="8">
        <v>25</v>
      </c>
      <c r="C1352" s="8">
        <v>3577</v>
      </c>
      <c r="D1352" s="16">
        <v>-2.1641339999999998E-2</v>
      </c>
      <c r="E1352">
        <v>-1.0820669999999999E-2</v>
      </c>
    </row>
    <row r="1353" spans="1:5" x14ac:dyDescent="0.3">
      <c r="A1353" s="8">
        <v>52</v>
      </c>
      <c r="B1353" s="8">
        <v>26</v>
      </c>
      <c r="C1353" s="8">
        <v>3609</v>
      </c>
      <c r="D1353" s="16">
        <v>-5.7300919999999998E-2</v>
      </c>
      <c r="E1353">
        <v>-2.8650459999999999E-2</v>
      </c>
    </row>
    <row r="1354" spans="1:5" x14ac:dyDescent="0.3">
      <c r="A1354" s="8">
        <v>52</v>
      </c>
      <c r="B1354" s="8">
        <v>27</v>
      </c>
      <c r="C1354" s="8">
        <v>3584</v>
      </c>
      <c r="D1354" s="16">
        <v>-1.9091360000000002E-2</v>
      </c>
      <c r="E1354">
        <v>-9.5456800000000008E-3</v>
      </c>
    </row>
    <row r="1355" spans="1:5" x14ac:dyDescent="0.3">
      <c r="A1355" s="8">
        <v>52</v>
      </c>
      <c r="B1355" s="8">
        <v>28</v>
      </c>
      <c r="C1355" s="8">
        <v>3516</v>
      </c>
      <c r="D1355" s="16">
        <v>-2.6703439999999998E-2</v>
      </c>
      <c r="E1355">
        <v>-1.3351719999999999E-2</v>
      </c>
    </row>
    <row r="1356" spans="1:5" x14ac:dyDescent="0.3">
      <c r="A1356" s="8">
        <v>52</v>
      </c>
      <c r="B1356" s="8">
        <v>29</v>
      </c>
      <c r="C1356" s="8">
        <v>3562</v>
      </c>
      <c r="D1356" s="16">
        <v>-2.8678960000000001E-4</v>
      </c>
      <c r="E1356">
        <v>-1.433948E-4</v>
      </c>
    </row>
    <row r="1357" spans="1:5" x14ac:dyDescent="0.3">
      <c r="A1357" s="8">
        <v>52</v>
      </c>
      <c r="B1357" s="8">
        <v>30</v>
      </c>
      <c r="C1357" s="8">
        <v>3562</v>
      </c>
      <c r="D1357" s="16">
        <v>-1.8154569999999998E-2</v>
      </c>
      <c r="E1357">
        <v>-9.0772849999999992E-3</v>
      </c>
    </row>
    <row r="1358" spans="1:5" x14ac:dyDescent="0.3">
      <c r="A1358" s="8">
        <v>52</v>
      </c>
      <c r="B1358" s="8">
        <v>31</v>
      </c>
      <c r="C1358" s="8">
        <v>3484</v>
      </c>
      <c r="D1358" s="16">
        <v>-4.7449650000000003E-2</v>
      </c>
      <c r="E1358">
        <v>-2.3724825000000001E-2</v>
      </c>
    </row>
    <row r="1359" spans="1:5" x14ac:dyDescent="0.3">
      <c r="A1359" s="8">
        <v>52</v>
      </c>
      <c r="B1359" s="8">
        <v>32</v>
      </c>
      <c r="C1359" s="8">
        <v>3556</v>
      </c>
      <c r="D1359" s="16">
        <v>-5.951269E-2</v>
      </c>
      <c r="E1359">
        <v>-2.9756345E-2</v>
      </c>
    </row>
    <row r="1360" spans="1:5" x14ac:dyDescent="0.3">
      <c r="A1360" s="8">
        <v>52</v>
      </c>
      <c r="B1360" s="8">
        <v>33</v>
      </c>
      <c r="C1360" s="8">
        <v>3595</v>
      </c>
      <c r="D1360" s="16">
        <v>4.5149929999999998E-2</v>
      </c>
      <c r="E1360">
        <v>2.2574964999999999E-2</v>
      </c>
    </row>
    <row r="1361" spans="1:5" x14ac:dyDescent="0.3">
      <c r="A1361" s="8">
        <v>52</v>
      </c>
      <c r="B1361" s="8">
        <v>34</v>
      </c>
      <c r="C1361" s="8">
        <v>3591</v>
      </c>
      <c r="D1361" s="16">
        <v>3.3568069999999998E-3</v>
      </c>
      <c r="E1361">
        <v>1.6784034999999999E-3</v>
      </c>
    </row>
    <row r="1362" spans="1:5" x14ac:dyDescent="0.3">
      <c r="A1362" s="8">
        <v>52</v>
      </c>
      <c r="B1362" s="8">
        <v>35</v>
      </c>
      <c r="C1362" s="8">
        <v>3574</v>
      </c>
      <c r="D1362" s="16">
        <v>-3.892756E-2</v>
      </c>
      <c r="E1362">
        <v>-1.946378E-2</v>
      </c>
    </row>
    <row r="1363" spans="1:5" x14ac:dyDescent="0.3">
      <c r="A1363" s="8">
        <v>52</v>
      </c>
      <c r="B1363" s="8">
        <v>36</v>
      </c>
      <c r="C1363" s="8">
        <v>3558</v>
      </c>
      <c r="D1363" s="16">
        <v>1.111023E-2</v>
      </c>
      <c r="E1363">
        <v>5.5551150000000002E-3</v>
      </c>
    </row>
    <row r="1364" spans="1:5" x14ac:dyDescent="0.3">
      <c r="A1364" s="8">
        <v>52</v>
      </c>
      <c r="B1364" s="8">
        <v>37</v>
      </c>
      <c r="C1364" s="8">
        <v>3546</v>
      </c>
      <c r="D1364" s="16">
        <v>-4.0376700000000001E-2</v>
      </c>
      <c r="E1364">
        <v>-2.0188350000000001E-2</v>
      </c>
    </row>
    <row r="1365" spans="1:5" x14ac:dyDescent="0.3">
      <c r="A1365" s="8">
        <v>52</v>
      </c>
      <c r="B1365" s="8">
        <v>38</v>
      </c>
      <c r="C1365" s="8">
        <v>3596</v>
      </c>
      <c r="D1365" s="16">
        <v>-1.3663080000000001E-3</v>
      </c>
      <c r="E1365">
        <v>-6.8315400000000005E-4</v>
      </c>
    </row>
    <row r="1366" spans="1:5" x14ac:dyDescent="0.3">
      <c r="A1366" s="8">
        <v>52</v>
      </c>
      <c r="B1366" s="8">
        <v>39</v>
      </c>
      <c r="C1366" s="8">
        <v>3589</v>
      </c>
      <c r="D1366" s="16">
        <v>-3.4556459999999997E-2</v>
      </c>
      <c r="E1366">
        <v>-1.7278229999999999E-2</v>
      </c>
    </row>
    <row r="1367" spans="1:5" x14ac:dyDescent="0.3">
      <c r="A1367" s="8">
        <v>52</v>
      </c>
      <c r="B1367" s="8">
        <v>40</v>
      </c>
      <c r="C1367" s="8">
        <v>3595</v>
      </c>
      <c r="D1367" s="16">
        <v>-1.2691630000000001E-2</v>
      </c>
      <c r="E1367">
        <v>-6.3458150000000003E-3</v>
      </c>
    </row>
    <row r="1368" spans="1:5" x14ac:dyDescent="0.3">
      <c r="A1368" s="8">
        <v>52</v>
      </c>
      <c r="B1368" s="8">
        <v>41</v>
      </c>
      <c r="C1368" s="8">
        <v>3552</v>
      </c>
      <c r="D1368" s="16">
        <v>-3.1450859999999997E-2</v>
      </c>
      <c r="E1368">
        <v>-1.5725429999999999E-2</v>
      </c>
    </row>
    <row r="1369" spans="1:5" x14ac:dyDescent="0.3">
      <c r="A1369" s="8">
        <v>52</v>
      </c>
      <c r="B1369" s="8">
        <v>42</v>
      </c>
      <c r="C1369" s="8">
        <v>3578</v>
      </c>
      <c r="D1369" s="16">
        <v>-1.7647199999999998E-2</v>
      </c>
      <c r="E1369">
        <v>-8.8235999999999992E-3</v>
      </c>
    </row>
    <row r="1370" spans="1:5" x14ac:dyDescent="0.3">
      <c r="A1370" s="8">
        <v>52</v>
      </c>
      <c r="B1370" s="8">
        <v>43</v>
      </c>
      <c r="C1370" s="8">
        <v>3565</v>
      </c>
      <c r="D1370" s="16">
        <v>-1.6454420000000001E-2</v>
      </c>
      <c r="E1370">
        <v>-8.2272100000000004E-3</v>
      </c>
    </row>
    <row r="1371" spans="1:5" x14ac:dyDescent="0.3">
      <c r="A1371" s="8">
        <v>52</v>
      </c>
      <c r="B1371" s="8">
        <v>44</v>
      </c>
      <c r="C1371" s="8">
        <v>3532</v>
      </c>
      <c r="D1371" s="16">
        <v>-5.2342279999999998E-2</v>
      </c>
      <c r="E1371">
        <v>-2.6171139999999999E-2</v>
      </c>
    </row>
    <row r="1372" spans="1:5" x14ac:dyDescent="0.3">
      <c r="A1372" s="8">
        <v>52</v>
      </c>
      <c r="B1372" s="8">
        <v>45</v>
      </c>
      <c r="C1372" s="8">
        <v>3587</v>
      </c>
      <c r="D1372" s="16">
        <v>-2.183502E-2</v>
      </c>
      <c r="E1372">
        <v>-1.091751E-2</v>
      </c>
    </row>
    <row r="1373" spans="1:5" x14ac:dyDescent="0.3">
      <c r="A1373" s="8">
        <v>52</v>
      </c>
      <c r="B1373" s="8">
        <v>46</v>
      </c>
      <c r="C1373" s="8">
        <v>3589</v>
      </c>
      <c r="D1373" s="16">
        <v>-1.9952330000000001E-2</v>
      </c>
      <c r="E1373">
        <v>-9.9761650000000004E-3</v>
      </c>
    </row>
    <row r="1374" spans="1:5" x14ac:dyDescent="0.3">
      <c r="A1374" s="8">
        <v>52</v>
      </c>
      <c r="B1374" s="8">
        <v>47</v>
      </c>
      <c r="C1374" s="8">
        <v>3590</v>
      </c>
      <c r="D1374" s="16">
        <v>5.1743850000000001E-2</v>
      </c>
      <c r="E1374">
        <v>2.5871925E-2</v>
      </c>
    </row>
    <row r="1375" spans="1:5" x14ac:dyDescent="0.3">
      <c r="A1375" s="8">
        <v>52</v>
      </c>
      <c r="B1375" s="8">
        <v>48</v>
      </c>
      <c r="C1375" s="8">
        <v>3555</v>
      </c>
      <c r="D1375" s="16">
        <v>-2.2967029999999999E-2</v>
      </c>
      <c r="E1375">
        <v>-1.1483515E-2</v>
      </c>
    </row>
    <row r="1376" spans="1:5" x14ac:dyDescent="0.3">
      <c r="A1376" s="8">
        <v>52</v>
      </c>
      <c r="B1376" s="8">
        <v>49</v>
      </c>
      <c r="C1376" s="8">
        <v>3584</v>
      </c>
      <c r="D1376" s="16">
        <v>-1.2778889999999999E-3</v>
      </c>
      <c r="E1376">
        <v>-6.3894449999999997E-4</v>
      </c>
    </row>
    <row r="1377" spans="1:5" x14ac:dyDescent="0.3">
      <c r="A1377" s="8">
        <v>52</v>
      </c>
      <c r="B1377" s="8">
        <v>50</v>
      </c>
      <c r="C1377" s="8">
        <v>3601</v>
      </c>
      <c r="D1377" s="16">
        <v>-6.6182069999999996E-2</v>
      </c>
      <c r="E1377">
        <v>-3.3091034999999998E-2</v>
      </c>
    </row>
    <row r="1378" spans="1:5" x14ac:dyDescent="0.3">
      <c r="A1378" s="8">
        <v>52</v>
      </c>
      <c r="B1378" s="8">
        <v>51</v>
      </c>
      <c r="C1378" s="8">
        <v>3559</v>
      </c>
      <c r="D1378" s="16">
        <v>-1.9594319999999998E-2</v>
      </c>
      <c r="E1378">
        <v>-9.7971599999999992E-3</v>
      </c>
    </row>
    <row r="1379" spans="1:5" x14ac:dyDescent="0.3">
      <c r="A1379" s="8">
        <v>52</v>
      </c>
      <c r="B1379" s="8">
        <v>52</v>
      </c>
      <c r="C1379" s="8">
        <v>3857</v>
      </c>
      <c r="D1379" s="16">
        <v>1.2311240000000001</v>
      </c>
      <c r="E1379"/>
    </row>
    <row r="1380" spans="1:5" x14ac:dyDescent="0.3">
      <c r="A1380" s="8">
        <v>53</v>
      </c>
      <c r="B1380" s="8">
        <v>1</v>
      </c>
      <c r="C1380" s="8">
        <v>3617</v>
      </c>
      <c r="D1380" s="16">
        <v>-1.057164E-2</v>
      </c>
      <c r="E1380">
        <v>-5.2858200000000001E-3</v>
      </c>
    </row>
    <row r="1381" spans="1:5" x14ac:dyDescent="0.3">
      <c r="A1381" s="8">
        <v>53</v>
      </c>
      <c r="B1381" s="8">
        <v>2</v>
      </c>
      <c r="C1381" s="8">
        <v>3594</v>
      </c>
      <c r="D1381" s="16">
        <v>3.9754390000000001E-2</v>
      </c>
      <c r="E1381">
        <v>1.9877195E-2</v>
      </c>
    </row>
    <row r="1382" spans="1:5" x14ac:dyDescent="0.3">
      <c r="A1382" s="8">
        <v>53</v>
      </c>
      <c r="B1382" s="8">
        <v>3</v>
      </c>
      <c r="C1382" s="8">
        <v>3618</v>
      </c>
      <c r="D1382" s="16">
        <v>-1.171508E-4</v>
      </c>
      <c r="E1382">
        <v>-5.8575400000000002E-5</v>
      </c>
    </row>
    <row r="1383" spans="1:5" x14ac:dyDescent="0.3">
      <c r="A1383" s="8">
        <v>53</v>
      </c>
      <c r="B1383" s="8">
        <v>4</v>
      </c>
      <c r="C1383" s="8">
        <v>3561</v>
      </c>
      <c r="D1383" s="16">
        <v>-4.0798130000000002E-2</v>
      </c>
      <c r="E1383">
        <v>-2.0399065000000001E-2</v>
      </c>
    </row>
    <row r="1384" spans="1:5" x14ac:dyDescent="0.3">
      <c r="A1384" s="8">
        <v>53</v>
      </c>
      <c r="B1384" s="8">
        <v>5</v>
      </c>
      <c r="C1384" s="8">
        <v>3580</v>
      </c>
      <c r="D1384" s="16">
        <v>7.7556389999999999E-3</v>
      </c>
      <c r="E1384">
        <v>3.8778195E-3</v>
      </c>
    </row>
    <row r="1385" spans="1:5" x14ac:dyDescent="0.3">
      <c r="A1385" s="8">
        <v>53</v>
      </c>
      <c r="B1385" s="8">
        <v>6</v>
      </c>
      <c r="C1385" s="8">
        <v>3597</v>
      </c>
      <c r="D1385" s="16">
        <v>-6.3098850000000003E-4</v>
      </c>
      <c r="E1385">
        <v>-3.1549425000000002E-4</v>
      </c>
    </row>
    <row r="1386" spans="1:5" x14ac:dyDescent="0.3">
      <c r="A1386" s="8">
        <v>53</v>
      </c>
      <c r="B1386" s="8">
        <v>7</v>
      </c>
      <c r="C1386" s="8">
        <v>3566</v>
      </c>
      <c r="D1386" s="16">
        <v>-3.3010740000000002E-3</v>
      </c>
      <c r="E1386">
        <v>-1.6505370000000001E-3</v>
      </c>
    </row>
    <row r="1387" spans="1:5" x14ac:dyDescent="0.3">
      <c r="A1387" s="8">
        <v>53</v>
      </c>
      <c r="B1387" s="8">
        <v>8</v>
      </c>
      <c r="C1387" s="8">
        <v>3596</v>
      </c>
      <c r="D1387" s="16">
        <v>-4.0772040000000002E-2</v>
      </c>
      <c r="E1387">
        <v>-2.0386020000000001E-2</v>
      </c>
    </row>
    <row r="1388" spans="1:5" x14ac:dyDescent="0.3">
      <c r="A1388" s="8">
        <v>53</v>
      </c>
      <c r="B1388" s="8">
        <v>9</v>
      </c>
      <c r="C1388" s="8">
        <v>3600</v>
      </c>
      <c r="D1388" s="16">
        <v>1.8561620000000001E-2</v>
      </c>
      <c r="E1388">
        <v>9.2808100000000004E-3</v>
      </c>
    </row>
    <row r="1389" spans="1:5" x14ac:dyDescent="0.3">
      <c r="A1389" s="8">
        <v>53</v>
      </c>
      <c r="B1389" s="8">
        <v>10</v>
      </c>
      <c r="C1389" s="8">
        <v>3605</v>
      </c>
      <c r="D1389" s="16">
        <v>9.6328100000000003E-3</v>
      </c>
      <c r="E1389">
        <v>4.8164050000000002E-3</v>
      </c>
    </row>
    <row r="1390" spans="1:5" x14ac:dyDescent="0.3">
      <c r="A1390" s="8">
        <v>53</v>
      </c>
      <c r="B1390" s="8">
        <v>11</v>
      </c>
      <c r="C1390" s="8">
        <v>3596</v>
      </c>
      <c r="D1390" s="16">
        <v>-4.2900840000000003E-2</v>
      </c>
      <c r="E1390">
        <v>-2.1450420000000001E-2</v>
      </c>
    </row>
    <row r="1391" spans="1:5" x14ac:dyDescent="0.3">
      <c r="A1391" s="8">
        <v>53</v>
      </c>
      <c r="B1391" s="8">
        <v>12</v>
      </c>
      <c r="C1391" s="8">
        <v>3600</v>
      </c>
      <c r="D1391" s="16">
        <v>7.6239230000000002E-5</v>
      </c>
      <c r="E1391">
        <v>3.8119615000000001E-5</v>
      </c>
    </row>
    <row r="1392" spans="1:5" x14ac:dyDescent="0.3">
      <c r="A1392" s="8">
        <v>53</v>
      </c>
      <c r="B1392" s="8">
        <v>13</v>
      </c>
      <c r="C1392" s="8">
        <v>3595</v>
      </c>
      <c r="D1392" s="16">
        <v>-2.826712E-2</v>
      </c>
      <c r="E1392">
        <v>-1.413356E-2</v>
      </c>
    </row>
    <row r="1393" spans="1:5" x14ac:dyDescent="0.3">
      <c r="A1393" s="8">
        <v>53</v>
      </c>
      <c r="B1393" s="8">
        <v>14</v>
      </c>
      <c r="C1393" s="8">
        <v>3598</v>
      </c>
      <c r="D1393" s="16">
        <v>-4.0239349999999998E-4</v>
      </c>
      <c r="E1393">
        <v>-2.0119674999999999E-4</v>
      </c>
    </row>
    <row r="1394" spans="1:5" x14ac:dyDescent="0.3">
      <c r="A1394" s="8">
        <v>53</v>
      </c>
      <c r="B1394" s="8">
        <v>15</v>
      </c>
      <c r="C1394" s="8">
        <v>3612</v>
      </c>
      <c r="D1394" s="16">
        <v>-4.8451650000000002E-3</v>
      </c>
      <c r="E1394">
        <v>-2.4225825000000001E-3</v>
      </c>
    </row>
    <row r="1395" spans="1:5" x14ac:dyDescent="0.3">
      <c r="A1395" s="8">
        <v>53</v>
      </c>
      <c r="B1395" s="8">
        <v>16</v>
      </c>
      <c r="C1395" s="8">
        <v>3582</v>
      </c>
      <c r="D1395" s="16">
        <v>-1.8187970000000001E-2</v>
      </c>
      <c r="E1395">
        <v>-9.0939850000000006E-3</v>
      </c>
    </row>
    <row r="1396" spans="1:5" x14ac:dyDescent="0.3">
      <c r="A1396" s="8">
        <v>53</v>
      </c>
      <c r="B1396" s="8">
        <v>17</v>
      </c>
      <c r="C1396" s="8">
        <v>3595</v>
      </c>
      <c r="D1396" s="16">
        <v>-1.449141E-2</v>
      </c>
      <c r="E1396">
        <v>-7.2457049999999999E-3</v>
      </c>
    </row>
    <row r="1397" spans="1:5" x14ac:dyDescent="0.3">
      <c r="A1397" s="8">
        <v>53</v>
      </c>
      <c r="B1397" s="8">
        <v>18</v>
      </c>
      <c r="C1397" s="8">
        <v>3607</v>
      </c>
      <c r="D1397" s="16">
        <v>-1.685764E-2</v>
      </c>
      <c r="E1397">
        <v>-8.4288200000000001E-3</v>
      </c>
    </row>
    <row r="1398" spans="1:5" x14ac:dyDescent="0.3">
      <c r="A1398" s="8">
        <v>53</v>
      </c>
      <c r="B1398" s="8">
        <v>19</v>
      </c>
      <c r="C1398" s="8">
        <v>3576</v>
      </c>
      <c r="D1398" s="16">
        <v>-5.3119949999999999E-2</v>
      </c>
      <c r="E1398">
        <v>-2.6559975E-2</v>
      </c>
    </row>
    <row r="1399" spans="1:5" x14ac:dyDescent="0.3">
      <c r="A1399" s="8">
        <v>53</v>
      </c>
      <c r="B1399" s="8">
        <v>20</v>
      </c>
      <c r="C1399" s="8">
        <v>3571</v>
      </c>
      <c r="D1399" s="16">
        <v>-4.356902E-2</v>
      </c>
      <c r="E1399">
        <v>-2.178451E-2</v>
      </c>
    </row>
    <row r="1400" spans="1:5" x14ac:dyDescent="0.3">
      <c r="A1400" s="8">
        <v>53</v>
      </c>
      <c r="B1400" s="8">
        <v>21</v>
      </c>
      <c r="C1400" s="8">
        <v>3623</v>
      </c>
      <c r="D1400" s="16">
        <v>-3.4346130000000002E-2</v>
      </c>
      <c r="E1400">
        <v>-1.7173065000000001E-2</v>
      </c>
    </row>
    <row r="1401" spans="1:5" x14ac:dyDescent="0.3">
      <c r="A1401" s="8">
        <v>53</v>
      </c>
      <c r="B1401" s="8">
        <v>22</v>
      </c>
      <c r="C1401" s="8">
        <v>3580</v>
      </c>
      <c r="D1401" s="16">
        <v>-1.500601E-2</v>
      </c>
      <c r="E1401">
        <v>-7.5030050000000001E-3</v>
      </c>
    </row>
    <row r="1402" spans="1:5" x14ac:dyDescent="0.3">
      <c r="A1402" s="8">
        <v>53</v>
      </c>
      <c r="B1402" s="8">
        <v>23</v>
      </c>
      <c r="C1402" s="8">
        <v>3588</v>
      </c>
      <c r="D1402" s="16">
        <v>-3.4057049999999998E-2</v>
      </c>
      <c r="E1402">
        <v>-1.7028524999999999E-2</v>
      </c>
    </row>
    <row r="1403" spans="1:5" x14ac:dyDescent="0.3">
      <c r="A1403" s="8">
        <v>53</v>
      </c>
      <c r="B1403" s="8">
        <v>24</v>
      </c>
      <c r="C1403" s="8">
        <v>3608</v>
      </c>
      <c r="D1403" s="16">
        <v>-3.1795950000000003E-2</v>
      </c>
      <c r="E1403">
        <v>-1.5897975000000002E-2</v>
      </c>
    </row>
    <row r="1404" spans="1:5" x14ac:dyDescent="0.3">
      <c r="A1404" s="8">
        <v>53</v>
      </c>
      <c r="B1404" s="8">
        <v>25</v>
      </c>
      <c r="C1404" s="8">
        <v>3580</v>
      </c>
      <c r="D1404" s="16">
        <v>-4.5115540000000003E-2</v>
      </c>
      <c r="E1404">
        <v>-2.2557770000000001E-2</v>
      </c>
    </row>
    <row r="1405" spans="1:5" x14ac:dyDescent="0.3">
      <c r="A1405" s="8">
        <v>53</v>
      </c>
      <c r="B1405" s="8">
        <v>26</v>
      </c>
      <c r="C1405" s="8">
        <v>3608</v>
      </c>
      <c r="D1405" s="16">
        <v>4.2636510000000002E-2</v>
      </c>
      <c r="E1405">
        <v>2.1318255000000001E-2</v>
      </c>
    </row>
    <row r="1406" spans="1:5" x14ac:dyDescent="0.3">
      <c r="A1406" s="8">
        <v>53</v>
      </c>
      <c r="B1406" s="8">
        <v>27</v>
      </c>
      <c r="C1406" s="8">
        <v>3580</v>
      </c>
      <c r="D1406" s="16">
        <v>-1.9214749999999999E-2</v>
      </c>
      <c r="E1406">
        <v>-9.6073749999999996E-3</v>
      </c>
    </row>
    <row r="1407" spans="1:5" x14ac:dyDescent="0.3">
      <c r="A1407" s="8">
        <v>53</v>
      </c>
      <c r="B1407" s="8">
        <v>28</v>
      </c>
      <c r="C1407" s="8">
        <v>3540</v>
      </c>
      <c r="D1407" s="16">
        <v>2.739801E-2</v>
      </c>
      <c r="E1407">
        <v>1.3699005E-2</v>
      </c>
    </row>
    <row r="1408" spans="1:5" x14ac:dyDescent="0.3">
      <c r="A1408" s="8">
        <v>53</v>
      </c>
      <c r="B1408" s="8">
        <v>29</v>
      </c>
      <c r="C1408" s="8">
        <v>3566</v>
      </c>
      <c r="D1408" s="16">
        <v>-2.1915500000000001E-2</v>
      </c>
      <c r="E1408">
        <v>-1.095775E-2</v>
      </c>
    </row>
    <row r="1409" spans="1:5" x14ac:dyDescent="0.3">
      <c r="A1409" s="8">
        <v>53</v>
      </c>
      <c r="B1409" s="8">
        <v>30</v>
      </c>
      <c r="C1409" s="8">
        <v>3569</v>
      </c>
      <c r="D1409" s="16">
        <v>-2.7908309999999999E-2</v>
      </c>
      <c r="E1409">
        <v>-1.3954154999999999E-2</v>
      </c>
    </row>
    <row r="1410" spans="1:5" x14ac:dyDescent="0.3">
      <c r="A1410" s="8">
        <v>53</v>
      </c>
      <c r="B1410" s="8">
        <v>31</v>
      </c>
      <c r="C1410" s="8">
        <v>3510</v>
      </c>
      <c r="D1410" s="16">
        <v>-3.3953770000000002E-3</v>
      </c>
      <c r="E1410">
        <v>-1.6976885000000001E-3</v>
      </c>
    </row>
    <row r="1411" spans="1:5" x14ac:dyDescent="0.3">
      <c r="A1411" s="8">
        <v>53</v>
      </c>
      <c r="B1411" s="8">
        <v>32</v>
      </c>
      <c r="C1411" s="8">
        <v>3558</v>
      </c>
      <c r="D1411" s="16">
        <v>-8.5573859999999997E-4</v>
      </c>
      <c r="E1411">
        <v>-4.2786929999999999E-4</v>
      </c>
    </row>
    <row r="1412" spans="1:5" x14ac:dyDescent="0.3">
      <c r="A1412" s="8">
        <v>53</v>
      </c>
      <c r="B1412" s="8">
        <v>33</v>
      </c>
      <c r="C1412" s="8">
        <v>3608</v>
      </c>
      <c r="D1412" s="16">
        <v>-9.0673889999999993E-2</v>
      </c>
      <c r="E1412">
        <v>-4.5336944999999997E-2</v>
      </c>
    </row>
    <row r="1413" spans="1:5" x14ac:dyDescent="0.3">
      <c r="A1413" s="8">
        <v>53</v>
      </c>
      <c r="B1413" s="8">
        <v>34</v>
      </c>
      <c r="C1413" s="8">
        <v>3608</v>
      </c>
      <c r="D1413" s="16">
        <v>-2.2815330000000002E-2</v>
      </c>
      <c r="E1413">
        <v>-1.1407665000000001E-2</v>
      </c>
    </row>
    <row r="1414" spans="1:5" x14ac:dyDescent="0.3">
      <c r="A1414" s="8">
        <v>53</v>
      </c>
      <c r="B1414" s="8">
        <v>35</v>
      </c>
      <c r="C1414" s="8">
        <v>3587</v>
      </c>
      <c r="D1414" s="16">
        <v>-1.4180369999999999E-2</v>
      </c>
      <c r="E1414">
        <v>-7.0901849999999997E-3</v>
      </c>
    </row>
    <row r="1415" spans="1:5" x14ac:dyDescent="0.3">
      <c r="A1415" s="8">
        <v>53</v>
      </c>
      <c r="B1415" s="8">
        <v>36</v>
      </c>
      <c r="C1415" s="8">
        <v>3577</v>
      </c>
      <c r="D1415" s="16">
        <v>-3.161921E-4</v>
      </c>
      <c r="E1415">
        <v>-1.5809605E-4</v>
      </c>
    </row>
    <row r="1416" spans="1:5" x14ac:dyDescent="0.3">
      <c r="A1416" s="8">
        <v>53</v>
      </c>
      <c r="B1416" s="8">
        <v>37</v>
      </c>
      <c r="C1416" s="8">
        <v>3554</v>
      </c>
      <c r="D1416" s="16">
        <v>8.7034769999999994E-3</v>
      </c>
      <c r="E1416">
        <v>4.3517384999999997E-3</v>
      </c>
    </row>
    <row r="1417" spans="1:5" x14ac:dyDescent="0.3">
      <c r="A1417" s="8">
        <v>53</v>
      </c>
      <c r="B1417" s="8">
        <v>38</v>
      </c>
      <c r="C1417" s="8">
        <v>3593</v>
      </c>
      <c r="D1417" s="16">
        <v>-3.3556410000000002E-2</v>
      </c>
      <c r="E1417">
        <v>-1.6778205000000001E-2</v>
      </c>
    </row>
    <row r="1418" spans="1:5" x14ac:dyDescent="0.3">
      <c r="A1418" s="8">
        <v>53</v>
      </c>
      <c r="B1418" s="8">
        <v>39</v>
      </c>
      <c r="C1418" s="8">
        <v>3588</v>
      </c>
      <c r="D1418" s="16">
        <v>3.5120819999999997E-2</v>
      </c>
      <c r="E1418">
        <v>1.7560409999999999E-2</v>
      </c>
    </row>
    <row r="1419" spans="1:5" x14ac:dyDescent="0.3">
      <c r="A1419" s="8">
        <v>53</v>
      </c>
      <c r="B1419" s="8">
        <v>40</v>
      </c>
      <c r="C1419" s="8">
        <v>3608</v>
      </c>
      <c r="D1419" s="16">
        <v>-9.4458679999999996E-3</v>
      </c>
      <c r="E1419">
        <v>-4.7229339999999998E-3</v>
      </c>
    </row>
    <row r="1420" spans="1:5" x14ac:dyDescent="0.3">
      <c r="A1420" s="8">
        <v>53</v>
      </c>
      <c r="B1420" s="8">
        <v>41</v>
      </c>
      <c r="C1420" s="8">
        <v>3562</v>
      </c>
      <c r="D1420" s="16">
        <v>-7.6585349999999997E-5</v>
      </c>
      <c r="E1420">
        <v>-3.8292674999999998E-5</v>
      </c>
    </row>
    <row r="1421" spans="1:5" x14ac:dyDescent="0.3">
      <c r="A1421" s="8">
        <v>53</v>
      </c>
      <c r="B1421" s="8">
        <v>42</v>
      </c>
      <c r="C1421" s="8">
        <v>3591</v>
      </c>
      <c r="D1421" s="16">
        <v>6.6066099999999997E-3</v>
      </c>
      <c r="E1421">
        <v>3.3033049999999999E-3</v>
      </c>
    </row>
    <row r="1422" spans="1:5" x14ac:dyDescent="0.3">
      <c r="A1422" s="8">
        <v>53</v>
      </c>
      <c r="B1422" s="8">
        <v>43</v>
      </c>
      <c r="C1422" s="8">
        <v>3561</v>
      </c>
      <c r="D1422" s="16">
        <v>-2.5566019999999998E-2</v>
      </c>
      <c r="E1422">
        <v>-1.2783009999999999E-2</v>
      </c>
    </row>
    <row r="1423" spans="1:5" x14ac:dyDescent="0.3">
      <c r="A1423" s="8">
        <v>53</v>
      </c>
      <c r="B1423" s="8">
        <v>44</v>
      </c>
      <c r="C1423" s="8">
        <v>3550</v>
      </c>
      <c r="D1423" s="16">
        <v>-1.213962E-2</v>
      </c>
      <c r="E1423">
        <v>-6.0698100000000001E-3</v>
      </c>
    </row>
    <row r="1424" spans="1:5" x14ac:dyDescent="0.3">
      <c r="A1424" s="8">
        <v>53</v>
      </c>
      <c r="B1424" s="8">
        <v>45</v>
      </c>
      <c r="C1424" s="8">
        <v>3602</v>
      </c>
      <c r="D1424" s="16">
        <v>5.6989880000000003E-3</v>
      </c>
      <c r="E1424">
        <v>2.8494940000000002E-3</v>
      </c>
    </row>
    <row r="1425" spans="1:5" x14ac:dyDescent="0.3">
      <c r="A1425" s="8">
        <v>53</v>
      </c>
      <c r="B1425" s="8">
        <v>46</v>
      </c>
      <c r="C1425" s="8">
        <v>3595</v>
      </c>
      <c r="D1425" s="16">
        <v>4.7987150000000003E-3</v>
      </c>
      <c r="E1425">
        <v>2.3993575000000001E-3</v>
      </c>
    </row>
    <row r="1426" spans="1:5" x14ac:dyDescent="0.3">
      <c r="A1426" s="8">
        <v>53</v>
      </c>
      <c r="B1426" s="8">
        <v>47</v>
      </c>
      <c r="C1426" s="8">
        <v>3607</v>
      </c>
      <c r="D1426" s="16">
        <v>-3.3523650000000002E-2</v>
      </c>
      <c r="E1426">
        <v>-1.6761825000000001E-2</v>
      </c>
    </row>
    <row r="1427" spans="1:5" x14ac:dyDescent="0.3">
      <c r="A1427" s="8">
        <v>53</v>
      </c>
      <c r="B1427" s="8">
        <v>48</v>
      </c>
      <c r="C1427" s="8">
        <v>3567</v>
      </c>
      <c r="D1427" s="16">
        <v>-6.0128000000000001E-2</v>
      </c>
      <c r="E1427">
        <v>-3.0064E-2</v>
      </c>
    </row>
    <row r="1428" spans="1:5" x14ac:dyDescent="0.3">
      <c r="A1428" s="8">
        <v>53</v>
      </c>
      <c r="B1428" s="8">
        <v>49</v>
      </c>
      <c r="C1428" s="8">
        <v>3588</v>
      </c>
      <c r="D1428" s="16">
        <v>-2.5638660000000001E-2</v>
      </c>
      <c r="E1428">
        <v>-1.281933E-2</v>
      </c>
    </row>
    <row r="1429" spans="1:5" x14ac:dyDescent="0.3">
      <c r="A1429" s="8">
        <v>53</v>
      </c>
      <c r="B1429" s="8">
        <v>50</v>
      </c>
      <c r="C1429" s="8">
        <v>3610</v>
      </c>
      <c r="D1429" s="16">
        <v>-7.0806050000000002E-3</v>
      </c>
      <c r="E1429">
        <v>-3.5403025000000001E-3</v>
      </c>
    </row>
    <row r="1430" spans="1:5" x14ac:dyDescent="0.3">
      <c r="A1430" s="8">
        <v>53</v>
      </c>
      <c r="B1430" s="8">
        <v>51</v>
      </c>
      <c r="C1430" s="8">
        <v>3569</v>
      </c>
      <c r="D1430" s="16">
        <v>1.339186E-2</v>
      </c>
      <c r="E1430">
        <v>6.6959300000000001E-3</v>
      </c>
    </row>
    <row r="1431" spans="1:5" x14ac:dyDescent="0.3">
      <c r="A1431" s="8">
        <v>53</v>
      </c>
      <c r="B1431" s="8">
        <v>52</v>
      </c>
      <c r="C1431" s="8">
        <v>3581</v>
      </c>
      <c r="D1431" s="16">
        <v>-5.8855769999999999E-4</v>
      </c>
      <c r="E1431">
        <v>-2.9427885E-4</v>
      </c>
    </row>
    <row r="1432" spans="1:5" x14ac:dyDescent="0.3">
      <c r="A1432" s="8">
        <v>53</v>
      </c>
      <c r="B1432" s="8">
        <v>53</v>
      </c>
      <c r="C1432" s="8">
        <v>3871</v>
      </c>
      <c r="D1432" s="16">
        <v>1.1844129999999999</v>
      </c>
      <c r="E1432"/>
    </row>
    <row r="1433" spans="1:5" x14ac:dyDescent="0.3">
      <c r="A1433" s="8">
        <v>54</v>
      </c>
      <c r="B1433" s="8">
        <v>1</v>
      </c>
      <c r="C1433" s="8">
        <v>3601</v>
      </c>
      <c r="D1433" s="16">
        <v>-1.6693920000000001E-2</v>
      </c>
      <c r="E1433">
        <v>-8.3469600000000005E-3</v>
      </c>
    </row>
    <row r="1434" spans="1:5" x14ac:dyDescent="0.3">
      <c r="A1434" s="8">
        <v>54</v>
      </c>
      <c r="B1434" s="8">
        <v>2</v>
      </c>
      <c r="C1434" s="8">
        <v>3579</v>
      </c>
      <c r="D1434" s="16">
        <v>2.6836249999999998E-3</v>
      </c>
      <c r="E1434">
        <v>1.3418124999999999E-3</v>
      </c>
    </row>
    <row r="1435" spans="1:5" x14ac:dyDescent="0.3">
      <c r="A1435" s="8">
        <v>54</v>
      </c>
      <c r="B1435" s="8">
        <v>3</v>
      </c>
      <c r="C1435" s="8">
        <v>3612</v>
      </c>
      <c r="D1435" s="16">
        <v>-2.7344819999999999E-2</v>
      </c>
      <c r="E1435">
        <v>-1.3672409999999999E-2</v>
      </c>
    </row>
    <row r="1436" spans="1:5" x14ac:dyDescent="0.3">
      <c r="A1436" s="8">
        <v>54</v>
      </c>
      <c r="B1436" s="8">
        <v>4</v>
      </c>
      <c r="C1436" s="8">
        <v>3576</v>
      </c>
      <c r="D1436" s="16">
        <v>1.2829770000000001E-2</v>
      </c>
      <c r="E1436">
        <v>6.4148850000000004E-3</v>
      </c>
    </row>
    <row r="1437" spans="1:5" x14ac:dyDescent="0.3">
      <c r="A1437" s="8">
        <v>54</v>
      </c>
      <c r="B1437" s="8">
        <v>5</v>
      </c>
      <c r="C1437" s="8">
        <v>3581</v>
      </c>
      <c r="D1437" s="16">
        <v>-1.239259E-2</v>
      </c>
      <c r="E1437">
        <v>-6.1962950000000001E-3</v>
      </c>
    </row>
    <row r="1438" spans="1:5" x14ac:dyDescent="0.3">
      <c r="A1438" s="8">
        <v>54</v>
      </c>
      <c r="B1438" s="8">
        <v>6</v>
      </c>
      <c r="C1438" s="8">
        <v>3599</v>
      </c>
      <c r="D1438" s="16">
        <v>-3.4324019999999997E-2</v>
      </c>
      <c r="E1438">
        <v>-1.7162009999999998E-2</v>
      </c>
    </row>
    <row r="1439" spans="1:5" x14ac:dyDescent="0.3">
      <c r="A1439" s="8">
        <v>54</v>
      </c>
      <c r="B1439" s="8">
        <v>7</v>
      </c>
      <c r="C1439" s="8">
        <v>3558</v>
      </c>
      <c r="D1439" s="16">
        <v>2.7986319999999999E-2</v>
      </c>
      <c r="E1439">
        <v>1.3993159999999999E-2</v>
      </c>
    </row>
    <row r="1440" spans="1:5" x14ac:dyDescent="0.3">
      <c r="A1440" s="8">
        <v>54</v>
      </c>
      <c r="B1440" s="8">
        <v>8</v>
      </c>
      <c r="C1440" s="8">
        <v>3585</v>
      </c>
      <c r="D1440" s="16">
        <v>1.8904170000000001E-2</v>
      </c>
      <c r="E1440">
        <v>9.4520850000000007E-3</v>
      </c>
    </row>
    <row r="1441" spans="1:5" x14ac:dyDescent="0.3">
      <c r="A1441" s="8">
        <v>54</v>
      </c>
      <c r="B1441" s="8">
        <v>9</v>
      </c>
      <c r="C1441" s="8">
        <v>3593</v>
      </c>
      <c r="D1441" s="16">
        <v>-8.3494520000000003E-2</v>
      </c>
      <c r="E1441">
        <v>-4.1747260000000001E-2</v>
      </c>
    </row>
    <row r="1442" spans="1:5" x14ac:dyDescent="0.3">
      <c r="A1442" s="8">
        <v>54</v>
      </c>
      <c r="B1442" s="8">
        <v>10</v>
      </c>
      <c r="C1442" s="8">
        <v>3593</v>
      </c>
      <c r="D1442" s="16">
        <v>-4.7600480000000001E-2</v>
      </c>
      <c r="E1442">
        <v>-2.380024E-2</v>
      </c>
    </row>
    <row r="1443" spans="1:5" x14ac:dyDescent="0.3">
      <c r="A1443" s="8">
        <v>54</v>
      </c>
      <c r="B1443" s="8">
        <v>11</v>
      </c>
      <c r="C1443" s="8">
        <v>3597</v>
      </c>
      <c r="D1443" s="16">
        <v>-2.086851E-2</v>
      </c>
      <c r="E1443">
        <v>-1.0434255E-2</v>
      </c>
    </row>
    <row r="1444" spans="1:5" x14ac:dyDescent="0.3">
      <c r="A1444" s="8">
        <v>54</v>
      </c>
      <c r="B1444" s="8">
        <v>12</v>
      </c>
      <c r="C1444" s="8">
        <v>3589</v>
      </c>
      <c r="D1444" s="16">
        <v>-9.8334049999999999E-3</v>
      </c>
      <c r="E1444">
        <v>-4.9167025E-3</v>
      </c>
    </row>
    <row r="1445" spans="1:5" x14ac:dyDescent="0.3">
      <c r="A1445" s="8">
        <v>54</v>
      </c>
      <c r="B1445" s="8">
        <v>13</v>
      </c>
      <c r="C1445" s="8">
        <v>3592</v>
      </c>
      <c r="D1445" s="16">
        <v>-2.8260449999999999E-2</v>
      </c>
      <c r="E1445">
        <v>-1.4130225E-2</v>
      </c>
    </row>
    <row r="1446" spans="1:5" x14ac:dyDescent="0.3">
      <c r="A1446" s="8">
        <v>54</v>
      </c>
      <c r="B1446" s="8">
        <v>14</v>
      </c>
      <c r="C1446" s="8">
        <v>3572</v>
      </c>
      <c r="D1446" s="16">
        <v>-1.4661510000000001E-2</v>
      </c>
      <c r="E1446">
        <v>-7.3307550000000004E-3</v>
      </c>
    </row>
    <row r="1447" spans="1:5" x14ac:dyDescent="0.3">
      <c r="A1447" s="8">
        <v>54</v>
      </c>
      <c r="B1447" s="8">
        <v>15</v>
      </c>
      <c r="C1447" s="8">
        <v>3593</v>
      </c>
      <c r="D1447" s="16">
        <v>-4.467339E-2</v>
      </c>
      <c r="E1447">
        <v>-2.2336695E-2</v>
      </c>
    </row>
    <row r="1448" spans="1:5" x14ac:dyDescent="0.3">
      <c r="A1448" s="8">
        <v>54</v>
      </c>
      <c r="B1448" s="8">
        <v>16</v>
      </c>
      <c r="C1448" s="8">
        <v>3579</v>
      </c>
      <c r="D1448" s="16">
        <v>-1.237522E-3</v>
      </c>
      <c r="E1448">
        <v>-6.1876100000000001E-4</v>
      </c>
    </row>
    <row r="1449" spans="1:5" x14ac:dyDescent="0.3">
      <c r="A1449" s="8">
        <v>54</v>
      </c>
      <c r="B1449" s="8">
        <v>17</v>
      </c>
      <c r="C1449" s="8">
        <v>3587</v>
      </c>
      <c r="D1449" s="16">
        <v>-2.4251140000000001E-2</v>
      </c>
      <c r="E1449">
        <v>-1.212557E-2</v>
      </c>
    </row>
    <row r="1450" spans="1:5" x14ac:dyDescent="0.3">
      <c r="A1450" s="8">
        <v>54</v>
      </c>
      <c r="B1450" s="8">
        <v>18</v>
      </c>
      <c r="C1450" s="8">
        <v>3602</v>
      </c>
      <c r="D1450" s="16">
        <v>-5.9980909999999998E-2</v>
      </c>
      <c r="E1450">
        <v>-2.9990454999999999E-2</v>
      </c>
    </row>
    <row r="1451" spans="1:5" x14ac:dyDescent="0.3">
      <c r="A1451" s="8">
        <v>54</v>
      </c>
      <c r="B1451" s="8">
        <v>19</v>
      </c>
      <c r="C1451" s="8">
        <v>3567</v>
      </c>
      <c r="D1451" s="16">
        <v>2.287697E-2</v>
      </c>
      <c r="E1451">
        <v>1.1438485E-2</v>
      </c>
    </row>
    <row r="1452" spans="1:5" x14ac:dyDescent="0.3">
      <c r="A1452" s="8">
        <v>54</v>
      </c>
      <c r="B1452" s="8">
        <v>20</v>
      </c>
      <c r="C1452" s="8">
        <v>3565</v>
      </c>
      <c r="D1452" s="16">
        <v>-2.908764E-4</v>
      </c>
      <c r="E1452">
        <v>-1.454382E-4</v>
      </c>
    </row>
    <row r="1453" spans="1:5" x14ac:dyDescent="0.3">
      <c r="A1453" s="8">
        <v>54</v>
      </c>
      <c r="B1453" s="8">
        <v>21</v>
      </c>
      <c r="C1453" s="8">
        <v>3615</v>
      </c>
      <c r="D1453" s="16">
        <v>-2.102064E-2</v>
      </c>
      <c r="E1453">
        <v>-1.051032E-2</v>
      </c>
    </row>
    <row r="1454" spans="1:5" x14ac:dyDescent="0.3">
      <c r="A1454" s="8">
        <v>54</v>
      </c>
      <c r="B1454" s="8">
        <v>22</v>
      </c>
      <c r="C1454" s="8">
        <v>3572</v>
      </c>
      <c r="D1454" s="16">
        <v>-2.987364E-2</v>
      </c>
      <c r="E1454">
        <v>-1.493682E-2</v>
      </c>
    </row>
    <row r="1455" spans="1:5" x14ac:dyDescent="0.3">
      <c r="A1455" s="8">
        <v>54</v>
      </c>
      <c r="B1455" s="8">
        <v>23</v>
      </c>
      <c r="C1455" s="8">
        <v>3579</v>
      </c>
      <c r="D1455" s="16">
        <v>7.0950520000000001E-3</v>
      </c>
      <c r="E1455">
        <v>3.5475260000000001E-3</v>
      </c>
    </row>
    <row r="1456" spans="1:5" x14ac:dyDescent="0.3">
      <c r="A1456" s="8">
        <v>54</v>
      </c>
      <c r="B1456" s="8">
        <v>24</v>
      </c>
      <c r="C1456" s="8">
        <v>3608</v>
      </c>
      <c r="D1456" s="16">
        <v>2.586637E-2</v>
      </c>
      <c r="E1456">
        <v>1.2933185E-2</v>
      </c>
    </row>
    <row r="1457" spans="1:5" x14ac:dyDescent="0.3">
      <c r="A1457" s="8">
        <v>54</v>
      </c>
      <c r="B1457" s="8">
        <v>25</v>
      </c>
      <c r="C1457" s="8">
        <v>3565</v>
      </c>
      <c r="D1457" s="16">
        <v>-2.1289720000000002E-2</v>
      </c>
      <c r="E1457">
        <v>-1.0644860000000001E-2</v>
      </c>
    </row>
    <row r="1458" spans="1:5" x14ac:dyDescent="0.3">
      <c r="A1458" s="8">
        <v>54</v>
      </c>
      <c r="B1458" s="8">
        <v>26</v>
      </c>
      <c r="C1458" s="8">
        <v>3601</v>
      </c>
      <c r="D1458" s="16">
        <v>-1.000671E-2</v>
      </c>
      <c r="E1458">
        <v>-5.0033550000000001E-3</v>
      </c>
    </row>
    <row r="1459" spans="1:5" x14ac:dyDescent="0.3">
      <c r="A1459" s="8">
        <v>54</v>
      </c>
      <c r="B1459" s="8">
        <v>27</v>
      </c>
      <c r="C1459" s="8">
        <v>3573</v>
      </c>
      <c r="D1459" s="16">
        <v>-4.6769520000000002E-2</v>
      </c>
      <c r="E1459">
        <v>-2.3384760000000001E-2</v>
      </c>
    </row>
    <row r="1460" spans="1:5" x14ac:dyDescent="0.3">
      <c r="A1460" s="8">
        <v>54</v>
      </c>
      <c r="B1460" s="8">
        <v>28</v>
      </c>
      <c r="C1460" s="8">
        <v>3546</v>
      </c>
      <c r="D1460" s="16">
        <v>-2.3347150000000001E-2</v>
      </c>
      <c r="E1460">
        <v>-1.1673575E-2</v>
      </c>
    </row>
    <row r="1461" spans="1:5" x14ac:dyDescent="0.3">
      <c r="A1461" s="8">
        <v>54</v>
      </c>
      <c r="B1461" s="8">
        <v>29</v>
      </c>
      <c r="C1461" s="8">
        <v>3551</v>
      </c>
      <c r="D1461" s="16">
        <v>-1.0591329999999999E-2</v>
      </c>
      <c r="E1461">
        <v>-5.2956649999999997E-3</v>
      </c>
    </row>
    <row r="1462" spans="1:5" x14ac:dyDescent="0.3">
      <c r="A1462" s="8">
        <v>54</v>
      </c>
      <c r="B1462" s="8">
        <v>30</v>
      </c>
      <c r="C1462" s="8">
        <v>3571</v>
      </c>
      <c r="D1462" s="16">
        <v>-7.0942549999999998E-3</v>
      </c>
      <c r="E1462">
        <v>-3.5471274999999999E-3</v>
      </c>
    </row>
    <row r="1463" spans="1:5" x14ac:dyDescent="0.3">
      <c r="A1463" s="8">
        <v>54</v>
      </c>
      <c r="B1463" s="8">
        <v>31</v>
      </c>
      <c r="C1463" s="8">
        <v>3516</v>
      </c>
      <c r="D1463" s="16">
        <v>-3.2604689999999999E-2</v>
      </c>
      <c r="E1463">
        <v>-1.6302344999999999E-2</v>
      </c>
    </row>
    <row r="1464" spans="1:5" x14ac:dyDescent="0.3">
      <c r="A1464" s="8">
        <v>54</v>
      </c>
      <c r="B1464" s="8">
        <v>32</v>
      </c>
      <c r="C1464" s="8">
        <v>3549</v>
      </c>
      <c r="D1464" s="16">
        <v>-4.882334E-4</v>
      </c>
      <c r="E1464">
        <v>-2.441167E-4</v>
      </c>
    </row>
    <row r="1465" spans="1:5" x14ac:dyDescent="0.3">
      <c r="A1465" s="8">
        <v>54</v>
      </c>
      <c r="B1465" s="8">
        <v>33</v>
      </c>
      <c r="C1465" s="8">
        <v>3599</v>
      </c>
      <c r="D1465" s="16">
        <v>-1.366874E-2</v>
      </c>
      <c r="E1465">
        <v>-6.8343700000000002E-3</v>
      </c>
    </row>
    <row r="1466" spans="1:5" x14ac:dyDescent="0.3">
      <c r="A1466" s="8">
        <v>54</v>
      </c>
      <c r="B1466" s="8">
        <v>34</v>
      </c>
      <c r="C1466" s="8">
        <v>3596</v>
      </c>
      <c r="D1466" s="16">
        <v>-3.8123789999999998E-2</v>
      </c>
      <c r="E1466">
        <v>-1.9061894999999999E-2</v>
      </c>
    </row>
    <row r="1467" spans="1:5" x14ac:dyDescent="0.3">
      <c r="A1467" s="8">
        <v>54</v>
      </c>
      <c r="B1467" s="8">
        <v>35</v>
      </c>
      <c r="C1467" s="8">
        <v>3576</v>
      </c>
      <c r="D1467" s="16">
        <v>-2.6880370000000001E-2</v>
      </c>
      <c r="E1467">
        <v>-1.3440185E-2</v>
      </c>
    </row>
    <row r="1468" spans="1:5" x14ac:dyDescent="0.3">
      <c r="A1468" s="8">
        <v>54</v>
      </c>
      <c r="B1468" s="8">
        <v>36</v>
      </c>
      <c r="C1468" s="8">
        <v>3585</v>
      </c>
      <c r="D1468" s="16">
        <v>-2.144014E-2</v>
      </c>
      <c r="E1468">
        <v>-1.072007E-2</v>
      </c>
    </row>
    <row r="1469" spans="1:5" x14ac:dyDescent="0.3">
      <c r="A1469" s="8">
        <v>54</v>
      </c>
      <c r="B1469" s="8">
        <v>37</v>
      </c>
      <c r="C1469" s="8">
        <v>3543</v>
      </c>
      <c r="D1469" s="16">
        <v>3.57282E-4</v>
      </c>
      <c r="E1469">
        <v>1.78641E-4</v>
      </c>
    </row>
    <row r="1470" spans="1:5" x14ac:dyDescent="0.3">
      <c r="A1470" s="8">
        <v>54</v>
      </c>
      <c r="B1470" s="8">
        <v>38</v>
      </c>
      <c r="C1470" s="8">
        <v>3594</v>
      </c>
      <c r="D1470" s="16">
        <v>1.2565110000000001E-2</v>
      </c>
      <c r="E1470">
        <v>6.2825550000000004E-3</v>
      </c>
    </row>
    <row r="1471" spans="1:5" x14ac:dyDescent="0.3">
      <c r="A1471" s="8">
        <v>54</v>
      </c>
      <c r="B1471" s="8">
        <v>39</v>
      </c>
      <c r="C1471" s="8">
        <v>3579</v>
      </c>
      <c r="D1471" s="16">
        <v>-2.3262359999999999E-2</v>
      </c>
      <c r="E1471">
        <v>-1.163118E-2</v>
      </c>
    </row>
    <row r="1472" spans="1:5" x14ac:dyDescent="0.3">
      <c r="A1472" s="8">
        <v>54</v>
      </c>
      <c r="B1472" s="8">
        <v>40</v>
      </c>
      <c r="C1472" s="8">
        <v>3597</v>
      </c>
      <c r="D1472" s="16">
        <v>-7.2384490000000001E-3</v>
      </c>
      <c r="E1472">
        <v>-3.6192245E-3</v>
      </c>
    </row>
    <row r="1473" spans="1:5" x14ac:dyDescent="0.3">
      <c r="A1473" s="8">
        <v>54</v>
      </c>
      <c r="B1473" s="8">
        <v>41</v>
      </c>
      <c r="C1473" s="8">
        <v>3557</v>
      </c>
      <c r="D1473" s="16">
        <v>-1.6227490000000001E-2</v>
      </c>
      <c r="E1473">
        <v>-8.1137450000000003E-3</v>
      </c>
    </row>
    <row r="1474" spans="1:5" x14ac:dyDescent="0.3">
      <c r="A1474" s="8">
        <v>54</v>
      </c>
      <c r="B1474" s="8">
        <v>42</v>
      </c>
      <c r="C1474" s="8">
        <v>3581</v>
      </c>
      <c r="D1474" s="16">
        <v>-1.392415E-2</v>
      </c>
      <c r="E1474">
        <v>-6.9620749999999999E-3</v>
      </c>
    </row>
    <row r="1475" spans="1:5" x14ac:dyDescent="0.3">
      <c r="A1475" s="8">
        <v>54</v>
      </c>
      <c r="B1475" s="8">
        <v>43</v>
      </c>
      <c r="C1475" s="8">
        <v>3555</v>
      </c>
      <c r="D1475" s="16">
        <v>-3.1537290000000001E-3</v>
      </c>
      <c r="E1475">
        <v>-1.5768645E-3</v>
      </c>
    </row>
    <row r="1476" spans="1:5" x14ac:dyDescent="0.3">
      <c r="A1476" s="8">
        <v>54</v>
      </c>
      <c r="B1476" s="8">
        <v>44</v>
      </c>
      <c r="C1476" s="8">
        <v>3543</v>
      </c>
      <c r="D1476" s="16">
        <v>-2.5528470000000001E-2</v>
      </c>
      <c r="E1476">
        <v>-1.2764235000000001E-2</v>
      </c>
    </row>
    <row r="1477" spans="1:5" x14ac:dyDescent="0.3">
      <c r="A1477" s="8">
        <v>54</v>
      </c>
      <c r="B1477" s="8">
        <v>45</v>
      </c>
      <c r="C1477" s="8">
        <v>3583</v>
      </c>
      <c r="D1477" s="16">
        <v>-2.299524E-2</v>
      </c>
      <c r="E1477">
        <v>-1.149762E-2</v>
      </c>
    </row>
    <row r="1478" spans="1:5" x14ac:dyDescent="0.3">
      <c r="A1478" s="8">
        <v>54</v>
      </c>
      <c r="B1478" s="8">
        <v>46</v>
      </c>
      <c r="C1478" s="8">
        <v>3587</v>
      </c>
      <c r="D1478" s="16">
        <v>-2.6658749999999998E-2</v>
      </c>
      <c r="E1478">
        <v>-1.3329374999999999E-2</v>
      </c>
    </row>
    <row r="1479" spans="1:5" x14ac:dyDescent="0.3">
      <c r="A1479" s="8">
        <v>54</v>
      </c>
      <c r="B1479" s="8">
        <v>47</v>
      </c>
      <c r="C1479" s="8">
        <v>3584</v>
      </c>
      <c r="D1479" s="16">
        <v>-2.8024739999999999E-2</v>
      </c>
      <c r="E1479">
        <v>-1.401237E-2</v>
      </c>
    </row>
    <row r="1480" spans="1:5" x14ac:dyDescent="0.3">
      <c r="A1480" s="8">
        <v>54</v>
      </c>
      <c r="B1480" s="8">
        <v>48</v>
      </c>
      <c r="C1480" s="8">
        <v>3558</v>
      </c>
      <c r="D1480" s="16">
        <v>1.302062E-2</v>
      </c>
      <c r="E1480">
        <v>6.5103100000000001E-3</v>
      </c>
    </row>
    <row r="1481" spans="1:5" x14ac:dyDescent="0.3">
      <c r="A1481" s="8">
        <v>54</v>
      </c>
      <c r="B1481" s="8">
        <v>49</v>
      </c>
      <c r="C1481" s="8">
        <v>3571</v>
      </c>
      <c r="D1481" s="16">
        <v>1.862229E-2</v>
      </c>
      <c r="E1481">
        <v>9.3111449999999998E-3</v>
      </c>
    </row>
    <row r="1482" spans="1:5" x14ac:dyDescent="0.3">
      <c r="A1482" s="8">
        <v>54</v>
      </c>
      <c r="B1482" s="8">
        <v>50</v>
      </c>
      <c r="C1482" s="8">
        <v>3603</v>
      </c>
      <c r="D1482" s="16">
        <v>-3.7749820000000003E-2</v>
      </c>
      <c r="E1482">
        <v>-1.8874910000000002E-2</v>
      </c>
    </row>
    <row r="1483" spans="1:5" x14ac:dyDescent="0.3">
      <c r="A1483" s="8">
        <v>54</v>
      </c>
      <c r="B1483" s="8">
        <v>51</v>
      </c>
      <c r="C1483" s="8">
        <v>3556</v>
      </c>
      <c r="D1483" s="16">
        <v>1.063616E-2</v>
      </c>
      <c r="E1483">
        <v>5.3180800000000002E-3</v>
      </c>
    </row>
    <row r="1484" spans="1:5" x14ac:dyDescent="0.3">
      <c r="A1484" s="8">
        <v>54</v>
      </c>
      <c r="B1484" s="8">
        <v>52</v>
      </c>
      <c r="C1484" s="8">
        <v>3569</v>
      </c>
      <c r="D1484" s="16">
        <v>-1.02676E-2</v>
      </c>
      <c r="E1484">
        <v>-5.1338E-3</v>
      </c>
    </row>
    <row r="1485" spans="1:5" x14ac:dyDescent="0.3">
      <c r="A1485" s="8">
        <v>54</v>
      </c>
      <c r="B1485" s="8">
        <v>53</v>
      </c>
      <c r="C1485" s="8">
        <v>3570</v>
      </c>
      <c r="D1485" s="16">
        <v>-2.3489929999999999E-2</v>
      </c>
      <c r="E1485">
        <v>-1.1744965E-2</v>
      </c>
    </row>
    <row r="1486" spans="1:5" x14ac:dyDescent="0.3">
      <c r="A1486" s="8">
        <v>54</v>
      </c>
      <c r="B1486" s="8">
        <v>54</v>
      </c>
      <c r="C1486" s="8">
        <v>3859</v>
      </c>
      <c r="D1486" s="16">
        <v>1.0110870000000001</v>
      </c>
      <c r="E1486"/>
    </row>
    <row r="1487" spans="1:5" x14ac:dyDescent="0.3">
      <c r="A1487" s="8">
        <v>55</v>
      </c>
      <c r="B1487" s="8">
        <v>1</v>
      </c>
      <c r="C1487" s="8">
        <v>3619</v>
      </c>
      <c r="D1487" s="16">
        <v>-2.2408330000000001E-2</v>
      </c>
      <c r="E1487">
        <v>-1.1204165E-2</v>
      </c>
    </row>
    <row r="1488" spans="1:5" x14ac:dyDescent="0.3">
      <c r="A1488" s="8">
        <v>55</v>
      </c>
      <c r="B1488" s="8">
        <v>2</v>
      </c>
      <c r="C1488" s="8">
        <v>3604</v>
      </c>
      <c r="D1488" s="16">
        <v>-7.3675759999999998E-3</v>
      </c>
      <c r="E1488">
        <v>-3.6837879999999999E-3</v>
      </c>
    </row>
    <row r="1489" spans="1:5" x14ac:dyDescent="0.3">
      <c r="A1489" s="8">
        <v>55</v>
      </c>
      <c r="B1489" s="8">
        <v>3</v>
      </c>
      <c r="C1489" s="8">
        <v>3620</v>
      </c>
      <c r="D1489" s="16">
        <v>-4.4946279999999998E-2</v>
      </c>
      <c r="E1489">
        <v>-2.2473139999999999E-2</v>
      </c>
    </row>
    <row r="1490" spans="1:5" x14ac:dyDescent="0.3">
      <c r="A1490" s="8">
        <v>55</v>
      </c>
      <c r="B1490" s="8">
        <v>4</v>
      </c>
      <c r="C1490" s="8">
        <v>3570</v>
      </c>
      <c r="D1490" s="16">
        <v>4.5725879999999998E-3</v>
      </c>
      <c r="E1490">
        <v>2.2862939999999999E-3</v>
      </c>
    </row>
    <row r="1491" spans="1:5" x14ac:dyDescent="0.3">
      <c r="A1491" s="8">
        <v>55</v>
      </c>
      <c r="B1491" s="8">
        <v>5</v>
      </c>
      <c r="C1491" s="8">
        <v>3602</v>
      </c>
      <c r="D1491" s="16">
        <v>-2.1328010000000001E-2</v>
      </c>
      <c r="E1491">
        <v>-1.0664005000000001E-2</v>
      </c>
    </row>
    <row r="1492" spans="1:5" x14ac:dyDescent="0.3">
      <c r="A1492" s="8">
        <v>55</v>
      </c>
      <c r="B1492" s="8">
        <v>6</v>
      </c>
      <c r="C1492" s="8">
        <v>3604</v>
      </c>
      <c r="D1492" s="16">
        <v>-4.7767289999999997E-2</v>
      </c>
      <c r="E1492">
        <v>-2.3883644999999998E-2</v>
      </c>
    </row>
    <row r="1493" spans="1:5" x14ac:dyDescent="0.3">
      <c r="A1493" s="8">
        <v>55</v>
      </c>
      <c r="B1493" s="8">
        <v>7</v>
      </c>
      <c r="C1493" s="8">
        <v>3572</v>
      </c>
      <c r="D1493" s="16">
        <v>-1.3374209999999999E-2</v>
      </c>
      <c r="E1493">
        <v>-6.6871049999999996E-3</v>
      </c>
    </row>
    <row r="1494" spans="1:5" x14ac:dyDescent="0.3">
      <c r="A1494" s="8">
        <v>55</v>
      </c>
      <c r="B1494" s="8">
        <v>8</v>
      </c>
      <c r="C1494" s="8">
        <v>3605</v>
      </c>
      <c r="D1494" s="16">
        <v>5.9634059999999999E-4</v>
      </c>
      <c r="E1494">
        <v>2.9817029999999999E-4</v>
      </c>
    </row>
    <row r="1495" spans="1:5" x14ac:dyDescent="0.3">
      <c r="A1495" s="8">
        <v>55</v>
      </c>
      <c r="B1495" s="8">
        <v>9</v>
      </c>
      <c r="C1495" s="8">
        <v>3611</v>
      </c>
      <c r="D1495" s="16">
        <v>-5.7197419999999999E-2</v>
      </c>
      <c r="E1495">
        <v>-2.8598709999999999E-2</v>
      </c>
    </row>
    <row r="1496" spans="1:5" x14ac:dyDescent="0.3">
      <c r="A1496" s="8">
        <v>55</v>
      </c>
      <c r="B1496" s="8">
        <v>10</v>
      </c>
      <c r="C1496" s="8">
        <v>3605</v>
      </c>
      <c r="D1496" s="16">
        <v>-3.9913520000000001E-2</v>
      </c>
      <c r="E1496">
        <v>-1.995676E-2</v>
      </c>
    </row>
    <row r="1497" spans="1:5" x14ac:dyDescent="0.3">
      <c r="A1497" s="8">
        <v>55</v>
      </c>
      <c r="B1497" s="8">
        <v>11</v>
      </c>
      <c r="C1497" s="8">
        <v>3599</v>
      </c>
      <c r="D1497" s="16">
        <v>6.9533409999999996E-4</v>
      </c>
      <c r="E1497">
        <v>3.4766704999999998E-4</v>
      </c>
    </row>
    <row r="1498" spans="1:5" x14ac:dyDescent="0.3">
      <c r="A1498" s="8">
        <v>55</v>
      </c>
      <c r="B1498" s="8">
        <v>12</v>
      </c>
      <c r="C1498" s="8">
        <v>3617</v>
      </c>
      <c r="D1498" s="16">
        <v>4.5927139999999998E-2</v>
      </c>
      <c r="E1498">
        <v>2.2963569999999999E-2</v>
      </c>
    </row>
    <row r="1499" spans="1:5" x14ac:dyDescent="0.3">
      <c r="A1499" s="8">
        <v>55</v>
      </c>
      <c r="B1499" s="8">
        <v>13</v>
      </c>
      <c r="C1499" s="8">
        <v>3607</v>
      </c>
      <c r="D1499" s="16">
        <v>-3.4284099999999998E-2</v>
      </c>
      <c r="E1499">
        <v>-1.7142049999999999E-2</v>
      </c>
    </row>
    <row r="1500" spans="1:5" x14ac:dyDescent="0.3">
      <c r="A1500" s="8">
        <v>55</v>
      </c>
      <c r="B1500" s="8">
        <v>14</v>
      </c>
      <c r="C1500" s="8">
        <v>3596</v>
      </c>
      <c r="D1500" s="16">
        <v>-4.2242339999999998E-4</v>
      </c>
      <c r="E1500">
        <v>-2.1121169999999999E-4</v>
      </c>
    </row>
    <row r="1501" spans="1:5" x14ac:dyDescent="0.3">
      <c r="A1501" s="8">
        <v>55</v>
      </c>
      <c r="B1501" s="8">
        <v>15</v>
      </c>
      <c r="C1501" s="8">
        <v>3626</v>
      </c>
      <c r="D1501" s="16">
        <v>-4.1014990000000001E-2</v>
      </c>
      <c r="E1501">
        <v>-2.0507495000000001E-2</v>
      </c>
    </row>
    <row r="1502" spans="1:5" x14ac:dyDescent="0.3">
      <c r="A1502" s="8">
        <v>55</v>
      </c>
      <c r="B1502" s="8">
        <v>16</v>
      </c>
      <c r="C1502" s="8">
        <v>3594</v>
      </c>
      <c r="D1502" s="16">
        <v>-2.1512940000000001E-2</v>
      </c>
      <c r="E1502">
        <v>-1.0756470000000001E-2</v>
      </c>
    </row>
    <row r="1503" spans="1:5" x14ac:dyDescent="0.3">
      <c r="A1503" s="8">
        <v>55</v>
      </c>
      <c r="B1503" s="8">
        <v>17</v>
      </c>
      <c r="C1503" s="8">
        <v>3621</v>
      </c>
      <c r="D1503" s="16">
        <v>-2.4075980000000001E-4</v>
      </c>
      <c r="E1503">
        <v>-1.203799E-4</v>
      </c>
    </row>
    <row r="1504" spans="1:5" x14ac:dyDescent="0.3">
      <c r="A1504" s="8">
        <v>55</v>
      </c>
      <c r="B1504" s="8">
        <v>18</v>
      </c>
      <c r="C1504" s="8">
        <v>3618</v>
      </c>
      <c r="D1504" s="16">
        <v>-1.0386670000000001E-2</v>
      </c>
      <c r="E1504">
        <v>-5.1933350000000003E-3</v>
      </c>
    </row>
    <row r="1505" spans="1:5" x14ac:dyDescent="0.3">
      <c r="A1505" s="8">
        <v>55</v>
      </c>
      <c r="B1505" s="8">
        <v>19</v>
      </c>
      <c r="C1505" s="8">
        <v>3580</v>
      </c>
      <c r="D1505" s="16">
        <v>6.4620509999999999E-3</v>
      </c>
      <c r="E1505">
        <v>3.2310255E-3</v>
      </c>
    </row>
    <row r="1506" spans="1:5" x14ac:dyDescent="0.3">
      <c r="A1506" s="8">
        <v>55</v>
      </c>
      <c r="B1506" s="8">
        <v>20</v>
      </c>
      <c r="C1506" s="8">
        <v>3583</v>
      </c>
      <c r="D1506" s="16">
        <v>-1.2217840000000001E-2</v>
      </c>
      <c r="E1506">
        <v>-6.1089200000000003E-3</v>
      </c>
    </row>
    <row r="1507" spans="1:5" x14ac:dyDescent="0.3">
      <c r="A1507" s="8">
        <v>55</v>
      </c>
      <c r="B1507" s="8">
        <v>21</v>
      </c>
      <c r="C1507" s="8">
        <v>3642</v>
      </c>
      <c r="D1507" s="16">
        <v>-1.2760200000000001E-3</v>
      </c>
      <c r="E1507">
        <v>-6.3801000000000005E-4</v>
      </c>
    </row>
    <row r="1508" spans="1:5" x14ac:dyDescent="0.3">
      <c r="A1508" s="8">
        <v>55</v>
      </c>
      <c r="B1508" s="8">
        <v>22</v>
      </c>
      <c r="C1508" s="8">
        <v>3585</v>
      </c>
      <c r="D1508" s="16">
        <v>-2.0246259999999999E-2</v>
      </c>
      <c r="E1508">
        <v>-1.0123129999999999E-2</v>
      </c>
    </row>
    <row r="1509" spans="1:5" x14ac:dyDescent="0.3">
      <c r="A1509" s="8">
        <v>55</v>
      </c>
      <c r="B1509" s="8">
        <v>23</v>
      </c>
      <c r="C1509" s="8">
        <v>3597</v>
      </c>
      <c r="D1509" s="16">
        <v>-1.4159120000000001E-2</v>
      </c>
      <c r="E1509">
        <v>-7.0795600000000004E-3</v>
      </c>
    </row>
    <row r="1510" spans="1:5" x14ac:dyDescent="0.3">
      <c r="A1510" s="8">
        <v>55</v>
      </c>
      <c r="B1510" s="8">
        <v>24</v>
      </c>
      <c r="C1510" s="8">
        <v>3624</v>
      </c>
      <c r="D1510" s="16">
        <v>-3.8347510000000001E-2</v>
      </c>
      <c r="E1510">
        <v>-1.9173755000000001E-2</v>
      </c>
    </row>
    <row r="1511" spans="1:5" x14ac:dyDescent="0.3">
      <c r="A1511" s="8">
        <v>55</v>
      </c>
      <c r="B1511" s="8">
        <v>25</v>
      </c>
      <c r="C1511" s="8">
        <v>3588</v>
      </c>
      <c r="D1511" s="16">
        <v>-2.2041140000000001E-2</v>
      </c>
      <c r="E1511">
        <v>-1.102057E-2</v>
      </c>
    </row>
    <row r="1512" spans="1:5" x14ac:dyDescent="0.3">
      <c r="A1512" s="8">
        <v>55</v>
      </c>
      <c r="B1512" s="8">
        <v>26</v>
      </c>
      <c r="C1512" s="8">
        <v>3618</v>
      </c>
      <c r="D1512" s="16">
        <v>1.5839079999999998E-2</v>
      </c>
      <c r="E1512">
        <v>7.9195399999999992E-3</v>
      </c>
    </row>
    <row r="1513" spans="1:5" x14ac:dyDescent="0.3">
      <c r="A1513" s="8">
        <v>55</v>
      </c>
      <c r="B1513" s="8">
        <v>27</v>
      </c>
      <c r="C1513" s="8">
        <v>3593</v>
      </c>
      <c r="D1513" s="16">
        <v>-1.776811E-2</v>
      </c>
      <c r="E1513">
        <v>-8.8840550000000001E-3</v>
      </c>
    </row>
    <row r="1514" spans="1:5" x14ac:dyDescent="0.3">
      <c r="A1514" s="8">
        <v>55</v>
      </c>
      <c r="B1514" s="8">
        <v>28</v>
      </c>
      <c r="C1514" s="8">
        <v>3553</v>
      </c>
      <c r="D1514" s="16">
        <v>-1.4913560000000001E-3</v>
      </c>
      <c r="E1514">
        <v>-7.4567800000000005E-4</v>
      </c>
    </row>
    <row r="1515" spans="1:5" x14ac:dyDescent="0.3">
      <c r="A1515" s="8">
        <v>55</v>
      </c>
      <c r="B1515" s="8">
        <v>29</v>
      </c>
      <c r="C1515" s="8">
        <v>3572</v>
      </c>
      <c r="D1515" s="16">
        <v>-8.4445049999999997E-3</v>
      </c>
      <c r="E1515">
        <v>-4.2222524999999999E-3</v>
      </c>
    </row>
    <row r="1516" spans="1:5" x14ac:dyDescent="0.3">
      <c r="A1516" s="8">
        <v>55</v>
      </c>
      <c r="B1516" s="8">
        <v>30</v>
      </c>
      <c r="C1516" s="8">
        <v>3581</v>
      </c>
      <c r="D1516" s="16">
        <v>-2.3768040000000002E-3</v>
      </c>
      <c r="E1516">
        <v>-1.1884020000000001E-3</v>
      </c>
    </row>
    <row r="1517" spans="1:5" x14ac:dyDescent="0.3">
      <c r="A1517" s="8">
        <v>55</v>
      </c>
      <c r="B1517" s="8">
        <v>31</v>
      </c>
      <c r="C1517" s="8">
        <v>3515</v>
      </c>
      <c r="D1517" s="16">
        <v>-4.4647600000000003E-2</v>
      </c>
      <c r="E1517">
        <v>-2.2323800000000001E-2</v>
      </c>
    </row>
    <row r="1518" spans="1:5" x14ac:dyDescent="0.3">
      <c r="A1518" s="8">
        <v>55</v>
      </c>
      <c r="B1518" s="8">
        <v>32</v>
      </c>
      <c r="C1518" s="8">
        <v>3571</v>
      </c>
      <c r="D1518" s="16">
        <v>1.6869090000000001E-3</v>
      </c>
      <c r="E1518">
        <v>8.4345450000000005E-4</v>
      </c>
    </row>
    <row r="1519" spans="1:5" x14ac:dyDescent="0.3">
      <c r="A1519" s="8">
        <v>55</v>
      </c>
      <c r="B1519" s="8">
        <v>33</v>
      </c>
      <c r="C1519" s="8">
        <v>3614</v>
      </c>
      <c r="D1519" s="16">
        <v>1.535745E-3</v>
      </c>
      <c r="E1519">
        <v>7.6787250000000002E-4</v>
      </c>
    </row>
    <row r="1520" spans="1:5" x14ac:dyDescent="0.3">
      <c r="A1520" s="8">
        <v>55</v>
      </c>
      <c r="B1520" s="8">
        <v>34</v>
      </c>
      <c r="C1520" s="8">
        <v>3613</v>
      </c>
      <c r="D1520" s="16">
        <v>-3.8040820000000003E-2</v>
      </c>
      <c r="E1520">
        <v>-1.9020410000000001E-2</v>
      </c>
    </row>
    <row r="1521" spans="1:5" x14ac:dyDescent="0.3">
      <c r="A1521" s="8">
        <v>55</v>
      </c>
      <c r="B1521" s="8">
        <v>35</v>
      </c>
      <c r="C1521" s="8">
        <v>3587</v>
      </c>
      <c r="D1521" s="16">
        <v>-2.8226310000000001E-2</v>
      </c>
      <c r="E1521">
        <v>-1.4113155E-2</v>
      </c>
    </row>
    <row r="1522" spans="1:5" x14ac:dyDescent="0.3">
      <c r="A1522" s="8">
        <v>55</v>
      </c>
      <c r="B1522" s="8">
        <v>36</v>
      </c>
      <c r="C1522" s="8">
        <v>3594</v>
      </c>
      <c r="D1522" s="16">
        <v>-7.5522590000000004E-3</v>
      </c>
      <c r="E1522">
        <v>-3.7761295000000002E-3</v>
      </c>
    </row>
    <row r="1523" spans="1:5" x14ac:dyDescent="0.3">
      <c r="A1523" s="8">
        <v>55</v>
      </c>
      <c r="B1523" s="8">
        <v>37</v>
      </c>
      <c r="C1523" s="8">
        <v>3559</v>
      </c>
      <c r="D1523" s="16">
        <v>-1.592411E-3</v>
      </c>
      <c r="E1523">
        <v>-7.9620549999999998E-4</v>
      </c>
    </row>
    <row r="1524" spans="1:5" x14ac:dyDescent="0.3">
      <c r="A1524" s="8">
        <v>55</v>
      </c>
      <c r="B1524" s="8">
        <v>38</v>
      </c>
      <c r="C1524" s="8">
        <v>3624</v>
      </c>
      <c r="D1524" s="16">
        <v>1.0465220000000001E-2</v>
      </c>
      <c r="E1524">
        <v>5.2326100000000004E-3</v>
      </c>
    </row>
    <row r="1525" spans="1:5" x14ac:dyDescent="0.3">
      <c r="A1525" s="8">
        <v>55</v>
      </c>
      <c r="B1525" s="8">
        <v>39</v>
      </c>
      <c r="C1525" s="8">
        <v>3598</v>
      </c>
      <c r="D1525" s="16">
        <v>5.4406109999999997E-3</v>
      </c>
      <c r="E1525">
        <v>2.7203054999999999E-3</v>
      </c>
    </row>
    <row r="1526" spans="1:5" x14ac:dyDescent="0.3">
      <c r="A1526" s="8">
        <v>55</v>
      </c>
      <c r="B1526" s="8">
        <v>40</v>
      </c>
      <c r="C1526" s="8">
        <v>3614</v>
      </c>
      <c r="D1526" s="16">
        <v>-3.6182300000000001E-2</v>
      </c>
      <c r="E1526">
        <v>-1.809115E-2</v>
      </c>
    </row>
    <row r="1527" spans="1:5" x14ac:dyDescent="0.3">
      <c r="A1527" s="8">
        <v>55</v>
      </c>
      <c r="B1527" s="8">
        <v>41</v>
      </c>
      <c r="C1527" s="8">
        <v>3562</v>
      </c>
      <c r="D1527" s="16">
        <v>8.9207999999999996E-3</v>
      </c>
      <c r="E1527">
        <v>4.4603999999999998E-3</v>
      </c>
    </row>
    <row r="1528" spans="1:5" x14ac:dyDescent="0.3">
      <c r="A1528" s="8">
        <v>55</v>
      </c>
      <c r="B1528" s="8">
        <v>42</v>
      </c>
      <c r="C1528" s="8">
        <v>3596</v>
      </c>
      <c r="D1528" s="16">
        <v>-2.2526879999999999E-2</v>
      </c>
      <c r="E1528">
        <v>-1.126344E-2</v>
      </c>
    </row>
    <row r="1529" spans="1:5" x14ac:dyDescent="0.3">
      <c r="A1529" s="8">
        <v>55</v>
      </c>
      <c r="B1529" s="8">
        <v>43</v>
      </c>
      <c r="C1529" s="8">
        <v>3569</v>
      </c>
      <c r="D1529" s="16">
        <v>-5.3356039999999999E-3</v>
      </c>
      <c r="E1529">
        <v>-2.6678019999999999E-3</v>
      </c>
    </row>
    <row r="1530" spans="1:5" x14ac:dyDescent="0.3">
      <c r="A1530" s="8">
        <v>55</v>
      </c>
      <c r="B1530" s="8">
        <v>44</v>
      </c>
      <c r="C1530" s="8">
        <v>3567</v>
      </c>
      <c r="D1530" s="16">
        <v>-5.3809649999999997E-3</v>
      </c>
      <c r="E1530">
        <v>-2.6904824999999999E-3</v>
      </c>
    </row>
    <row r="1531" spans="1:5" x14ac:dyDescent="0.3">
      <c r="A1531" s="8">
        <v>55</v>
      </c>
      <c r="B1531" s="8">
        <v>45</v>
      </c>
      <c r="C1531" s="8">
        <v>3615</v>
      </c>
      <c r="D1531" s="16">
        <v>-3.2632630000000003E-2</v>
      </c>
      <c r="E1531">
        <v>-1.6316315000000001E-2</v>
      </c>
    </row>
    <row r="1532" spans="1:5" x14ac:dyDescent="0.3">
      <c r="A1532" s="8">
        <v>55</v>
      </c>
      <c r="B1532" s="8">
        <v>46</v>
      </c>
      <c r="C1532" s="8">
        <v>3599</v>
      </c>
      <c r="D1532" s="16">
        <v>9.9239979999999998E-3</v>
      </c>
      <c r="E1532">
        <v>4.9619989999999999E-3</v>
      </c>
    </row>
    <row r="1533" spans="1:5" x14ac:dyDescent="0.3">
      <c r="A1533" s="8">
        <v>55</v>
      </c>
      <c r="B1533" s="8">
        <v>47</v>
      </c>
      <c r="C1533" s="8">
        <v>3610</v>
      </c>
      <c r="D1533" s="16">
        <v>-2.8135920000000002E-3</v>
      </c>
      <c r="E1533">
        <v>-1.4067960000000001E-3</v>
      </c>
    </row>
    <row r="1534" spans="1:5" x14ac:dyDescent="0.3">
      <c r="A1534" s="8">
        <v>55</v>
      </c>
      <c r="B1534" s="8">
        <v>48</v>
      </c>
      <c r="C1534" s="8">
        <v>3575</v>
      </c>
      <c r="D1534" s="16">
        <v>-2.1739140000000001E-2</v>
      </c>
      <c r="E1534">
        <v>-1.086957E-2</v>
      </c>
    </row>
    <row r="1535" spans="1:5" x14ac:dyDescent="0.3">
      <c r="A1535" s="8">
        <v>55</v>
      </c>
      <c r="B1535" s="8">
        <v>49</v>
      </c>
      <c r="C1535" s="8">
        <v>3597</v>
      </c>
      <c r="D1535" s="16">
        <v>1.6696949999999999E-2</v>
      </c>
      <c r="E1535">
        <v>8.3484749999999993E-3</v>
      </c>
    </row>
    <row r="1536" spans="1:5" x14ac:dyDescent="0.3">
      <c r="A1536" s="8">
        <v>55</v>
      </c>
      <c r="B1536" s="8">
        <v>50</v>
      </c>
      <c r="C1536" s="8">
        <v>3625</v>
      </c>
      <c r="D1536" s="16">
        <v>-4.5410310000000002E-2</v>
      </c>
      <c r="E1536">
        <v>-2.2705155000000001E-2</v>
      </c>
    </row>
    <row r="1537" spans="1:5" x14ac:dyDescent="0.3">
      <c r="A1537" s="8">
        <v>55</v>
      </c>
      <c r="B1537" s="8">
        <v>51</v>
      </c>
      <c r="C1537" s="8">
        <v>3581</v>
      </c>
      <c r="D1537" s="16">
        <v>-4.8673250000000001E-2</v>
      </c>
      <c r="E1537">
        <v>-2.4336625000000001E-2</v>
      </c>
    </row>
    <row r="1538" spans="1:5" x14ac:dyDescent="0.3">
      <c r="A1538" s="8">
        <v>55</v>
      </c>
      <c r="B1538" s="8">
        <v>52</v>
      </c>
      <c r="C1538" s="8">
        <v>3586</v>
      </c>
      <c r="D1538" s="16">
        <v>-2.2075560000000001E-2</v>
      </c>
      <c r="E1538">
        <v>-1.1037780000000001E-2</v>
      </c>
    </row>
    <row r="1539" spans="1:5" x14ac:dyDescent="0.3">
      <c r="A1539" s="8">
        <v>55</v>
      </c>
      <c r="B1539" s="8">
        <v>53</v>
      </c>
      <c r="C1539" s="8">
        <v>3597</v>
      </c>
      <c r="D1539" s="16">
        <v>-1.1762069999999999E-2</v>
      </c>
      <c r="E1539">
        <v>-5.8810349999999997E-3</v>
      </c>
    </row>
    <row r="1540" spans="1:5" x14ac:dyDescent="0.3">
      <c r="A1540" s="8">
        <v>55</v>
      </c>
      <c r="B1540" s="8">
        <v>54</v>
      </c>
      <c r="C1540" s="8">
        <v>3588</v>
      </c>
      <c r="D1540" s="16">
        <v>-1.71404E-3</v>
      </c>
      <c r="E1540">
        <v>-8.5702E-4</v>
      </c>
    </row>
    <row r="1541" spans="1:5" x14ac:dyDescent="0.3">
      <c r="A1541" s="8">
        <v>55</v>
      </c>
      <c r="B1541" s="8">
        <v>55</v>
      </c>
      <c r="C1541" s="8">
        <v>3880</v>
      </c>
      <c r="D1541" s="16">
        <v>1.0407409999999999</v>
      </c>
      <c r="E1541"/>
    </row>
    <row r="1542" spans="1:5" x14ac:dyDescent="0.3">
      <c r="A1542" s="8">
        <v>56</v>
      </c>
      <c r="B1542" s="8">
        <v>1</v>
      </c>
      <c r="C1542" s="8">
        <v>3637</v>
      </c>
      <c r="D1542" s="16">
        <v>-2.1367770000000001E-2</v>
      </c>
      <c r="E1542">
        <v>-1.0683885000000001E-2</v>
      </c>
    </row>
    <row r="1543" spans="1:5" x14ac:dyDescent="0.3">
      <c r="A1543" s="8">
        <v>56</v>
      </c>
      <c r="B1543" s="8">
        <v>2</v>
      </c>
      <c r="C1543" s="8">
        <v>3629</v>
      </c>
      <c r="D1543" s="16">
        <v>-1.336271E-2</v>
      </c>
      <c r="E1543">
        <v>-6.6813549999999999E-3</v>
      </c>
    </row>
    <row r="1544" spans="1:5" x14ac:dyDescent="0.3">
      <c r="A1544" s="8">
        <v>56</v>
      </c>
      <c r="B1544" s="8">
        <v>3</v>
      </c>
      <c r="C1544" s="8">
        <v>3628</v>
      </c>
      <c r="D1544" s="16">
        <v>-4.8375029999999999E-2</v>
      </c>
      <c r="E1544">
        <v>-2.4187515E-2</v>
      </c>
    </row>
    <row r="1545" spans="1:5" x14ac:dyDescent="0.3">
      <c r="A1545" s="8">
        <v>56</v>
      </c>
      <c r="B1545" s="8">
        <v>4</v>
      </c>
      <c r="C1545" s="8">
        <v>3590</v>
      </c>
      <c r="D1545" s="16">
        <v>-3.5688610000000003E-2</v>
      </c>
      <c r="E1545">
        <v>-1.7844305000000001E-2</v>
      </c>
    </row>
    <row r="1546" spans="1:5" x14ac:dyDescent="0.3">
      <c r="A1546" s="8">
        <v>56</v>
      </c>
      <c r="B1546" s="8">
        <v>5</v>
      </c>
      <c r="C1546" s="8">
        <v>3615</v>
      </c>
      <c r="D1546" s="16">
        <v>6.1841049999999996E-3</v>
      </c>
      <c r="E1546">
        <v>3.0920524999999998E-3</v>
      </c>
    </row>
    <row r="1547" spans="1:5" x14ac:dyDescent="0.3">
      <c r="A1547" s="8">
        <v>56</v>
      </c>
      <c r="B1547" s="8">
        <v>6</v>
      </c>
      <c r="C1547" s="8">
        <v>3611</v>
      </c>
      <c r="D1547" s="16">
        <v>-1.7339759999999999E-2</v>
      </c>
      <c r="E1547">
        <v>-8.6698799999999996E-3</v>
      </c>
    </row>
    <row r="1548" spans="1:5" x14ac:dyDescent="0.3">
      <c r="A1548" s="8">
        <v>56</v>
      </c>
      <c r="B1548" s="8">
        <v>7</v>
      </c>
      <c r="C1548" s="8">
        <v>3584</v>
      </c>
      <c r="D1548" s="16">
        <v>-2.1449849999999999E-2</v>
      </c>
      <c r="E1548">
        <v>-1.0724925E-2</v>
      </c>
    </row>
    <row r="1549" spans="1:5" x14ac:dyDescent="0.3">
      <c r="A1549" s="8">
        <v>56</v>
      </c>
      <c r="B1549" s="8">
        <v>8</v>
      </c>
      <c r="C1549" s="8">
        <v>3621</v>
      </c>
      <c r="D1549" s="16">
        <v>-3.225625E-2</v>
      </c>
      <c r="E1549">
        <v>-1.6128125E-2</v>
      </c>
    </row>
    <row r="1550" spans="1:5" x14ac:dyDescent="0.3">
      <c r="A1550" s="8">
        <v>56</v>
      </c>
      <c r="B1550" s="8">
        <v>9</v>
      </c>
      <c r="C1550" s="8">
        <v>3627</v>
      </c>
      <c r="D1550" s="16">
        <v>-6.6554350000000003E-3</v>
      </c>
      <c r="E1550">
        <v>-3.3277175000000002E-3</v>
      </c>
    </row>
    <row r="1551" spans="1:5" x14ac:dyDescent="0.3">
      <c r="A1551" s="8">
        <v>56</v>
      </c>
      <c r="B1551" s="8">
        <v>10</v>
      </c>
      <c r="C1551" s="8">
        <v>3617</v>
      </c>
      <c r="D1551" s="16">
        <v>6.0732249999999998E-3</v>
      </c>
      <c r="E1551">
        <v>3.0366124999999999E-3</v>
      </c>
    </row>
    <row r="1552" spans="1:5" x14ac:dyDescent="0.3">
      <c r="A1552" s="8">
        <v>56</v>
      </c>
      <c r="B1552" s="8">
        <v>11</v>
      </c>
      <c r="C1552" s="8">
        <v>3610</v>
      </c>
      <c r="D1552" s="16">
        <v>2.6130520000000001E-2</v>
      </c>
      <c r="E1552">
        <v>1.306526E-2</v>
      </c>
    </row>
    <row r="1553" spans="1:5" x14ac:dyDescent="0.3">
      <c r="A1553" s="8">
        <v>56</v>
      </c>
      <c r="B1553" s="8">
        <v>12</v>
      </c>
      <c r="C1553" s="8">
        <v>3630</v>
      </c>
      <c r="D1553" s="16">
        <v>1.9705180000000001E-3</v>
      </c>
      <c r="E1553">
        <v>9.8525900000000005E-4</v>
      </c>
    </row>
    <row r="1554" spans="1:5" x14ac:dyDescent="0.3">
      <c r="A1554" s="8">
        <v>56</v>
      </c>
      <c r="B1554" s="8">
        <v>13</v>
      </c>
      <c r="C1554" s="8">
        <v>3619</v>
      </c>
      <c r="D1554" s="16">
        <v>5.7414689999999997E-2</v>
      </c>
      <c r="E1554">
        <v>2.8707344999999999E-2</v>
      </c>
    </row>
    <row r="1555" spans="1:5" x14ac:dyDescent="0.3">
      <c r="A1555" s="8">
        <v>56</v>
      </c>
      <c r="B1555" s="8">
        <v>14</v>
      </c>
      <c r="C1555" s="8">
        <v>3589</v>
      </c>
      <c r="D1555" s="16">
        <v>-1.13144E-2</v>
      </c>
      <c r="E1555">
        <v>-5.6572000000000002E-3</v>
      </c>
    </row>
    <row r="1556" spans="1:5" x14ac:dyDescent="0.3">
      <c r="A1556" s="8">
        <v>56</v>
      </c>
      <c r="B1556" s="8">
        <v>15</v>
      </c>
      <c r="C1556" s="8">
        <v>3631</v>
      </c>
      <c r="D1556" s="16">
        <v>5.0542740000000005E-4</v>
      </c>
      <c r="E1556">
        <v>2.5271370000000003E-4</v>
      </c>
    </row>
    <row r="1557" spans="1:5" x14ac:dyDescent="0.3">
      <c r="A1557" s="8">
        <v>56</v>
      </c>
      <c r="B1557" s="8">
        <v>16</v>
      </c>
      <c r="C1557" s="8">
        <v>3608</v>
      </c>
      <c r="D1557" s="16">
        <v>-6.6399340000000001E-2</v>
      </c>
      <c r="E1557">
        <v>-3.3199670000000001E-2</v>
      </c>
    </row>
    <row r="1558" spans="1:5" x14ac:dyDescent="0.3">
      <c r="A1558" s="8">
        <v>56</v>
      </c>
      <c r="B1558" s="8">
        <v>17</v>
      </c>
      <c r="C1558" s="8">
        <v>3635</v>
      </c>
      <c r="D1558" s="16">
        <v>-5.7228899999999999E-2</v>
      </c>
      <c r="E1558">
        <v>-2.861445E-2</v>
      </c>
    </row>
    <row r="1559" spans="1:5" x14ac:dyDescent="0.3">
      <c r="A1559" s="8">
        <v>56</v>
      </c>
      <c r="B1559" s="8">
        <v>18</v>
      </c>
      <c r="C1559" s="8">
        <v>3613</v>
      </c>
      <c r="D1559" s="16">
        <v>-4.091492E-2</v>
      </c>
      <c r="E1559">
        <v>-2.045746E-2</v>
      </c>
    </row>
    <row r="1560" spans="1:5" x14ac:dyDescent="0.3">
      <c r="A1560" s="8">
        <v>56</v>
      </c>
      <c r="B1560" s="8">
        <v>19</v>
      </c>
      <c r="C1560" s="8">
        <v>3578</v>
      </c>
      <c r="D1560" s="16">
        <v>-4.3144170000000003E-2</v>
      </c>
      <c r="E1560">
        <v>-2.1572085000000001E-2</v>
      </c>
    </row>
    <row r="1561" spans="1:5" x14ac:dyDescent="0.3">
      <c r="A1561" s="8">
        <v>56</v>
      </c>
      <c r="B1561" s="8">
        <v>20</v>
      </c>
      <c r="C1561" s="8">
        <v>3599</v>
      </c>
      <c r="D1561" s="16">
        <v>-4.3285210000000001E-3</v>
      </c>
      <c r="E1561">
        <v>-2.1642605000000001E-3</v>
      </c>
    </row>
    <row r="1562" spans="1:5" x14ac:dyDescent="0.3">
      <c r="A1562" s="8">
        <v>56</v>
      </c>
      <c r="B1562" s="8">
        <v>21</v>
      </c>
      <c r="C1562" s="8">
        <v>3645</v>
      </c>
      <c r="D1562" s="16">
        <v>-3.5971499999999997E-2</v>
      </c>
      <c r="E1562">
        <v>-1.7985749999999998E-2</v>
      </c>
    </row>
    <row r="1563" spans="1:5" x14ac:dyDescent="0.3">
      <c r="A1563" s="8">
        <v>56</v>
      </c>
      <c r="B1563" s="8">
        <v>22</v>
      </c>
      <c r="C1563" s="8">
        <v>3600</v>
      </c>
      <c r="D1563" s="16">
        <v>1.696274E-2</v>
      </c>
      <c r="E1563">
        <v>8.4813700000000002E-3</v>
      </c>
    </row>
    <row r="1564" spans="1:5" x14ac:dyDescent="0.3">
      <c r="A1564" s="8">
        <v>56</v>
      </c>
      <c r="B1564" s="8">
        <v>23</v>
      </c>
      <c r="C1564" s="8">
        <v>3612</v>
      </c>
      <c r="D1564" s="16">
        <v>-3.758011E-2</v>
      </c>
      <c r="E1564">
        <v>-1.8790055E-2</v>
      </c>
    </row>
    <row r="1565" spans="1:5" x14ac:dyDescent="0.3">
      <c r="A1565" s="8">
        <v>56</v>
      </c>
      <c r="B1565" s="8">
        <v>24</v>
      </c>
      <c r="C1565" s="8">
        <v>3645</v>
      </c>
      <c r="D1565" s="16">
        <v>-3.4760449999999998E-2</v>
      </c>
      <c r="E1565">
        <v>-1.7380224999999999E-2</v>
      </c>
    </row>
    <row r="1566" spans="1:5" x14ac:dyDescent="0.3">
      <c r="A1566" s="8">
        <v>56</v>
      </c>
      <c r="B1566" s="8">
        <v>25</v>
      </c>
      <c r="C1566" s="8">
        <v>3604</v>
      </c>
      <c r="D1566" s="16">
        <v>-3.232397E-2</v>
      </c>
      <c r="E1566">
        <v>-1.6161985E-2</v>
      </c>
    </row>
    <row r="1567" spans="1:5" x14ac:dyDescent="0.3">
      <c r="A1567" s="8">
        <v>56</v>
      </c>
      <c r="B1567" s="8">
        <v>26</v>
      </c>
      <c r="C1567" s="8">
        <v>3632</v>
      </c>
      <c r="D1567" s="16">
        <v>-4.061319E-2</v>
      </c>
      <c r="E1567">
        <v>-2.0306595E-2</v>
      </c>
    </row>
    <row r="1568" spans="1:5" x14ac:dyDescent="0.3">
      <c r="A1568" s="8">
        <v>56</v>
      </c>
      <c r="B1568" s="8">
        <v>27</v>
      </c>
      <c r="C1568" s="8">
        <v>3598</v>
      </c>
      <c r="D1568" s="16">
        <v>-2.760193E-2</v>
      </c>
      <c r="E1568">
        <v>-1.3800965E-2</v>
      </c>
    </row>
    <row r="1569" spans="1:5" x14ac:dyDescent="0.3">
      <c r="A1569" s="8">
        <v>56</v>
      </c>
      <c r="B1569" s="8">
        <v>28</v>
      </c>
      <c r="C1569" s="8">
        <v>3564</v>
      </c>
      <c r="D1569" s="16">
        <v>-3.6508640000000002E-2</v>
      </c>
      <c r="E1569">
        <v>-1.8254320000000001E-2</v>
      </c>
    </row>
    <row r="1570" spans="1:5" x14ac:dyDescent="0.3">
      <c r="A1570" s="8">
        <v>56</v>
      </c>
      <c r="B1570" s="8">
        <v>29</v>
      </c>
      <c r="C1570" s="8">
        <v>3584</v>
      </c>
      <c r="D1570" s="16">
        <v>-2.5787560000000001E-2</v>
      </c>
      <c r="E1570">
        <v>-1.2893780000000001E-2</v>
      </c>
    </row>
    <row r="1571" spans="1:5" x14ac:dyDescent="0.3">
      <c r="A1571" s="8">
        <v>56</v>
      </c>
      <c r="B1571" s="8">
        <v>30</v>
      </c>
      <c r="C1571" s="8">
        <v>3593</v>
      </c>
      <c r="D1571" s="16">
        <v>-4.6094719999999999E-3</v>
      </c>
      <c r="E1571">
        <v>-2.3047359999999999E-3</v>
      </c>
    </row>
    <row r="1572" spans="1:5" x14ac:dyDescent="0.3">
      <c r="A1572" s="8">
        <v>56</v>
      </c>
      <c r="B1572" s="8">
        <v>31</v>
      </c>
      <c r="C1572" s="8">
        <v>3531</v>
      </c>
      <c r="D1572" s="16">
        <v>-4.2316979999999997E-2</v>
      </c>
      <c r="E1572">
        <v>-2.1158489999999999E-2</v>
      </c>
    </row>
    <row r="1573" spans="1:5" x14ac:dyDescent="0.3">
      <c r="A1573" s="8">
        <v>56</v>
      </c>
      <c r="B1573" s="8">
        <v>32</v>
      </c>
      <c r="C1573" s="8">
        <v>3576</v>
      </c>
      <c r="D1573" s="16">
        <v>-2.192009E-3</v>
      </c>
      <c r="E1573">
        <v>-1.0960045E-3</v>
      </c>
    </row>
    <row r="1574" spans="1:5" x14ac:dyDescent="0.3">
      <c r="A1574" s="8">
        <v>56</v>
      </c>
      <c r="B1574" s="8">
        <v>33</v>
      </c>
      <c r="C1574" s="8">
        <v>3624</v>
      </c>
      <c r="D1574" s="16">
        <v>-1.6675010000000001E-2</v>
      </c>
      <c r="E1574">
        <v>-8.3375050000000003E-3</v>
      </c>
    </row>
    <row r="1575" spans="1:5" x14ac:dyDescent="0.3">
      <c r="A1575" s="8">
        <v>56</v>
      </c>
      <c r="B1575" s="8">
        <v>34</v>
      </c>
      <c r="C1575" s="8">
        <v>3629</v>
      </c>
      <c r="D1575" s="16">
        <v>4.9887710000000004E-3</v>
      </c>
      <c r="E1575">
        <v>2.4943855000000002E-3</v>
      </c>
    </row>
    <row r="1576" spans="1:5" x14ac:dyDescent="0.3">
      <c r="A1576" s="8">
        <v>56</v>
      </c>
      <c r="B1576" s="8">
        <v>35</v>
      </c>
      <c r="C1576" s="8">
        <v>3617</v>
      </c>
      <c r="D1576" s="16">
        <v>-1.054134E-2</v>
      </c>
      <c r="E1576">
        <v>-5.2706699999999999E-3</v>
      </c>
    </row>
    <row r="1577" spans="1:5" x14ac:dyDescent="0.3">
      <c r="A1577" s="8">
        <v>56</v>
      </c>
      <c r="B1577" s="8">
        <v>36</v>
      </c>
      <c r="C1577" s="8">
        <v>3590</v>
      </c>
      <c r="D1577" s="16">
        <v>-7.9042910000000008E-3</v>
      </c>
      <c r="E1577">
        <v>-3.9521455000000004E-3</v>
      </c>
    </row>
    <row r="1578" spans="1:5" x14ac:dyDescent="0.3">
      <c r="A1578" s="8">
        <v>56</v>
      </c>
      <c r="B1578" s="8">
        <v>37</v>
      </c>
      <c r="C1578" s="8">
        <v>3571</v>
      </c>
      <c r="D1578" s="16">
        <v>-2.7557279999999998E-3</v>
      </c>
      <c r="E1578">
        <v>-1.3778639999999999E-3</v>
      </c>
    </row>
    <row r="1579" spans="1:5" x14ac:dyDescent="0.3">
      <c r="A1579" s="8">
        <v>56</v>
      </c>
      <c r="B1579" s="8">
        <v>38</v>
      </c>
      <c r="C1579" s="8">
        <v>3636</v>
      </c>
      <c r="D1579" s="16">
        <v>-2.9853290000000001E-2</v>
      </c>
      <c r="E1579">
        <v>-1.4926645000000001E-2</v>
      </c>
    </row>
    <row r="1580" spans="1:5" x14ac:dyDescent="0.3">
      <c r="A1580" s="8">
        <v>56</v>
      </c>
      <c r="B1580" s="8">
        <v>39</v>
      </c>
      <c r="C1580" s="8">
        <v>3622</v>
      </c>
      <c r="D1580" s="16">
        <v>-2.6644459999999998E-2</v>
      </c>
      <c r="E1580">
        <v>-1.3322229999999999E-2</v>
      </c>
    </row>
    <row r="1581" spans="1:5" x14ac:dyDescent="0.3">
      <c r="A1581" s="8">
        <v>56</v>
      </c>
      <c r="B1581" s="8">
        <v>40</v>
      </c>
      <c r="C1581" s="8">
        <v>3627</v>
      </c>
      <c r="D1581" s="16">
        <v>-1.087606E-2</v>
      </c>
      <c r="E1581">
        <v>-5.4380299999999999E-3</v>
      </c>
    </row>
    <row r="1582" spans="1:5" x14ac:dyDescent="0.3">
      <c r="A1582" s="8">
        <v>56</v>
      </c>
      <c r="B1582" s="8">
        <v>41</v>
      </c>
      <c r="C1582" s="8">
        <v>3578</v>
      </c>
      <c r="D1582" s="16">
        <v>-3.5537289999999999E-2</v>
      </c>
      <c r="E1582">
        <v>-1.7768645E-2</v>
      </c>
    </row>
    <row r="1583" spans="1:5" x14ac:dyDescent="0.3">
      <c r="A1583" s="8">
        <v>56</v>
      </c>
      <c r="B1583" s="8">
        <v>42</v>
      </c>
      <c r="C1583" s="8">
        <v>3608</v>
      </c>
      <c r="D1583" s="16">
        <v>-4.3891409999999999E-2</v>
      </c>
      <c r="E1583">
        <v>-2.1945704999999999E-2</v>
      </c>
    </row>
    <row r="1584" spans="1:5" x14ac:dyDescent="0.3">
      <c r="A1584" s="8">
        <v>56</v>
      </c>
      <c r="B1584" s="8">
        <v>43</v>
      </c>
      <c r="C1584" s="8">
        <v>3586</v>
      </c>
      <c r="D1584" s="16">
        <v>-9.4916270000000005E-4</v>
      </c>
      <c r="E1584">
        <v>-4.7458135000000003E-4</v>
      </c>
    </row>
    <row r="1585" spans="1:5" x14ac:dyDescent="0.3">
      <c r="A1585" s="8">
        <v>56</v>
      </c>
      <c r="B1585" s="8">
        <v>44</v>
      </c>
      <c r="C1585" s="8">
        <v>3576</v>
      </c>
      <c r="D1585" s="16">
        <v>1.7735520000000001E-3</v>
      </c>
      <c r="E1585">
        <v>8.8677600000000004E-4</v>
      </c>
    </row>
    <row r="1586" spans="1:5" x14ac:dyDescent="0.3">
      <c r="A1586" s="8">
        <v>56</v>
      </c>
      <c r="B1586" s="8">
        <v>45</v>
      </c>
      <c r="C1586" s="8">
        <v>3625</v>
      </c>
      <c r="D1586" s="16">
        <v>-5.1913860000000001E-3</v>
      </c>
      <c r="E1586">
        <v>-2.595693E-3</v>
      </c>
    </row>
    <row r="1587" spans="1:5" x14ac:dyDescent="0.3">
      <c r="A1587" s="8">
        <v>56</v>
      </c>
      <c r="B1587" s="8">
        <v>46</v>
      </c>
      <c r="C1587" s="8">
        <v>3612</v>
      </c>
      <c r="D1587" s="16">
        <v>9.5708819999999993E-3</v>
      </c>
      <c r="E1587">
        <v>4.7854409999999997E-3</v>
      </c>
    </row>
    <row r="1588" spans="1:5" x14ac:dyDescent="0.3">
      <c r="A1588" s="8">
        <v>56</v>
      </c>
      <c r="B1588" s="8">
        <v>47</v>
      </c>
      <c r="C1588" s="8">
        <v>3616</v>
      </c>
      <c r="D1588" s="16">
        <v>-1.697036E-2</v>
      </c>
      <c r="E1588">
        <v>-8.4851800000000002E-3</v>
      </c>
    </row>
    <row r="1589" spans="1:5" x14ac:dyDescent="0.3">
      <c r="A1589" s="8">
        <v>56</v>
      </c>
      <c r="B1589" s="8">
        <v>48</v>
      </c>
      <c r="C1589" s="8">
        <v>3592</v>
      </c>
      <c r="D1589" s="16">
        <v>-3.5432850000000002E-2</v>
      </c>
      <c r="E1589">
        <v>-1.7716425000000001E-2</v>
      </c>
    </row>
    <row r="1590" spans="1:5" x14ac:dyDescent="0.3">
      <c r="A1590" s="8">
        <v>56</v>
      </c>
      <c r="B1590" s="8">
        <v>49</v>
      </c>
      <c r="C1590" s="8">
        <v>3612</v>
      </c>
      <c r="D1590" s="16">
        <v>-5.157192E-2</v>
      </c>
      <c r="E1590">
        <v>-2.578596E-2</v>
      </c>
    </row>
    <row r="1591" spans="1:5" x14ac:dyDescent="0.3">
      <c r="A1591" s="8">
        <v>56</v>
      </c>
      <c r="B1591" s="8">
        <v>50</v>
      </c>
      <c r="C1591" s="8">
        <v>3624</v>
      </c>
      <c r="D1591" s="16">
        <v>-8.3450610000000008E-3</v>
      </c>
      <c r="E1591">
        <v>-4.1725305000000004E-3</v>
      </c>
    </row>
    <row r="1592" spans="1:5" x14ac:dyDescent="0.3">
      <c r="A1592" s="8">
        <v>56</v>
      </c>
      <c r="B1592" s="8">
        <v>51</v>
      </c>
      <c r="C1592" s="8">
        <v>3586</v>
      </c>
      <c r="D1592" s="16">
        <v>-4.4181419999999999E-2</v>
      </c>
      <c r="E1592">
        <v>-2.209071E-2</v>
      </c>
    </row>
    <row r="1593" spans="1:5" x14ac:dyDescent="0.3">
      <c r="A1593" s="8">
        <v>56</v>
      </c>
      <c r="B1593" s="8">
        <v>52</v>
      </c>
      <c r="C1593" s="8">
        <v>3589</v>
      </c>
      <c r="D1593" s="16">
        <v>-2.6635499999999999E-2</v>
      </c>
      <c r="E1593">
        <v>-1.331775E-2</v>
      </c>
    </row>
    <row r="1594" spans="1:5" x14ac:dyDescent="0.3">
      <c r="A1594" s="8">
        <v>56</v>
      </c>
      <c r="B1594" s="8">
        <v>53</v>
      </c>
      <c r="C1594" s="8">
        <v>3595</v>
      </c>
      <c r="D1594" s="16">
        <v>-5.5690749999999997E-3</v>
      </c>
      <c r="E1594">
        <v>-2.7845374999999999E-3</v>
      </c>
    </row>
    <row r="1595" spans="1:5" x14ac:dyDescent="0.3">
      <c r="A1595" s="8">
        <v>56</v>
      </c>
      <c r="B1595" s="8">
        <v>54</v>
      </c>
      <c r="C1595" s="8">
        <v>3581</v>
      </c>
      <c r="D1595" s="16">
        <v>9.7619839999999996E-3</v>
      </c>
      <c r="E1595">
        <v>4.8809919999999998E-3</v>
      </c>
    </row>
    <row r="1596" spans="1:5" x14ac:dyDescent="0.3">
      <c r="A1596" s="8">
        <v>56</v>
      </c>
      <c r="B1596" s="8">
        <v>55</v>
      </c>
      <c r="C1596" s="8">
        <v>3618</v>
      </c>
      <c r="D1596" s="16">
        <v>2.573398E-2</v>
      </c>
      <c r="E1596">
        <v>1.286699E-2</v>
      </c>
    </row>
    <row r="1597" spans="1:5" x14ac:dyDescent="0.3">
      <c r="A1597" s="8">
        <v>56</v>
      </c>
      <c r="B1597" s="8">
        <v>56</v>
      </c>
      <c r="C1597" s="8">
        <v>3897</v>
      </c>
      <c r="D1597" s="16">
        <v>1.021963</v>
      </c>
      <c r="E1597"/>
    </row>
    <row r="1598" spans="1:5" x14ac:dyDescent="0.3">
      <c r="A1598" s="8">
        <v>57</v>
      </c>
      <c r="B1598" s="8">
        <v>1</v>
      </c>
      <c r="C1598" s="8">
        <v>3650</v>
      </c>
      <c r="D1598" s="16">
        <v>3.7049180000000002E-3</v>
      </c>
      <c r="E1598">
        <v>1.8524590000000001E-3</v>
      </c>
    </row>
    <row r="1599" spans="1:5" x14ac:dyDescent="0.3">
      <c r="A1599" s="8">
        <v>57</v>
      </c>
      <c r="B1599" s="8">
        <v>2</v>
      </c>
      <c r="C1599" s="8">
        <v>3626</v>
      </c>
      <c r="D1599" s="16">
        <v>-1.1595309999999999E-2</v>
      </c>
      <c r="E1599">
        <v>-5.7976549999999996E-3</v>
      </c>
    </row>
    <row r="1600" spans="1:5" x14ac:dyDescent="0.3">
      <c r="A1600" s="8">
        <v>57</v>
      </c>
      <c r="B1600" s="8">
        <v>3</v>
      </c>
      <c r="C1600" s="8">
        <v>3655</v>
      </c>
      <c r="D1600" s="16">
        <v>8.4646679999999998E-3</v>
      </c>
      <c r="E1600">
        <v>4.2323339999999999E-3</v>
      </c>
    </row>
    <row r="1601" spans="1:5" x14ac:dyDescent="0.3">
      <c r="A1601" s="8">
        <v>57</v>
      </c>
      <c r="B1601" s="8">
        <v>4</v>
      </c>
      <c r="C1601" s="8">
        <v>3599</v>
      </c>
      <c r="D1601" s="16">
        <v>-1.464084E-2</v>
      </c>
      <c r="E1601">
        <v>-7.3204200000000002E-3</v>
      </c>
    </row>
    <row r="1602" spans="1:5" x14ac:dyDescent="0.3">
      <c r="A1602" s="8">
        <v>57</v>
      </c>
      <c r="B1602" s="8">
        <v>5</v>
      </c>
      <c r="C1602" s="8">
        <v>3622</v>
      </c>
      <c r="D1602" s="16">
        <v>-4.2982260000000001E-2</v>
      </c>
      <c r="E1602">
        <v>-2.1491130000000001E-2</v>
      </c>
    </row>
    <row r="1603" spans="1:5" x14ac:dyDescent="0.3">
      <c r="A1603" s="8">
        <v>57</v>
      </c>
      <c r="B1603" s="8">
        <v>6</v>
      </c>
      <c r="C1603" s="8">
        <v>3633</v>
      </c>
      <c r="D1603" s="16">
        <v>-2.0414249999999998E-2</v>
      </c>
      <c r="E1603">
        <v>-1.0207124999999999E-2</v>
      </c>
    </row>
    <row r="1604" spans="1:5" x14ac:dyDescent="0.3">
      <c r="A1604" s="8">
        <v>57</v>
      </c>
      <c r="B1604" s="8">
        <v>7</v>
      </c>
      <c r="C1604" s="8">
        <v>3601</v>
      </c>
      <c r="D1604" s="16">
        <v>6.1108450000000002E-3</v>
      </c>
      <c r="E1604">
        <v>3.0554225000000001E-3</v>
      </c>
    </row>
    <row r="1605" spans="1:5" x14ac:dyDescent="0.3">
      <c r="A1605" s="8">
        <v>57</v>
      </c>
      <c r="B1605" s="8">
        <v>8</v>
      </c>
      <c r="C1605" s="8">
        <v>3630</v>
      </c>
      <c r="D1605" s="16">
        <v>-3.065996E-2</v>
      </c>
      <c r="E1605">
        <v>-1.532998E-2</v>
      </c>
    </row>
    <row r="1606" spans="1:5" x14ac:dyDescent="0.3">
      <c r="A1606" s="8">
        <v>57</v>
      </c>
      <c r="B1606" s="8">
        <v>9</v>
      </c>
      <c r="C1606" s="8">
        <v>3636</v>
      </c>
      <c r="D1606" s="16">
        <v>-3.6943249999999997E-2</v>
      </c>
      <c r="E1606">
        <v>-1.8471624999999998E-2</v>
      </c>
    </row>
    <row r="1607" spans="1:5" x14ac:dyDescent="0.3">
      <c r="A1607" s="8">
        <v>57</v>
      </c>
      <c r="B1607" s="8">
        <v>10</v>
      </c>
      <c r="C1607" s="8">
        <v>3629</v>
      </c>
      <c r="D1607" s="16">
        <v>-5.0448729999999997E-2</v>
      </c>
      <c r="E1607">
        <v>-2.5224364999999999E-2</v>
      </c>
    </row>
    <row r="1608" spans="1:5" x14ac:dyDescent="0.3">
      <c r="A1608" s="8">
        <v>57</v>
      </c>
      <c r="B1608" s="8">
        <v>11</v>
      </c>
      <c r="C1608" s="8">
        <v>3633</v>
      </c>
      <c r="D1608" s="16">
        <v>6.6570290000000001E-3</v>
      </c>
      <c r="E1608">
        <v>3.3285145E-3</v>
      </c>
    </row>
    <row r="1609" spans="1:5" x14ac:dyDescent="0.3">
      <c r="A1609" s="8">
        <v>57</v>
      </c>
      <c r="B1609" s="8">
        <v>12</v>
      </c>
      <c r="C1609" s="8">
        <v>3633</v>
      </c>
      <c r="D1609" s="16">
        <v>-4.9571539999999997E-2</v>
      </c>
      <c r="E1609">
        <v>-2.4785769999999999E-2</v>
      </c>
    </row>
    <row r="1610" spans="1:5" x14ac:dyDescent="0.3">
      <c r="A1610" s="8">
        <v>57</v>
      </c>
      <c r="B1610" s="8">
        <v>13</v>
      </c>
      <c r="C1610" s="8">
        <v>3622</v>
      </c>
      <c r="D1610" s="16">
        <v>1.521755E-2</v>
      </c>
      <c r="E1610">
        <v>7.6087749999999999E-3</v>
      </c>
    </row>
    <row r="1611" spans="1:5" x14ac:dyDescent="0.3">
      <c r="A1611" s="8">
        <v>57</v>
      </c>
      <c r="B1611" s="8">
        <v>14</v>
      </c>
      <c r="C1611" s="8">
        <v>3631</v>
      </c>
      <c r="D1611" s="16">
        <v>1.568779E-2</v>
      </c>
      <c r="E1611">
        <v>7.843895E-3</v>
      </c>
    </row>
    <row r="1612" spans="1:5" x14ac:dyDescent="0.3">
      <c r="A1612" s="8">
        <v>57</v>
      </c>
      <c r="B1612" s="8">
        <v>15</v>
      </c>
      <c r="C1612" s="8">
        <v>3635</v>
      </c>
      <c r="D1612" s="16">
        <v>-1.8843149999999999E-2</v>
      </c>
      <c r="E1612">
        <v>-9.4215749999999997E-3</v>
      </c>
    </row>
    <row r="1613" spans="1:5" x14ac:dyDescent="0.3">
      <c r="A1613" s="8">
        <v>57</v>
      </c>
      <c r="B1613" s="8">
        <v>16</v>
      </c>
      <c r="C1613" s="8">
        <v>3613</v>
      </c>
      <c r="D1613" s="16">
        <v>2.9871040000000001E-2</v>
      </c>
      <c r="E1613">
        <v>1.4935520000000001E-2</v>
      </c>
    </row>
    <row r="1614" spans="1:5" x14ac:dyDescent="0.3">
      <c r="A1614" s="8">
        <v>57</v>
      </c>
      <c r="B1614" s="8">
        <v>17</v>
      </c>
      <c r="C1614" s="8">
        <v>3637</v>
      </c>
      <c r="D1614" s="16">
        <v>1.8944539999999999E-2</v>
      </c>
      <c r="E1614">
        <v>9.4722699999999996E-3</v>
      </c>
    </row>
    <row r="1615" spans="1:5" x14ac:dyDescent="0.3">
      <c r="A1615" s="8">
        <v>57</v>
      </c>
      <c r="B1615" s="8">
        <v>18</v>
      </c>
      <c r="C1615" s="8">
        <v>3632</v>
      </c>
      <c r="D1615" s="16">
        <v>-2.302357E-2</v>
      </c>
      <c r="E1615">
        <v>-1.1511785E-2</v>
      </c>
    </row>
    <row r="1616" spans="1:5" x14ac:dyDescent="0.3">
      <c r="A1616" s="8">
        <v>57</v>
      </c>
      <c r="B1616" s="8">
        <v>19</v>
      </c>
      <c r="C1616" s="8">
        <v>3604</v>
      </c>
      <c r="D1616" s="16">
        <v>-3.9867569999999998E-2</v>
      </c>
      <c r="E1616">
        <v>-1.9933784999999999E-2</v>
      </c>
    </row>
    <row r="1617" spans="1:5" x14ac:dyDescent="0.3">
      <c r="A1617" s="8">
        <v>57</v>
      </c>
      <c r="B1617" s="8">
        <v>20</v>
      </c>
      <c r="C1617" s="8">
        <v>3608</v>
      </c>
      <c r="D1617" s="16">
        <v>-1.538439E-2</v>
      </c>
      <c r="E1617">
        <v>-7.6921949999999998E-3</v>
      </c>
    </row>
    <row r="1618" spans="1:5" x14ac:dyDescent="0.3">
      <c r="A1618" s="8">
        <v>57</v>
      </c>
      <c r="B1618" s="8">
        <v>21</v>
      </c>
      <c r="C1618" s="8">
        <v>3647</v>
      </c>
      <c r="D1618" s="16">
        <v>-2.4193449999999998E-3</v>
      </c>
      <c r="E1618">
        <v>-1.2096724999999999E-3</v>
      </c>
    </row>
    <row r="1619" spans="1:5" x14ac:dyDescent="0.3">
      <c r="A1619" s="8">
        <v>57</v>
      </c>
      <c r="B1619" s="8">
        <v>22</v>
      </c>
      <c r="C1619" s="8">
        <v>3610</v>
      </c>
      <c r="D1619" s="16">
        <v>-8.7586980000000005E-3</v>
      </c>
      <c r="E1619">
        <v>-4.3793490000000003E-3</v>
      </c>
    </row>
    <row r="1620" spans="1:5" x14ac:dyDescent="0.3">
      <c r="A1620" s="8">
        <v>57</v>
      </c>
      <c r="B1620" s="8">
        <v>23</v>
      </c>
      <c r="C1620" s="8">
        <v>3618</v>
      </c>
      <c r="D1620" s="16">
        <v>2.5751139999999999E-2</v>
      </c>
      <c r="E1620">
        <v>1.2875569999999999E-2</v>
      </c>
    </row>
    <row r="1621" spans="1:5" x14ac:dyDescent="0.3">
      <c r="A1621" s="8">
        <v>57</v>
      </c>
      <c r="B1621" s="8">
        <v>24</v>
      </c>
      <c r="C1621" s="8">
        <v>3642</v>
      </c>
      <c r="D1621" s="16">
        <v>-3.2559440000000002E-2</v>
      </c>
      <c r="E1621">
        <v>-1.6279720000000001E-2</v>
      </c>
    </row>
    <row r="1622" spans="1:5" x14ac:dyDescent="0.3">
      <c r="A1622" s="8">
        <v>57</v>
      </c>
      <c r="B1622" s="8">
        <v>25</v>
      </c>
      <c r="C1622" s="8">
        <v>3611</v>
      </c>
      <c r="D1622" s="16">
        <v>-5.0937769999999999E-3</v>
      </c>
      <c r="E1622">
        <v>-2.5468884999999999E-3</v>
      </c>
    </row>
    <row r="1623" spans="1:5" x14ac:dyDescent="0.3">
      <c r="A1623" s="8">
        <v>57</v>
      </c>
      <c r="B1623" s="8">
        <v>26</v>
      </c>
      <c r="C1623" s="8">
        <v>3636</v>
      </c>
      <c r="D1623" s="16">
        <v>-3.3916429999999997E-2</v>
      </c>
      <c r="E1623">
        <v>-1.6958214999999999E-2</v>
      </c>
    </row>
    <row r="1624" spans="1:5" x14ac:dyDescent="0.3">
      <c r="A1624" s="8">
        <v>57</v>
      </c>
      <c r="B1624" s="8">
        <v>27</v>
      </c>
      <c r="C1624" s="8">
        <v>3606</v>
      </c>
      <c r="D1624" s="16">
        <v>2.8704170000000001E-2</v>
      </c>
      <c r="E1624">
        <v>1.4352085000000001E-2</v>
      </c>
    </row>
    <row r="1625" spans="1:5" x14ac:dyDescent="0.3">
      <c r="A1625" s="8">
        <v>57</v>
      </c>
      <c r="B1625" s="8">
        <v>28</v>
      </c>
      <c r="C1625" s="8">
        <v>3575</v>
      </c>
      <c r="D1625" s="16">
        <v>-4.8597099999999997E-3</v>
      </c>
      <c r="E1625">
        <v>-2.4298549999999999E-3</v>
      </c>
    </row>
    <row r="1626" spans="1:5" x14ac:dyDescent="0.3">
      <c r="A1626" s="8">
        <v>57</v>
      </c>
      <c r="B1626" s="8">
        <v>29</v>
      </c>
      <c r="C1626" s="8">
        <v>3586</v>
      </c>
      <c r="D1626" s="16">
        <v>4.2176740000000002E-3</v>
      </c>
      <c r="E1626">
        <v>2.1088370000000001E-3</v>
      </c>
    </row>
    <row r="1627" spans="1:5" x14ac:dyDescent="0.3">
      <c r="A1627" s="8">
        <v>57</v>
      </c>
      <c r="B1627" s="8">
        <v>30</v>
      </c>
      <c r="C1627" s="8">
        <v>3602</v>
      </c>
      <c r="D1627" s="16">
        <v>-1.23908E-2</v>
      </c>
      <c r="E1627">
        <v>-6.1954000000000002E-3</v>
      </c>
    </row>
    <row r="1628" spans="1:5" x14ac:dyDescent="0.3">
      <c r="A1628" s="8">
        <v>57</v>
      </c>
      <c r="B1628" s="8">
        <v>31</v>
      </c>
      <c r="C1628" s="8">
        <v>3530</v>
      </c>
      <c r="D1628" s="16">
        <v>-2.7506340000000001E-2</v>
      </c>
      <c r="E1628">
        <v>-1.375317E-2</v>
      </c>
    </row>
    <row r="1629" spans="1:5" x14ac:dyDescent="0.3">
      <c r="A1629" s="8">
        <v>57</v>
      </c>
      <c r="B1629" s="8">
        <v>32</v>
      </c>
      <c r="C1629" s="8">
        <v>3591</v>
      </c>
      <c r="D1629" s="16">
        <v>-4.5971959999999999E-2</v>
      </c>
      <c r="E1629">
        <v>-2.298598E-2</v>
      </c>
    </row>
    <row r="1630" spans="1:5" x14ac:dyDescent="0.3">
      <c r="A1630" s="8">
        <v>57</v>
      </c>
      <c r="B1630" s="8">
        <v>33</v>
      </c>
      <c r="C1630" s="8">
        <v>3647</v>
      </c>
      <c r="D1630" s="16">
        <v>-8.2478640000000006E-3</v>
      </c>
      <c r="E1630">
        <v>-4.1239320000000003E-3</v>
      </c>
    </row>
    <row r="1631" spans="1:5" x14ac:dyDescent="0.3">
      <c r="A1631" s="8">
        <v>57</v>
      </c>
      <c r="B1631" s="8">
        <v>34</v>
      </c>
      <c r="C1631" s="8">
        <v>3628</v>
      </c>
      <c r="D1631" s="16">
        <v>-1.341111E-2</v>
      </c>
      <c r="E1631">
        <v>-6.7055550000000002E-3</v>
      </c>
    </row>
    <row r="1632" spans="1:5" x14ac:dyDescent="0.3">
      <c r="A1632" s="8">
        <v>57</v>
      </c>
      <c r="B1632" s="8">
        <v>35</v>
      </c>
      <c r="C1632" s="8">
        <v>3602</v>
      </c>
      <c r="D1632" s="16">
        <v>-4.8749870000000001E-2</v>
      </c>
      <c r="E1632">
        <v>-2.4374935E-2</v>
      </c>
    </row>
    <row r="1633" spans="1:5" x14ac:dyDescent="0.3">
      <c r="A1633" s="8">
        <v>57</v>
      </c>
      <c r="B1633" s="8">
        <v>36</v>
      </c>
      <c r="C1633" s="8">
        <v>3613</v>
      </c>
      <c r="D1633" s="16">
        <v>2.2162390000000001E-2</v>
      </c>
      <c r="E1633">
        <v>1.1081195E-2</v>
      </c>
    </row>
    <row r="1634" spans="1:5" x14ac:dyDescent="0.3">
      <c r="A1634" s="8">
        <v>57</v>
      </c>
      <c r="B1634" s="8">
        <v>37</v>
      </c>
      <c r="C1634" s="8">
        <v>3585</v>
      </c>
      <c r="D1634" s="16">
        <v>-1.5721490000000001E-2</v>
      </c>
      <c r="E1634">
        <v>-7.8607450000000006E-3</v>
      </c>
    </row>
    <row r="1635" spans="1:5" x14ac:dyDescent="0.3">
      <c r="A1635" s="8">
        <v>57</v>
      </c>
      <c r="B1635" s="8">
        <v>38</v>
      </c>
      <c r="C1635" s="8">
        <v>3633</v>
      </c>
      <c r="D1635" s="16">
        <v>-3.7759109999999999E-3</v>
      </c>
      <c r="E1635">
        <v>-1.8879554999999999E-3</v>
      </c>
    </row>
    <row r="1636" spans="1:5" x14ac:dyDescent="0.3">
      <c r="A1636" s="8">
        <v>57</v>
      </c>
      <c r="B1636" s="8">
        <v>39</v>
      </c>
      <c r="C1636" s="8">
        <v>3617</v>
      </c>
      <c r="D1636" s="16">
        <v>2.0574189999999999E-2</v>
      </c>
      <c r="E1636">
        <v>1.0287095E-2</v>
      </c>
    </row>
    <row r="1637" spans="1:5" x14ac:dyDescent="0.3">
      <c r="A1637" s="8">
        <v>57</v>
      </c>
      <c r="B1637" s="8">
        <v>40</v>
      </c>
      <c r="C1637" s="8">
        <v>3640</v>
      </c>
      <c r="D1637" s="16">
        <v>-5.3860520000000002E-2</v>
      </c>
      <c r="E1637">
        <v>-2.6930260000000001E-2</v>
      </c>
    </row>
    <row r="1638" spans="1:5" x14ac:dyDescent="0.3">
      <c r="A1638" s="8">
        <v>57</v>
      </c>
      <c r="B1638" s="8">
        <v>41</v>
      </c>
      <c r="C1638" s="8">
        <v>3588</v>
      </c>
      <c r="D1638" s="16">
        <v>2.5142729999999999E-2</v>
      </c>
      <c r="E1638">
        <v>1.2571364999999999E-2</v>
      </c>
    </row>
    <row r="1639" spans="1:5" x14ac:dyDescent="0.3">
      <c r="A1639" s="8">
        <v>57</v>
      </c>
      <c r="B1639" s="8">
        <v>42</v>
      </c>
      <c r="C1639" s="8">
        <v>3617</v>
      </c>
      <c r="D1639" s="16">
        <v>-8.3989419999999995E-3</v>
      </c>
      <c r="E1639">
        <v>-4.1994709999999998E-3</v>
      </c>
    </row>
    <row r="1640" spans="1:5" x14ac:dyDescent="0.3">
      <c r="A1640" s="8">
        <v>57</v>
      </c>
      <c r="B1640" s="8">
        <v>43</v>
      </c>
      <c r="C1640" s="8">
        <v>3590</v>
      </c>
      <c r="D1640" s="16">
        <v>-1.5255380000000001E-2</v>
      </c>
      <c r="E1640">
        <v>-7.6276900000000003E-3</v>
      </c>
    </row>
    <row r="1641" spans="1:5" x14ac:dyDescent="0.3">
      <c r="A1641" s="8">
        <v>57</v>
      </c>
      <c r="B1641" s="8">
        <v>44</v>
      </c>
      <c r="C1641" s="8">
        <v>3576</v>
      </c>
      <c r="D1641" s="16">
        <v>-2.9989539999999999E-2</v>
      </c>
      <c r="E1641">
        <v>-1.4994769999999999E-2</v>
      </c>
    </row>
    <row r="1642" spans="1:5" x14ac:dyDescent="0.3">
      <c r="A1642" s="8">
        <v>57</v>
      </c>
      <c r="B1642" s="8">
        <v>45</v>
      </c>
      <c r="C1642" s="8">
        <v>3641</v>
      </c>
      <c r="D1642" s="16">
        <v>-7.0544200000000001E-2</v>
      </c>
      <c r="E1642">
        <v>-3.5272100000000001E-2</v>
      </c>
    </row>
    <row r="1643" spans="1:5" x14ac:dyDescent="0.3">
      <c r="A1643" s="8">
        <v>57</v>
      </c>
      <c r="B1643" s="8">
        <v>46</v>
      </c>
      <c r="C1643" s="8">
        <v>3620</v>
      </c>
      <c r="D1643" s="16">
        <v>-2.1064380000000001E-2</v>
      </c>
      <c r="E1643">
        <v>-1.053219E-2</v>
      </c>
    </row>
    <row r="1644" spans="1:5" x14ac:dyDescent="0.3">
      <c r="A1644" s="8">
        <v>57</v>
      </c>
      <c r="B1644" s="8">
        <v>47</v>
      </c>
      <c r="C1644" s="8">
        <v>3638</v>
      </c>
      <c r="D1644" s="16">
        <v>-1.5727330000000001E-2</v>
      </c>
      <c r="E1644">
        <v>-7.8636650000000006E-3</v>
      </c>
    </row>
    <row r="1645" spans="1:5" x14ac:dyDescent="0.3">
      <c r="A1645" s="8">
        <v>57</v>
      </c>
      <c r="B1645" s="8">
        <v>48</v>
      </c>
      <c r="C1645" s="8">
        <v>3592</v>
      </c>
      <c r="D1645" s="16">
        <v>-1.8164920000000001E-2</v>
      </c>
      <c r="E1645">
        <v>-9.0824600000000005E-3</v>
      </c>
    </row>
    <row r="1646" spans="1:5" x14ac:dyDescent="0.3">
      <c r="A1646" s="8">
        <v>57</v>
      </c>
      <c r="B1646" s="8">
        <v>49</v>
      </c>
      <c r="C1646" s="8">
        <v>3620</v>
      </c>
      <c r="D1646" s="16">
        <v>-3.8598119999999998E-3</v>
      </c>
      <c r="E1646">
        <v>-1.9299059999999999E-3</v>
      </c>
    </row>
    <row r="1647" spans="1:5" x14ac:dyDescent="0.3">
      <c r="A1647" s="8">
        <v>57</v>
      </c>
      <c r="B1647" s="8">
        <v>50</v>
      </c>
      <c r="C1647" s="8">
        <v>3647</v>
      </c>
      <c r="D1647" s="16">
        <v>-5.0000670000000004E-3</v>
      </c>
      <c r="E1647">
        <v>-2.5000335000000002E-3</v>
      </c>
    </row>
    <row r="1648" spans="1:5" x14ac:dyDescent="0.3">
      <c r="A1648" s="8">
        <v>57</v>
      </c>
      <c r="B1648" s="8">
        <v>51</v>
      </c>
      <c r="C1648" s="8">
        <v>3594</v>
      </c>
      <c r="D1648" s="16">
        <v>-5.4365480000000001E-2</v>
      </c>
      <c r="E1648">
        <v>-2.718274E-2</v>
      </c>
    </row>
    <row r="1649" spans="1:5" x14ac:dyDescent="0.3">
      <c r="A1649" s="8">
        <v>57</v>
      </c>
      <c r="B1649" s="8">
        <v>52</v>
      </c>
      <c r="C1649" s="8">
        <v>3621</v>
      </c>
      <c r="D1649" s="16">
        <v>2.1000049999999999E-2</v>
      </c>
      <c r="E1649">
        <v>1.0500025E-2</v>
      </c>
    </row>
    <row r="1650" spans="1:5" x14ac:dyDescent="0.3">
      <c r="A1650" s="8">
        <v>57</v>
      </c>
      <c r="B1650" s="8">
        <v>53</v>
      </c>
      <c r="C1650" s="8">
        <v>3613</v>
      </c>
      <c r="D1650" s="16">
        <v>-4.5118279999999997E-2</v>
      </c>
      <c r="E1650">
        <v>-2.2559139999999998E-2</v>
      </c>
    </row>
    <row r="1651" spans="1:5" x14ac:dyDescent="0.3">
      <c r="A1651" s="8">
        <v>57</v>
      </c>
      <c r="B1651" s="8">
        <v>54</v>
      </c>
      <c r="C1651" s="8">
        <v>3607</v>
      </c>
      <c r="D1651" s="16">
        <v>-1.106413E-2</v>
      </c>
      <c r="E1651">
        <v>-5.5320650000000001E-3</v>
      </c>
    </row>
    <row r="1652" spans="1:5" x14ac:dyDescent="0.3">
      <c r="A1652" s="8">
        <v>57</v>
      </c>
      <c r="B1652" s="8">
        <v>55</v>
      </c>
      <c r="C1652" s="8">
        <v>3628</v>
      </c>
      <c r="D1652" s="16">
        <v>8.5448250000000007E-3</v>
      </c>
      <c r="E1652">
        <v>4.2724125000000003E-3</v>
      </c>
    </row>
    <row r="1653" spans="1:5" x14ac:dyDescent="0.3">
      <c r="A1653" s="8">
        <v>57</v>
      </c>
      <c r="B1653" s="8">
        <v>56</v>
      </c>
      <c r="C1653" s="8">
        <v>3641</v>
      </c>
      <c r="D1653" s="16">
        <v>3.5933250000000001E-3</v>
      </c>
      <c r="E1653">
        <v>1.7966625E-3</v>
      </c>
    </row>
    <row r="1654" spans="1:5" x14ac:dyDescent="0.3">
      <c r="A1654" s="8">
        <v>57</v>
      </c>
      <c r="B1654" s="8">
        <v>57</v>
      </c>
      <c r="C1654" s="8">
        <v>3907</v>
      </c>
      <c r="D1654" s="16">
        <v>1.0286459999999999</v>
      </c>
      <c r="E1654"/>
    </row>
    <row r="1655" spans="1:5" x14ac:dyDescent="0.3">
      <c r="A1655" s="8">
        <v>58</v>
      </c>
      <c r="B1655" s="8">
        <v>1</v>
      </c>
      <c r="C1655" s="8">
        <v>3622</v>
      </c>
      <c r="D1655" s="16">
        <v>-2.873568E-3</v>
      </c>
      <c r="E1655">
        <v>-1.436784E-3</v>
      </c>
    </row>
    <row r="1656" spans="1:5" x14ac:dyDescent="0.3">
      <c r="A1656" s="8">
        <v>58</v>
      </c>
      <c r="B1656" s="8">
        <v>2</v>
      </c>
      <c r="C1656" s="8">
        <v>3606</v>
      </c>
      <c r="D1656" s="16">
        <v>-3.5999759999999999E-2</v>
      </c>
      <c r="E1656">
        <v>-1.7999879999999999E-2</v>
      </c>
    </row>
    <row r="1657" spans="1:5" x14ac:dyDescent="0.3">
      <c r="A1657" s="8">
        <v>58</v>
      </c>
      <c r="B1657" s="8">
        <v>3</v>
      </c>
      <c r="C1657" s="8">
        <v>3621</v>
      </c>
      <c r="D1657" s="16">
        <v>-5.8233360000000001E-3</v>
      </c>
      <c r="E1657">
        <v>-2.9116680000000001E-3</v>
      </c>
    </row>
    <row r="1658" spans="1:5" x14ac:dyDescent="0.3">
      <c r="A1658" s="8">
        <v>58</v>
      </c>
      <c r="B1658" s="8">
        <v>4</v>
      </c>
      <c r="C1658" s="8">
        <v>3573</v>
      </c>
      <c r="D1658" s="16">
        <v>-3.001674E-2</v>
      </c>
      <c r="E1658">
        <v>-1.500837E-2</v>
      </c>
    </row>
    <row r="1659" spans="1:5" x14ac:dyDescent="0.3">
      <c r="A1659" s="8">
        <v>58</v>
      </c>
      <c r="B1659" s="8">
        <v>5</v>
      </c>
      <c r="C1659" s="8">
        <v>3601</v>
      </c>
      <c r="D1659" s="16">
        <v>-6.1459939999999999E-4</v>
      </c>
      <c r="E1659">
        <v>-3.0729969999999999E-4</v>
      </c>
    </row>
    <row r="1660" spans="1:5" x14ac:dyDescent="0.3">
      <c r="A1660" s="8">
        <v>58</v>
      </c>
      <c r="B1660" s="8">
        <v>6</v>
      </c>
      <c r="C1660" s="8">
        <v>3596</v>
      </c>
      <c r="D1660" s="16">
        <v>-4.8869389999999999E-4</v>
      </c>
      <c r="E1660">
        <v>-2.4434694999999999E-4</v>
      </c>
    </row>
    <row r="1661" spans="1:5" x14ac:dyDescent="0.3">
      <c r="A1661" s="8">
        <v>58</v>
      </c>
      <c r="B1661" s="8">
        <v>7</v>
      </c>
      <c r="C1661" s="8">
        <v>3563</v>
      </c>
      <c r="D1661" s="16">
        <v>-4.1685670000000001E-2</v>
      </c>
      <c r="E1661">
        <v>-2.0842835000000001E-2</v>
      </c>
    </row>
    <row r="1662" spans="1:5" x14ac:dyDescent="0.3">
      <c r="A1662" s="8">
        <v>58</v>
      </c>
      <c r="B1662" s="8">
        <v>8</v>
      </c>
      <c r="C1662" s="8">
        <v>3596</v>
      </c>
      <c r="D1662" s="16">
        <v>-4.3418650000000003E-2</v>
      </c>
      <c r="E1662">
        <v>-2.1709325000000002E-2</v>
      </c>
    </row>
    <row r="1663" spans="1:5" x14ac:dyDescent="0.3">
      <c r="A1663" s="8">
        <v>58</v>
      </c>
      <c r="B1663" s="8">
        <v>9</v>
      </c>
      <c r="C1663" s="8">
        <v>3600</v>
      </c>
      <c r="D1663" s="16">
        <v>-2.2450390000000001E-2</v>
      </c>
      <c r="E1663">
        <v>-1.1225195E-2</v>
      </c>
    </row>
    <row r="1664" spans="1:5" x14ac:dyDescent="0.3">
      <c r="A1664" s="8">
        <v>58</v>
      </c>
      <c r="B1664" s="8">
        <v>10</v>
      </c>
      <c r="C1664" s="8">
        <v>3592</v>
      </c>
      <c r="D1664" s="16">
        <v>-1.25253E-2</v>
      </c>
      <c r="E1664">
        <v>-6.2626499999999998E-3</v>
      </c>
    </row>
    <row r="1665" spans="1:5" x14ac:dyDescent="0.3">
      <c r="A1665" s="8">
        <v>58</v>
      </c>
      <c r="B1665" s="8">
        <v>11</v>
      </c>
      <c r="C1665" s="8">
        <v>3597</v>
      </c>
      <c r="D1665" s="16">
        <v>-1.6081749999999999E-2</v>
      </c>
      <c r="E1665">
        <v>-8.0408749999999994E-3</v>
      </c>
    </row>
    <row r="1666" spans="1:5" x14ac:dyDescent="0.3">
      <c r="A1666" s="8">
        <v>58</v>
      </c>
      <c r="B1666" s="8">
        <v>12</v>
      </c>
      <c r="C1666" s="8">
        <v>3617</v>
      </c>
      <c r="D1666" s="16">
        <v>-2.092919E-2</v>
      </c>
      <c r="E1666">
        <v>-1.0464595E-2</v>
      </c>
    </row>
    <row r="1667" spans="1:5" x14ac:dyDescent="0.3">
      <c r="A1667" s="8">
        <v>58</v>
      </c>
      <c r="B1667" s="8">
        <v>13</v>
      </c>
      <c r="C1667" s="8">
        <v>3608</v>
      </c>
      <c r="D1667" s="16">
        <v>-4.0293389999999998E-3</v>
      </c>
      <c r="E1667">
        <v>-2.0146694999999999E-3</v>
      </c>
    </row>
    <row r="1668" spans="1:5" x14ac:dyDescent="0.3">
      <c r="A1668" s="8">
        <v>58</v>
      </c>
      <c r="B1668" s="8">
        <v>14</v>
      </c>
      <c r="C1668" s="8">
        <v>3590</v>
      </c>
      <c r="D1668" s="16">
        <v>2.682607E-2</v>
      </c>
      <c r="E1668">
        <v>1.3413035E-2</v>
      </c>
    </row>
    <row r="1669" spans="1:5" x14ac:dyDescent="0.3">
      <c r="A1669" s="8">
        <v>58</v>
      </c>
      <c r="B1669" s="8">
        <v>15</v>
      </c>
      <c r="C1669" s="8">
        <v>3599</v>
      </c>
      <c r="D1669" s="16">
        <v>-2.5726269999999999E-2</v>
      </c>
      <c r="E1669">
        <v>-1.2863134999999999E-2</v>
      </c>
    </row>
    <row r="1670" spans="1:5" x14ac:dyDescent="0.3">
      <c r="A1670" s="8">
        <v>58</v>
      </c>
      <c r="B1670" s="8">
        <v>16</v>
      </c>
      <c r="C1670" s="8">
        <v>3599</v>
      </c>
      <c r="D1670" s="16">
        <v>-1.034289E-2</v>
      </c>
      <c r="E1670">
        <v>-5.1714450000000002E-3</v>
      </c>
    </row>
    <row r="1671" spans="1:5" x14ac:dyDescent="0.3">
      <c r="A1671" s="8">
        <v>58</v>
      </c>
      <c r="B1671" s="8">
        <v>17</v>
      </c>
      <c r="C1671" s="8">
        <v>3601</v>
      </c>
      <c r="D1671" s="16">
        <v>-3.5642470000000002E-2</v>
      </c>
      <c r="E1671">
        <v>-1.7821235000000001E-2</v>
      </c>
    </row>
    <row r="1672" spans="1:5" x14ac:dyDescent="0.3">
      <c r="A1672" s="8">
        <v>58</v>
      </c>
      <c r="B1672" s="8">
        <v>18</v>
      </c>
      <c r="C1672" s="8">
        <v>3606</v>
      </c>
      <c r="D1672" s="16">
        <v>-4.2169730000000002E-2</v>
      </c>
      <c r="E1672">
        <v>-2.1084865000000001E-2</v>
      </c>
    </row>
    <row r="1673" spans="1:5" x14ac:dyDescent="0.3">
      <c r="A1673" s="8">
        <v>58</v>
      </c>
      <c r="B1673" s="8">
        <v>19</v>
      </c>
      <c r="C1673" s="8">
        <v>3572</v>
      </c>
      <c r="D1673" s="16">
        <v>-2.963611E-2</v>
      </c>
      <c r="E1673">
        <v>-1.4818055E-2</v>
      </c>
    </row>
    <row r="1674" spans="1:5" x14ac:dyDescent="0.3">
      <c r="A1674" s="8">
        <v>58</v>
      </c>
      <c r="B1674" s="8">
        <v>20</v>
      </c>
      <c r="C1674" s="8">
        <v>3558</v>
      </c>
      <c r="D1674" s="16">
        <v>-1.5735949999999999E-2</v>
      </c>
      <c r="E1674">
        <v>-7.8679749999999993E-3</v>
      </c>
    </row>
    <row r="1675" spans="1:5" x14ac:dyDescent="0.3">
      <c r="A1675" s="8">
        <v>58</v>
      </c>
      <c r="B1675" s="8">
        <v>21</v>
      </c>
      <c r="C1675" s="8">
        <v>3627</v>
      </c>
      <c r="D1675" s="16">
        <v>-3.8838449999999997E-2</v>
      </c>
      <c r="E1675">
        <v>-1.9419224999999998E-2</v>
      </c>
    </row>
    <row r="1676" spans="1:5" x14ac:dyDescent="0.3">
      <c r="A1676" s="8">
        <v>58</v>
      </c>
      <c r="B1676" s="8">
        <v>22</v>
      </c>
      <c r="C1676" s="8">
        <v>3585</v>
      </c>
      <c r="D1676" s="16">
        <v>-2.18275E-2</v>
      </c>
      <c r="E1676">
        <v>-1.091375E-2</v>
      </c>
    </row>
    <row r="1677" spans="1:5" x14ac:dyDescent="0.3">
      <c r="A1677" s="8">
        <v>58</v>
      </c>
      <c r="B1677" s="8">
        <v>23</v>
      </c>
      <c r="C1677" s="8">
        <v>3589</v>
      </c>
      <c r="D1677" s="16">
        <v>-8.4495190000000002E-4</v>
      </c>
      <c r="E1677">
        <v>-4.2247595000000001E-4</v>
      </c>
    </row>
    <row r="1678" spans="1:5" x14ac:dyDescent="0.3">
      <c r="A1678" s="8">
        <v>58</v>
      </c>
      <c r="B1678" s="8">
        <v>24</v>
      </c>
      <c r="C1678" s="8">
        <v>3618</v>
      </c>
      <c r="D1678" s="16">
        <v>-2.8572279999999999E-2</v>
      </c>
      <c r="E1678">
        <v>-1.4286139999999999E-2</v>
      </c>
    </row>
    <row r="1679" spans="1:5" x14ac:dyDescent="0.3">
      <c r="A1679" s="8">
        <v>58</v>
      </c>
      <c r="B1679" s="8">
        <v>25</v>
      </c>
      <c r="C1679" s="8">
        <v>3579</v>
      </c>
      <c r="D1679" s="16">
        <v>-2.0756920000000002E-2</v>
      </c>
      <c r="E1679">
        <v>-1.0378460000000001E-2</v>
      </c>
    </row>
    <row r="1680" spans="1:5" x14ac:dyDescent="0.3">
      <c r="A1680" s="8">
        <v>58</v>
      </c>
      <c r="B1680" s="8">
        <v>26</v>
      </c>
      <c r="C1680" s="8">
        <v>3611</v>
      </c>
      <c r="D1680" s="16">
        <v>-4.9531660000000002E-3</v>
      </c>
      <c r="E1680">
        <v>-2.4765830000000001E-3</v>
      </c>
    </row>
    <row r="1681" spans="1:5" x14ac:dyDescent="0.3">
      <c r="A1681" s="8">
        <v>58</v>
      </c>
      <c r="B1681" s="8">
        <v>27</v>
      </c>
      <c r="C1681" s="8">
        <v>3570</v>
      </c>
      <c r="D1681" s="16">
        <v>1.8674659999999999E-2</v>
      </c>
      <c r="E1681">
        <v>9.3373299999999996E-3</v>
      </c>
    </row>
    <row r="1682" spans="1:5" x14ac:dyDescent="0.3">
      <c r="A1682" s="8">
        <v>58</v>
      </c>
      <c r="B1682" s="8">
        <v>28</v>
      </c>
      <c r="C1682" s="8">
        <v>3545</v>
      </c>
      <c r="D1682" s="16">
        <v>-1.2365620000000001E-2</v>
      </c>
      <c r="E1682">
        <v>-6.1828100000000004E-3</v>
      </c>
    </row>
    <row r="1683" spans="1:5" x14ac:dyDescent="0.3">
      <c r="A1683" s="8">
        <v>58</v>
      </c>
      <c r="B1683" s="8">
        <v>29</v>
      </c>
      <c r="C1683" s="8">
        <v>3565</v>
      </c>
      <c r="D1683" s="16">
        <v>-1.216101E-2</v>
      </c>
      <c r="E1683">
        <v>-6.0805049999999999E-3</v>
      </c>
    </row>
    <row r="1684" spans="1:5" x14ac:dyDescent="0.3">
      <c r="A1684" s="8">
        <v>58</v>
      </c>
      <c r="B1684" s="8">
        <v>30</v>
      </c>
      <c r="C1684" s="8">
        <v>3572</v>
      </c>
      <c r="D1684" s="16">
        <v>4.476341E-3</v>
      </c>
      <c r="E1684">
        <v>2.2381705E-3</v>
      </c>
    </row>
    <row r="1685" spans="1:5" x14ac:dyDescent="0.3">
      <c r="A1685" s="8">
        <v>58</v>
      </c>
      <c r="B1685" s="8">
        <v>31</v>
      </c>
      <c r="C1685" s="8">
        <v>3500</v>
      </c>
      <c r="D1685" s="16">
        <v>-1.584497E-2</v>
      </c>
      <c r="E1685">
        <v>-7.9224849999999999E-3</v>
      </c>
    </row>
    <row r="1686" spans="1:5" x14ac:dyDescent="0.3">
      <c r="A1686" s="8">
        <v>58</v>
      </c>
      <c r="B1686" s="8">
        <v>32</v>
      </c>
      <c r="C1686" s="8">
        <v>3567</v>
      </c>
      <c r="D1686" s="16">
        <v>-8.9065780000000001E-3</v>
      </c>
      <c r="E1686">
        <v>-4.453289E-3</v>
      </c>
    </row>
    <row r="1687" spans="1:5" x14ac:dyDescent="0.3">
      <c r="A1687" s="8">
        <v>58</v>
      </c>
      <c r="B1687" s="8">
        <v>33</v>
      </c>
      <c r="C1687" s="8">
        <v>3603</v>
      </c>
      <c r="D1687" s="16">
        <v>-6.2264809999999997E-2</v>
      </c>
      <c r="E1687">
        <v>-3.1132404999999998E-2</v>
      </c>
    </row>
    <row r="1688" spans="1:5" x14ac:dyDescent="0.3">
      <c r="A1688" s="8">
        <v>58</v>
      </c>
      <c r="B1688" s="8">
        <v>34</v>
      </c>
      <c r="C1688" s="8">
        <v>3597</v>
      </c>
      <c r="D1688" s="16">
        <v>9.2965389999999995E-3</v>
      </c>
      <c r="E1688">
        <v>4.6482694999999997E-3</v>
      </c>
    </row>
    <row r="1689" spans="1:5" x14ac:dyDescent="0.3">
      <c r="A1689" s="8">
        <v>58</v>
      </c>
      <c r="B1689" s="8">
        <v>35</v>
      </c>
      <c r="C1689" s="8">
        <v>3585</v>
      </c>
      <c r="D1689" s="16">
        <v>-3.781686E-4</v>
      </c>
      <c r="E1689">
        <v>-1.890843E-4</v>
      </c>
    </row>
    <row r="1690" spans="1:5" x14ac:dyDescent="0.3">
      <c r="A1690" s="8">
        <v>58</v>
      </c>
      <c r="B1690" s="8">
        <v>36</v>
      </c>
      <c r="C1690" s="8">
        <v>3579</v>
      </c>
      <c r="D1690" s="16">
        <v>1.457112E-2</v>
      </c>
      <c r="E1690">
        <v>7.28556E-3</v>
      </c>
    </row>
    <row r="1691" spans="1:5" x14ac:dyDescent="0.3">
      <c r="A1691" s="8">
        <v>58</v>
      </c>
      <c r="B1691" s="8">
        <v>37</v>
      </c>
      <c r="C1691" s="8">
        <v>3551</v>
      </c>
      <c r="D1691" s="16">
        <v>4.070695E-3</v>
      </c>
      <c r="E1691">
        <v>2.0353475E-3</v>
      </c>
    </row>
    <row r="1692" spans="1:5" x14ac:dyDescent="0.3">
      <c r="A1692" s="8">
        <v>58</v>
      </c>
      <c r="B1692" s="8">
        <v>38</v>
      </c>
      <c r="C1692" s="8">
        <v>3606</v>
      </c>
      <c r="D1692" s="16">
        <v>-2.9762839999999999E-2</v>
      </c>
      <c r="E1692">
        <v>-1.4881419999999999E-2</v>
      </c>
    </row>
    <row r="1693" spans="1:5" x14ac:dyDescent="0.3">
      <c r="A1693" s="8">
        <v>58</v>
      </c>
      <c r="B1693" s="8">
        <v>39</v>
      </c>
      <c r="C1693" s="8">
        <v>3584</v>
      </c>
      <c r="D1693" s="16">
        <v>-1.148519E-3</v>
      </c>
      <c r="E1693">
        <v>-5.7425949999999999E-4</v>
      </c>
    </row>
    <row r="1694" spans="1:5" x14ac:dyDescent="0.3">
      <c r="A1694" s="8">
        <v>58</v>
      </c>
      <c r="B1694" s="8">
        <v>40</v>
      </c>
      <c r="C1694" s="8">
        <v>3602</v>
      </c>
      <c r="D1694" s="16">
        <v>1.1003270000000001E-2</v>
      </c>
      <c r="E1694">
        <v>5.5016350000000004E-3</v>
      </c>
    </row>
    <row r="1695" spans="1:5" x14ac:dyDescent="0.3">
      <c r="A1695" s="8">
        <v>58</v>
      </c>
      <c r="B1695" s="8">
        <v>41</v>
      </c>
      <c r="C1695" s="8">
        <v>3556</v>
      </c>
      <c r="D1695" s="16">
        <v>-4.1709179999999998E-2</v>
      </c>
      <c r="E1695">
        <v>-2.0854589999999999E-2</v>
      </c>
    </row>
    <row r="1696" spans="1:5" x14ac:dyDescent="0.3">
      <c r="A1696" s="8">
        <v>58</v>
      </c>
      <c r="B1696" s="8">
        <v>42</v>
      </c>
      <c r="C1696" s="8">
        <v>3591</v>
      </c>
      <c r="D1696" s="16">
        <v>-1.119121E-2</v>
      </c>
      <c r="E1696">
        <v>-5.595605E-3</v>
      </c>
    </row>
    <row r="1697" spans="1:5" x14ac:dyDescent="0.3">
      <c r="A1697" s="8">
        <v>58</v>
      </c>
      <c r="B1697" s="8">
        <v>43</v>
      </c>
      <c r="C1697" s="8">
        <v>3561</v>
      </c>
      <c r="D1697" s="16">
        <v>-1.124674E-2</v>
      </c>
      <c r="E1697">
        <v>-5.6233699999999999E-3</v>
      </c>
    </row>
    <row r="1698" spans="1:5" x14ac:dyDescent="0.3">
      <c r="A1698" s="8">
        <v>58</v>
      </c>
      <c r="B1698" s="8">
        <v>44</v>
      </c>
      <c r="C1698" s="8">
        <v>3560</v>
      </c>
      <c r="D1698" s="16">
        <v>-1.433504E-2</v>
      </c>
      <c r="E1698">
        <v>-7.1675200000000001E-3</v>
      </c>
    </row>
    <row r="1699" spans="1:5" x14ac:dyDescent="0.3">
      <c r="A1699" s="8">
        <v>58</v>
      </c>
      <c r="B1699" s="8">
        <v>45</v>
      </c>
      <c r="C1699" s="8">
        <v>3597</v>
      </c>
      <c r="D1699" s="16">
        <v>-1.18809E-2</v>
      </c>
      <c r="E1699">
        <v>-5.9404499999999999E-3</v>
      </c>
    </row>
    <row r="1700" spans="1:5" x14ac:dyDescent="0.3">
      <c r="A1700" s="8">
        <v>58</v>
      </c>
      <c r="B1700" s="8">
        <v>46</v>
      </c>
      <c r="C1700" s="8">
        <v>3587</v>
      </c>
      <c r="D1700" s="16">
        <v>-6.6128420000000001E-4</v>
      </c>
      <c r="E1700">
        <v>-3.306421E-4</v>
      </c>
    </row>
    <row r="1701" spans="1:5" x14ac:dyDescent="0.3">
      <c r="A1701" s="8">
        <v>58</v>
      </c>
      <c r="B1701" s="8">
        <v>47</v>
      </c>
      <c r="C1701" s="8">
        <v>3604</v>
      </c>
      <c r="D1701" s="16">
        <v>-8.0963110000000001E-3</v>
      </c>
      <c r="E1701">
        <v>-4.0481555000000001E-3</v>
      </c>
    </row>
    <row r="1702" spans="1:5" x14ac:dyDescent="0.3">
      <c r="A1702" s="8">
        <v>58</v>
      </c>
      <c r="B1702" s="8">
        <v>48</v>
      </c>
      <c r="C1702" s="8">
        <v>3575</v>
      </c>
      <c r="D1702" s="16">
        <v>1.691558E-2</v>
      </c>
      <c r="E1702">
        <v>8.4577899999999998E-3</v>
      </c>
    </row>
    <row r="1703" spans="1:5" x14ac:dyDescent="0.3">
      <c r="A1703" s="8">
        <v>58</v>
      </c>
      <c r="B1703" s="8">
        <v>49</v>
      </c>
      <c r="C1703" s="8">
        <v>3588</v>
      </c>
      <c r="D1703" s="16">
        <v>-2.5349050000000001E-2</v>
      </c>
      <c r="E1703">
        <v>-1.2674525000000001E-2</v>
      </c>
    </row>
    <row r="1704" spans="1:5" x14ac:dyDescent="0.3">
      <c r="A1704" s="8">
        <v>58</v>
      </c>
      <c r="B1704" s="8">
        <v>50</v>
      </c>
      <c r="C1704" s="8">
        <v>3603</v>
      </c>
      <c r="D1704" s="16">
        <v>2.9871470000000001E-2</v>
      </c>
      <c r="E1704">
        <v>1.4935735E-2</v>
      </c>
    </row>
    <row r="1705" spans="1:5" x14ac:dyDescent="0.3">
      <c r="A1705" s="8">
        <v>58</v>
      </c>
      <c r="B1705" s="8">
        <v>51</v>
      </c>
      <c r="C1705" s="8">
        <v>3563</v>
      </c>
      <c r="D1705" s="16">
        <v>5.509931E-3</v>
      </c>
      <c r="E1705">
        <v>2.7549655E-3</v>
      </c>
    </row>
    <row r="1706" spans="1:5" x14ac:dyDescent="0.3">
      <c r="A1706" s="8">
        <v>58</v>
      </c>
      <c r="B1706" s="8">
        <v>52</v>
      </c>
      <c r="C1706" s="8">
        <v>3570</v>
      </c>
      <c r="D1706" s="16">
        <v>-6.1118770000000003E-2</v>
      </c>
      <c r="E1706">
        <v>-3.0559385000000001E-2</v>
      </c>
    </row>
    <row r="1707" spans="1:5" x14ac:dyDescent="0.3">
      <c r="A1707" s="8">
        <v>58</v>
      </c>
      <c r="B1707" s="8">
        <v>53</v>
      </c>
      <c r="C1707" s="8">
        <v>3587</v>
      </c>
      <c r="D1707" s="16">
        <v>-2.8352760000000001E-2</v>
      </c>
      <c r="E1707">
        <v>-1.4176380000000001E-2</v>
      </c>
    </row>
    <row r="1708" spans="1:5" x14ac:dyDescent="0.3">
      <c r="A1708" s="8">
        <v>58</v>
      </c>
      <c r="B1708" s="8">
        <v>54</v>
      </c>
      <c r="C1708" s="8">
        <v>3576</v>
      </c>
      <c r="D1708" s="16">
        <v>-2.689981E-2</v>
      </c>
      <c r="E1708">
        <v>-1.3449905E-2</v>
      </c>
    </row>
    <row r="1709" spans="1:5" x14ac:dyDescent="0.3">
      <c r="A1709" s="8">
        <v>58</v>
      </c>
      <c r="B1709" s="8">
        <v>55</v>
      </c>
      <c r="C1709" s="8">
        <v>3588</v>
      </c>
      <c r="D1709" s="16">
        <v>5.3087830000000001E-3</v>
      </c>
      <c r="E1709">
        <v>2.6543915E-3</v>
      </c>
    </row>
    <row r="1710" spans="1:5" x14ac:dyDescent="0.3">
      <c r="A1710" s="8">
        <v>58</v>
      </c>
      <c r="B1710" s="8">
        <v>56</v>
      </c>
      <c r="C1710" s="8">
        <v>3601</v>
      </c>
      <c r="D1710" s="16">
        <v>1.127004E-2</v>
      </c>
      <c r="E1710">
        <v>5.6350200000000001E-3</v>
      </c>
    </row>
    <row r="1711" spans="1:5" x14ac:dyDescent="0.3">
      <c r="A1711" s="8">
        <v>58</v>
      </c>
      <c r="B1711" s="8">
        <v>57</v>
      </c>
      <c r="C1711" s="8">
        <v>3609</v>
      </c>
      <c r="D1711" s="16">
        <v>-5.2145710000000003E-3</v>
      </c>
      <c r="E1711">
        <v>-2.6072855000000002E-3</v>
      </c>
    </row>
    <row r="1712" spans="1:5" x14ac:dyDescent="0.3">
      <c r="A1712" s="8">
        <v>58</v>
      </c>
      <c r="B1712" s="8">
        <v>58</v>
      </c>
      <c r="C1712" s="8">
        <v>3872</v>
      </c>
      <c r="D1712" s="16">
        <v>1.030411</v>
      </c>
      <c r="E1712"/>
    </row>
    <row r="1713" spans="1:5" x14ac:dyDescent="0.3">
      <c r="A1713" s="8">
        <v>59</v>
      </c>
      <c r="B1713" s="8">
        <v>1</v>
      </c>
      <c r="C1713" s="8">
        <v>3635</v>
      </c>
      <c r="D1713" s="16">
        <v>1.9812429999999999E-2</v>
      </c>
      <c r="E1713">
        <v>9.9062149999999995E-3</v>
      </c>
    </row>
    <row r="1714" spans="1:5" x14ac:dyDescent="0.3">
      <c r="A1714" s="8">
        <v>59</v>
      </c>
      <c r="B1714" s="8">
        <v>2</v>
      </c>
      <c r="C1714" s="8">
        <v>3623</v>
      </c>
      <c r="D1714" s="16">
        <v>-2.5633960000000001E-2</v>
      </c>
      <c r="E1714">
        <v>-1.281698E-2</v>
      </c>
    </row>
    <row r="1715" spans="1:5" x14ac:dyDescent="0.3">
      <c r="A1715" s="8">
        <v>59</v>
      </c>
      <c r="B1715" s="8">
        <v>3</v>
      </c>
      <c r="C1715" s="8">
        <v>3628</v>
      </c>
      <c r="D1715" s="16">
        <v>-2.8540760000000001E-3</v>
      </c>
      <c r="E1715">
        <v>-1.427038E-3</v>
      </c>
    </row>
    <row r="1716" spans="1:5" x14ac:dyDescent="0.3">
      <c r="A1716" s="8">
        <v>59</v>
      </c>
      <c r="B1716" s="8">
        <v>4</v>
      </c>
      <c r="C1716" s="8">
        <v>3599</v>
      </c>
      <c r="D1716" s="16">
        <v>-2.784992E-2</v>
      </c>
      <c r="E1716">
        <v>-1.392496E-2</v>
      </c>
    </row>
    <row r="1717" spans="1:5" x14ac:dyDescent="0.3">
      <c r="A1717" s="8">
        <v>59</v>
      </c>
      <c r="B1717" s="8">
        <v>5</v>
      </c>
      <c r="C1717" s="8">
        <v>3622</v>
      </c>
      <c r="D1717" s="16">
        <v>1.626203E-2</v>
      </c>
      <c r="E1717">
        <v>8.1310150000000001E-3</v>
      </c>
    </row>
    <row r="1718" spans="1:5" x14ac:dyDescent="0.3">
      <c r="A1718" s="8">
        <v>59</v>
      </c>
      <c r="B1718" s="8">
        <v>6</v>
      </c>
      <c r="C1718" s="8">
        <v>3623</v>
      </c>
      <c r="D1718" s="16">
        <v>3.506919E-2</v>
      </c>
      <c r="E1718">
        <v>1.7534595E-2</v>
      </c>
    </row>
    <row r="1719" spans="1:5" x14ac:dyDescent="0.3">
      <c r="A1719" s="8">
        <v>59</v>
      </c>
      <c r="B1719" s="8">
        <v>7</v>
      </c>
      <c r="C1719" s="8">
        <v>3597</v>
      </c>
      <c r="D1719" s="16">
        <v>-4.8428300000000001E-2</v>
      </c>
      <c r="E1719">
        <v>-2.421415E-2</v>
      </c>
    </row>
    <row r="1720" spans="1:5" x14ac:dyDescent="0.3">
      <c r="A1720" s="8">
        <v>59</v>
      </c>
      <c r="B1720" s="8">
        <v>8</v>
      </c>
      <c r="C1720" s="8">
        <v>3620</v>
      </c>
      <c r="D1720" s="16">
        <v>-6.2157200000000003E-2</v>
      </c>
      <c r="E1720">
        <v>-3.1078600000000001E-2</v>
      </c>
    </row>
    <row r="1721" spans="1:5" x14ac:dyDescent="0.3">
      <c r="A1721" s="8">
        <v>59</v>
      </c>
      <c r="B1721" s="8">
        <v>9</v>
      </c>
      <c r="C1721" s="8">
        <v>3634</v>
      </c>
      <c r="D1721" s="16">
        <v>1.6749900000000002E-2</v>
      </c>
      <c r="E1721">
        <v>8.3749500000000008E-3</v>
      </c>
    </row>
    <row r="1722" spans="1:5" x14ac:dyDescent="0.3">
      <c r="A1722" s="8">
        <v>59</v>
      </c>
      <c r="B1722" s="8">
        <v>10</v>
      </c>
      <c r="C1722" s="8">
        <v>3620</v>
      </c>
      <c r="D1722" s="16">
        <v>5.6692289999999999E-2</v>
      </c>
      <c r="E1722">
        <v>2.8346145E-2</v>
      </c>
    </row>
    <row r="1723" spans="1:5" x14ac:dyDescent="0.3">
      <c r="A1723" s="8">
        <v>59</v>
      </c>
      <c r="B1723" s="8">
        <v>11</v>
      </c>
      <c r="C1723" s="8">
        <v>3626</v>
      </c>
      <c r="D1723" s="16">
        <v>-4.6662259999999997E-2</v>
      </c>
      <c r="E1723">
        <v>-2.3331129999999999E-2</v>
      </c>
    </row>
    <row r="1724" spans="1:5" x14ac:dyDescent="0.3">
      <c r="A1724" s="8">
        <v>59</v>
      </c>
      <c r="B1724" s="8">
        <v>12</v>
      </c>
      <c r="C1724" s="8">
        <v>3637</v>
      </c>
      <c r="D1724" s="16">
        <v>-8.7078520000000003E-3</v>
      </c>
      <c r="E1724">
        <v>-4.3539260000000002E-3</v>
      </c>
    </row>
    <row r="1725" spans="1:5" x14ac:dyDescent="0.3">
      <c r="A1725" s="8">
        <v>59</v>
      </c>
      <c r="B1725" s="8">
        <v>13</v>
      </c>
      <c r="C1725" s="8">
        <v>3627</v>
      </c>
      <c r="D1725" s="16">
        <v>6.9565629999999998E-3</v>
      </c>
      <c r="E1725">
        <v>3.4782814999999999E-3</v>
      </c>
    </row>
    <row r="1726" spans="1:5" x14ac:dyDescent="0.3">
      <c r="A1726" s="8">
        <v>59</v>
      </c>
      <c r="B1726" s="8">
        <v>14</v>
      </c>
      <c r="C1726" s="8">
        <v>3604</v>
      </c>
      <c r="D1726" s="16">
        <v>-2.204859E-2</v>
      </c>
      <c r="E1726">
        <v>-1.1024295E-2</v>
      </c>
    </row>
    <row r="1727" spans="1:5" x14ac:dyDescent="0.3">
      <c r="A1727" s="8">
        <v>59</v>
      </c>
      <c r="B1727" s="8">
        <v>15</v>
      </c>
      <c r="C1727" s="8">
        <v>3641</v>
      </c>
      <c r="D1727" s="16">
        <v>-1.409563E-2</v>
      </c>
      <c r="E1727">
        <v>-7.0478149999999998E-3</v>
      </c>
    </row>
    <row r="1728" spans="1:5" x14ac:dyDescent="0.3">
      <c r="A1728" s="8">
        <v>59</v>
      </c>
      <c r="B1728" s="8">
        <v>16</v>
      </c>
      <c r="C1728" s="8">
        <v>3604</v>
      </c>
      <c r="D1728" s="16">
        <v>-3.1625830000000001E-2</v>
      </c>
      <c r="E1728">
        <v>-1.5812915E-2</v>
      </c>
    </row>
    <row r="1729" spans="1:5" x14ac:dyDescent="0.3">
      <c r="A1729" s="8">
        <v>59</v>
      </c>
      <c r="B1729" s="8">
        <v>17</v>
      </c>
      <c r="C1729" s="8">
        <v>3619</v>
      </c>
      <c r="D1729" s="16">
        <v>-7.4143539999999994E-2</v>
      </c>
      <c r="E1729">
        <v>-3.7071769999999997E-2</v>
      </c>
    </row>
    <row r="1730" spans="1:5" x14ac:dyDescent="0.3">
      <c r="A1730" s="8">
        <v>59</v>
      </c>
      <c r="B1730" s="8">
        <v>18</v>
      </c>
      <c r="C1730" s="8">
        <v>3626</v>
      </c>
      <c r="D1730" s="16">
        <v>-1.0739600000000001E-3</v>
      </c>
      <c r="E1730">
        <v>-5.3698000000000005E-4</v>
      </c>
    </row>
    <row r="1731" spans="1:5" x14ac:dyDescent="0.3">
      <c r="A1731" s="8">
        <v>59</v>
      </c>
      <c r="B1731" s="8">
        <v>19</v>
      </c>
      <c r="C1731" s="8">
        <v>3592</v>
      </c>
      <c r="D1731" s="16">
        <v>-5.1351800000000003E-2</v>
      </c>
      <c r="E1731">
        <v>-2.5675900000000001E-2</v>
      </c>
    </row>
    <row r="1732" spans="1:5" x14ac:dyDescent="0.3">
      <c r="A1732" s="8">
        <v>59</v>
      </c>
      <c r="B1732" s="8">
        <v>20</v>
      </c>
      <c r="C1732" s="8">
        <v>3600</v>
      </c>
      <c r="D1732" s="16">
        <v>-1.004028E-2</v>
      </c>
      <c r="E1732">
        <v>-5.0201400000000002E-3</v>
      </c>
    </row>
    <row r="1733" spans="1:5" x14ac:dyDescent="0.3">
      <c r="A1733" s="8">
        <v>59</v>
      </c>
      <c r="B1733" s="8">
        <v>21</v>
      </c>
      <c r="C1733" s="8">
        <v>3655</v>
      </c>
      <c r="D1733" s="16">
        <v>-3.8939920000000003E-2</v>
      </c>
      <c r="E1733">
        <v>-1.9469960000000001E-2</v>
      </c>
    </row>
    <row r="1734" spans="1:5" x14ac:dyDescent="0.3">
      <c r="A1734" s="8">
        <v>59</v>
      </c>
      <c r="B1734" s="8">
        <v>22</v>
      </c>
      <c r="C1734" s="8">
        <v>3608</v>
      </c>
      <c r="D1734" s="16">
        <v>-2.924262E-2</v>
      </c>
      <c r="E1734">
        <v>-1.462131E-2</v>
      </c>
    </row>
    <row r="1735" spans="1:5" x14ac:dyDescent="0.3">
      <c r="A1735" s="8">
        <v>59</v>
      </c>
      <c r="B1735" s="8">
        <v>23</v>
      </c>
      <c r="C1735" s="8">
        <v>3616</v>
      </c>
      <c r="D1735" s="16">
        <v>-5.1676729999999997E-2</v>
      </c>
      <c r="E1735">
        <v>-2.5838364999999999E-2</v>
      </c>
    </row>
    <row r="1736" spans="1:5" x14ac:dyDescent="0.3">
      <c r="A1736" s="8">
        <v>59</v>
      </c>
      <c r="B1736" s="8">
        <v>24</v>
      </c>
      <c r="C1736" s="8">
        <v>3631</v>
      </c>
      <c r="D1736" s="16">
        <v>-5.4670209999999997E-2</v>
      </c>
      <c r="E1736">
        <v>-2.7335104999999998E-2</v>
      </c>
    </row>
    <row r="1737" spans="1:5" x14ac:dyDescent="0.3">
      <c r="A1737" s="8">
        <v>59</v>
      </c>
      <c r="B1737" s="8">
        <v>25</v>
      </c>
      <c r="C1737" s="8">
        <v>3597</v>
      </c>
      <c r="D1737" s="16">
        <v>-1.339896E-2</v>
      </c>
      <c r="E1737">
        <v>-6.6994799999999998E-3</v>
      </c>
    </row>
    <row r="1738" spans="1:5" x14ac:dyDescent="0.3">
      <c r="A1738" s="8">
        <v>59</v>
      </c>
      <c r="B1738" s="8">
        <v>26</v>
      </c>
      <c r="C1738" s="8">
        <v>3645</v>
      </c>
      <c r="D1738" s="16">
        <v>4.2604080000000003E-3</v>
      </c>
      <c r="E1738">
        <v>2.1302040000000001E-3</v>
      </c>
    </row>
    <row r="1739" spans="1:5" x14ac:dyDescent="0.3">
      <c r="A1739" s="8">
        <v>59</v>
      </c>
      <c r="B1739" s="8">
        <v>27</v>
      </c>
      <c r="C1739" s="8">
        <v>3599</v>
      </c>
      <c r="D1739" s="16">
        <v>-2.6180729999999999E-2</v>
      </c>
      <c r="E1739">
        <v>-1.3090365E-2</v>
      </c>
    </row>
    <row r="1740" spans="1:5" x14ac:dyDescent="0.3">
      <c r="A1740" s="8">
        <v>59</v>
      </c>
      <c r="B1740" s="8">
        <v>28</v>
      </c>
      <c r="C1740" s="8">
        <v>3570</v>
      </c>
      <c r="D1740" s="16">
        <v>2.784172E-2</v>
      </c>
      <c r="E1740">
        <v>1.392086E-2</v>
      </c>
    </row>
    <row r="1741" spans="1:5" x14ac:dyDescent="0.3">
      <c r="A1741" s="8">
        <v>59</v>
      </c>
      <c r="B1741" s="8">
        <v>29</v>
      </c>
      <c r="C1741" s="8">
        <v>3592</v>
      </c>
      <c r="D1741" s="16">
        <v>9.3783579999999998E-3</v>
      </c>
      <c r="E1741">
        <v>4.6891789999999999E-3</v>
      </c>
    </row>
    <row r="1742" spans="1:5" x14ac:dyDescent="0.3">
      <c r="A1742" s="8">
        <v>59</v>
      </c>
      <c r="B1742" s="8">
        <v>30</v>
      </c>
      <c r="C1742" s="8">
        <v>3594</v>
      </c>
      <c r="D1742" s="16">
        <v>-2.772055E-2</v>
      </c>
      <c r="E1742">
        <v>-1.3860275E-2</v>
      </c>
    </row>
    <row r="1743" spans="1:5" x14ac:dyDescent="0.3">
      <c r="A1743" s="8">
        <v>59</v>
      </c>
      <c r="B1743" s="8">
        <v>31</v>
      </c>
      <c r="C1743" s="8">
        <v>3519</v>
      </c>
      <c r="D1743" s="16">
        <v>-3.043293E-2</v>
      </c>
      <c r="E1743">
        <v>-1.5216465E-2</v>
      </c>
    </row>
    <row r="1744" spans="1:5" x14ac:dyDescent="0.3">
      <c r="A1744" s="8">
        <v>59</v>
      </c>
      <c r="B1744" s="8">
        <v>32</v>
      </c>
      <c r="C1744" s="8">
        <v>3584</v>
      </c>
      <c r="D1744" s="16">
        <v>1.9943900000000001E-2</v>
      </c>
      <c r="E1744">
        <v>9.9719500000000003E-3</v>
      </c>
    </row>
    <row r="1745" spans="1:5" x14ac:dyDescent="0.3">
      <c r="A1745" s="8">
        <v>59</v>
      </c>
      <c r="B1745" s="8">
        <v>33</v>
      </c>
      <c r="C1745" s="8">
        <v>3632</v>
      </c>
      <c r="D1745" s="16">
        <v>-7.7153819999999998E-3</v>
      </c>
      <c r="E1745">
        <v>-3.8576909999999999E-3</v>
      </c>
    </row>
    <row r="1746" spans="1:5" x14ac:dyDescent="0.3">
      <c r="A1746" s="8">
        <v>59</v>
      </c>
      <c r="B1746" s="8">
        <v>34</v>
      </c>
      <c r="C1746" s="8">
        <v>3634</v>
      </c>
      <c r="D1746" s="16">
        <v>-1.397149E-2</v>
      </c>
      <c r="E1746">
        <v>-6.9857449999999998E-3</v>
      </c>
    </row>
    <row r="1747" spans="1:5" x14ac:dyDescent="0.3">
      <c r="A1747" s="8">
        <v>59</v>
      </c>
      <c r="B1747" s="8">
        <v>35</v>
      </c>
      <c r="C1747" s="8">
        <v>3616</v>
      </c>
      <c r="D1747" s="16">
        <v>4.2250099999999999E-2</v>
      </c>
      <c r="E1747">
        <v>2.1125049999999999E-2</v>
      </c>
    </row>
    <row r="1748" spans="1:5" x14ac:dyDescent="0.3">
      <c r="A1748" s="8">
        <v>59</v>
      </c>
      <c r="B1748" s="8">
        <v>36</v>
      </c>
      <c r="C1748" s="8">
        <v>3603</v>
      </c>
      <c r="D1748" s="16">
        <v>-2.6149220000000001E-2</v>
      </c>
      <c r="E1748">
        <v>-1.307461E-2</v>
      </c>
    </row>
    <row r="1749" spans="1:5" x14ac:dyDescent="0.3">
      <c r="A1749" s="8">
        <v>59</v>
      </c>
      <c r="B1749" s="8">
        <v>37</v>
      </c>
      <c r="C1749" s="8">
        <v>3581</v>
      </c>
      <c r="D1749" s="16">
        <v>-3.9347280000000002E-3</v>
      </c>
      <c r="E1749">
        <v>-1.9673640000000001E-3</v>
      </c>
    </row>
    <row r="1750" spans="1:5" x14ac:dyDescent="0.3">
      <c r="A1750" s="8">
        <v>59</v>
      </c>
      <c r="B1750" s="8">
        <v>38</v>
      </c>
      <c r="C1750" s="8">
        <v>3641</v>
      </c>
      <c r="D1750" s="16">
        <v>5.1102349999999998E-2</v>
      </c>
      <c r="E1750">
        <v>2.5551174999999999E-2</v>
      </c>
    </row>
    <row r="1751" spans="1:5" x14ac:dyDescent="0.3">
      <c r="A1751" s="8">
        <v>59</v>
      </c>
      <c r="B1751" s="8">
        <v>39</v>
      </c>
      <c r="C1751" s="8">
        <v>3620</v>
      </c>
      <c r="D1751" s="16">
        <v>-1.289705E-2</v>
      </c>
      <c r="E1751">
        <v>-6.4485250000000001E-3</v>
      </c>
    </row>
    <row r="1752" spans="1:5" x14ac:dyDescent="0.3">
      <c r="A1752" s="8">
        <v>59</v>
      </c>
      <c r="B1752" s="8">
        <v>40</v>
      </c>
      <c r="C1752" s="8">
        <v>3637</v>
      </c>
      <c r="D1752" s="16">
        <v>6.3793239999999996E-3</v>
      </c>
      <c r="E1752">
        <v>3.1896619999999998E-3</v>
      </c>
    </row>
    <row r="1753" spans="1:5" x14ac:dyDescent="0.3">
      <c r="A1753" s="8">
        <v>59</v>
      </c>
      <c r="B1753" s="8">
        <v>41</v>
      </c>
      <c r="C1753" s="8">
        <v>3586</v>
      </c>
      <c r="D1753" s="16">
        <v>-5.6711790000000002E-3</v>
      </c>
      <c r="E1753">
        <v>-2.8355895000000001E-3</v>
      </c>
    </row>
    <row r="1754" spans="1:5" x14ac:dyDescent="0.3">
      <c r="A1754" s="8">
        <v>59</v>
      </c>
      <c r="B1754" s="8">
        <v>42</v>
      </c>
      <c r="C1754" s="8">
        <v>3614</v>
      </c>
      <c r="D1754" s="16">
        <v>-1.7210249999999999E-3</v>
      </c>
      <c r="E1754">
        <v>-8.6051249999999997E-4</v>
      </c>
    </row>
    <row r="1755" spans="1:5" x14ac:dyDescent="0.3">
      <c r="A1755" s="8">
        <v>59</v>
      </c>
      <c r="B1755" s="8">
        <v>43</v>
      </c>
      <c r="C1755" s="8">
        <v>3587</v>
      </c>
      <c r="D1755" s="16">
        <v>-4.5778779999999998E-2</v>
      </c>
      <c r="E1755">
        <v>-2.2889389999999999E-2</v>
      </c>
    </row>
    <row r="1756" spans="1:5" x14ac:dyDescent="0.3">
      <c r="A1756" s="8">
        <v>59</v>
      </c>
      <c r="B1756" s="8">
        <v>44</v>
      </c>
      <c r="C1756" s="8">
        <v>3568</v>
      </c>
      <c r="D1756" s="16">
        <v>-9.6754930000000003E-3</v>
      </c>
      <c r="E1756">
        <v>-4.8377465000000001E-3</v>
      </c>
    </row>
    <row r="1757" spans="1:5" x14ac:dyDescent="0.3">
      <c r="A1757" s="8">
        <v>59</v>
      </c>
      <c r="B1757" s="8">
        <v>45</v>
      </c>
      <c r="C1757" s="8">
        <v>3627</v>
      </c>
      <c r="D1757" s="16">
        <v>8.0560010000000001E-3</v>
      </c>
      <c r="E1757">
        <v>4.0280005000000001E-3</v>
      </c>
    </row>
    <row r="1758" spans="1:5" x14ac:dyDescent="0.3">
      <c r="A1758" s="8">
        <v>59</v>
      </c>
      <c r="B1758" s="8">
        <v>46</v>
      </c>
      <c r="C1758" s="8">
        <v>3613</v>
      </c>
      <c r="D1758" s="16">
        <v>-5.4360540000000001E-3</v>
      </c>
      <c r="E1758">
        <v>-2.718027E-3</v>
      </c>
    </row>
    <row r="1759" spans="1:5" x14ac:dyDescent="0.3">
      <c r="A1759" s="8">
        <v>59</v>
      </c>
      <c r="B1759" s="8">
        <v>47</v>
      </c>
      <c r="C1759" s="8">
        <v>3633</v>
      </c>
      <c r="D1759" s="16">
        <v>-4.5610530000000003E-2</v>
      </c>
      <c r="E1759">
        <v>-2.2805265000000002E-2</v>
      </c>
    </row>
    <row r="1760" spans="1:5" x14ac:dyDescent="0.3">
      <c r="A1760" s="8">
        <v>59</v>
      </c>
      <c r="B1760" s="8">
        <v>48</v>
      </c>
      <c r="C1760" s="8">
        <v>3593</v>
      </c>
      <c r="D1760" s="16">
        <v>-2.017532E-2</v>
      </c>
      <c r="E1760">
        <v>-1.008766E-2</v>
      </c>
    </row>
    <row r="1761" spans="1:5" x14ac:dyDescent="0.3">
      <c r="A1761" s="8">
        <v>59</v>
      </c>
      <c r="B1761" s="8">
        <v>49</v>
      </c>
      <c r="C1761" s="8">
        <v>3616</v>
      </c>
      <c r="D1761" s="16">
        <v>-4.1265789999999997E-2</v>
      </c>
      <c r="E1761">
        <v>-2.0632894999999998E-2</v>
      </c>
    </row>
    <row r="1762" spans="1:5" x14ac:dyDescent="0.3">
      <c r="A1762" s="8">
        <v>59</v>
      </c>
      <c r="B1762" s="8">
        <v>50</v>
      </c>
      <c r="C1762" s="8">
        <v>3641</v>
      </c>
      <c r="D1762" s="16">
        <v>1.921132E-2</v>
      </c>
      <c r="E1762">
        <v>9.6056600000000002E-3</v>
      </c>
    </row>
    <row r="1763" spans="1:5" x14ac:dyDescent="0.3">
      <c r="A1763" s="8">
        <v>59</v>
      </c>
      <c r="B1763" s="8">
        <v>51</v>
      </c>
      <c r="C1763" s="8">
        <v>3596</v>
      </c>
      <c r="D1763" s="16">
        <v>-5.4609459999999999E-2</v>
      </c>
      <c r="E1763">
        <v>-2.7304729999999999E-2</v>
      </c>
    </row>
    <row r="1764" spans="1:5" x14ac:dyDescent="0.3">
      <c r="A1764" s="8">
        <v>59</v>
      </c>
      <c r="B1764" s="8">
        <v>52</v>
      </c>
      <c r="C1764" s="8">
        <v>3602</v>
      </c>
      <c r="D1764" s="16">
        <v>-5.0295220000000002E-2</v>
      </c>
      <c r="E1764">
        <v>-2.5147610000000001E-2</v>
      </c>
    </row>
    <row r="1765" spans="1:5" x14ac:dyDescent="0.3">
      <c r="A1765" s="8">
        <v>59</v>
      </c>
      <c r="B1765" s="8">
        <v>53</v>
      </c>
      <c r="C1765" s="8">
        <v>3614</v>
      </c>
      <c r="D1765" s="16">
        <v>2.3652349999999998E-3</v>
      </c>
      <c r="E1765">
        <v>1.1826174999999999E-3</v>
      </c>
    </row>
    <row r="1766" spans="1:5" x14ac:dyDescent="0.3">
      <c r="A1766" s="8">
        <v>59</v>
      </c>
      <c r="B1766" s="8">
        <v>54</v>
      </c>
      <c r="C1766" s="8">
        <v>3592</v>
      </c>
      <c r="D1766" s="16">
        <v>-2.04288E-2</v>
      </c>
      <c r="E1766">
        <v>-1.02144E-2</v>
      </c>
    </row>
    <row r="1767" spans="1:5" x14ac:dyDescent="0.3">
      <c r="A1767" s="8">
        <v>59</v>
      </c>
      <c r="B1767" s="8">
        <v>55</v>
      </c>
      <c r="C1767" s="8">
        <v>3616</v>
      </c>
      <c r="D1767" s="16">
        <v>-2.7998039999999998E-2</v>
      </c>
      <c r="E1767">
        <v>-1.3999019999999999E-2</v>
      </c>
    </row>
    <row r="1768" spans="1:5" x14ac:dyDescent="0.3">
      <c r="A1768" s="8">
        <v>59</v>
      </c>
      <c r="B1768" s="8">
        <v>56</v>
      </c>
      <c r="C1768" s="8">
        <v>3638</v>
      </c>
      <c r="D1768" s="16">
        <v>3.1949709999999999E-2</v>
      </c>
      <c r="E1768">
        <v>1.5974855E-2</v>
      </c>
    </row>
    <row r="1769" spans="1:5" x14ac:dyDescent="0.3">
      <c r="A1769" s="8">
        <v>59</v>
      </c>
      <c r="B1769" s="8">
        <v>57</v>
      </c>
      <c r="C1769" s="8">
        <v>3631</v>
      </c>
      <c r="D1769" s="16">
        <v>-7.7562619999999999E-2</v>
      </c>
      <c r="E1769">
        <v>-3.8781309999999999E-2</v>
      </c>
    </row>
    <row r="1770" spans="1:5" x14ac:dyDescent="0.3">
      <c r="A1770" s="8">
        <v>59</v>
      </c>
      <c r="B1770" s="8">
        <v>58</v>
      </c>
      <c r="C1770" s="8">
        <v>3602</v>
      </c>
      <c r="D1770" s="16">
        <v>2.5104209999999998E-2</v>
      </c>
      <c r="E1770">
        <v>1.2552104999999999E-2</v>
      </c>
    </row>
    <row r="1771" spans="1:5" x14ac:dyDescent="0.3">
      <c r="A1771" s="8">
        <v>59</v>
      </c>
      <c r="B1771" s="8">
        <v>59</v>
      </c>
      <c r="C1771" s="8">
        <v>3900</v>
      </c>
      <c r="D1771" s="16">
        <v>1.0556190000000001</v>
      </c>
      <c r="E1771"/>
    </row>
    <row r="1772" spans="1:5" x14ac:dyDescent="0.3">
      <c r="A1772" s="8">
        <v>60</v>
      </c>
      <c r="B1772" s="8">
        <v>1</v>
      </c>
      <c r="C1772" s="8">
        <v>3623</v>
      </c>
      <c r="D1772" s="16">
        <v>-3.5134409999999998E-2</v>
      </c>
      <c r="E1772">
        <v>-1.7567204999999999E-2</v>
      </c>
    </row>
    <row r="1773" spans="1:5" x14ac:dyDescent="0.3">
      <c r="A1773" s="8">
        <v>60</v>
      </c>
      <c r="B1773" s="8">
        <v>2</v>
      </c>
      <c r="C1773" s="8">
        <v>3605</v>
      </c>
      <c r="D1773" s="16">
        <v>-2.6157329999999999E-3</v>
      </c>
      <c r="E1773">
        <v>-1.3078664999999999E-3</v>
      </c>
    </row>
    <row r="1774" spans="1:5" x14ac:dyDescent="0.3">
      <c r="A1774" s="8">
        <v>60</v>
      </c>
      <c r="B1774" s="8">
        <v>3</v>
      </c>
      <c r="C1774" s="8">
        <v>3620</v>
      </c>
      <c r="D1774" s="16">
        <v>-2.848703E-2</v>
      </c>
      <c r="E1774">
        <v>-1.4243515E-2</v>
      </c>
    </row>
    <row r="1775" spans="1:5" x14ac:dyDescent="0.3">
      <c r="A1775" s="8">
        <v>60</v>
      </c>
      <c r="B1775" s="8">
        <v>4</v>
      </c>
      <c r="C1775" s="8">
        <v>3581</v>
      </c>
      <c r="D1775" s="16">
        <v>4.8449219999999998E-3</v>
      </c>
      <c r="E1775">
        <v>2.4224609999999999E-3</v>
      </c>
    </row>
    <row r="1776" spans="1:5" x14ac:dyDescent="0.3">
      <c r="A1776" s="8">
        <v>60</v>
      </c>
      <c r="B1776" s="8">
        <v>5</v>
      </c>
      <c r="C1776" s="8">
        <v>3602</v>
      </c>
      <c r="D1776" s="16">
        <v>-2.2897750000000001E-2</v>
      </c>
      <c r="E1776">
        <v>-1.1448875000000001E-2</v>
      </c>
    </row>
    <row r="1777" spans="1:5" x14ac:dyDescent="0.3">
      <c r="A1777" s="8">
        <v>60</v>
      </c>
      <c r="B1777" s="8">
        <v>6</v>
      </c>
      <c r="C1777" s="8">
        <v>3597</v>
      </c>
      <c r="D1777" s="16">
        <v>-4.1003230000000002E-2</v>
      </c>
      <c r="E1777">
        <v>-2.0501615000000001E-2</v>
      </c>
    </row>
    <row r="1778" spans="1:5" x14ac:dyDescent="0.3">
      <c r="A1778" s="8">
        <v>60</v>
      </c>
      <c r="B1778" s="8">
        <v>7</v>
      </c>
      <c r="C1778" s="8">
        <v>3562</v>
      </c>
      <c r="D1778" s="16">
        <v>-2.6088700000000001E-3</v>
      </c>
      <c r="E1778">
        <v>-1.3044350000000001E-3</v>
      </c>
    </row>
    <row r="1779" spans="1:5" x14ac:dyDescent="0.3">
      <c r="A1779" s="8">
        <v>60</v>
      </c>
      <c r="B1779" s="8">
        <v>8</v>
      </c>
      <c r="C1779" s="8">
        <v>3605</v>
      </c>
      <c r="D1779" s="16">
        <v>1.350031E-2</v>
      </c>
      <c r="E1779">
        <v>6.7501549999999999E-3</v>
      </c>
    </row>
    <row r="1780" spans="1:5" x14ac:dyDescent="0.3">
      <c r="A1780" s="8">
        <v>60</v>
      </c>
      <c r="B1780" s="8">
        <v>9</v>
      </c>
      <c r="C1780" s="8">
        <v>3600</v>
      </c>
      <c r="D1780" s="16">
        <v>-6.1786609999999999E-2</v>
      </c>
      <c r="E1780">
        <v>-3.0893304999999999E-2</v>
      </c>
    </row>
    <row r="1781" spans="1:5" x14ac:dyDescent="0.3">
      <c r="A1781" s="8">
        <v>60</v>
      </c>
      <c r="B1781" s="8">
        <v>10</v>
      </c>
      <c r="C1781" s="8">
        <v>3594</v>
      </c>
      <c r="D1781" s="16">
        <v>-1.015129E-2</v>
      </c>
      <c r="E1781">
        <v>-5.0756450000000002E-3</v>
      </c>
    </row>
    <row r="1782" spans="1:5" x14ac:dyDescent="0.3">
      <c r="A1782" s="8">
        <v>60</v>
      </c>
      <c r="B1782" s="8">
        <v>11</v>
      </c>
      <c r="C1782" s="8">
        <v>3606</v>
      </c>
      <c r="D1782" s="16">
        <v>-2.8873369999999999E-2</v>
      </c>
      <c r="E1782">
        <v>-1.4436684999999999E-2</v>
      </c>
    </row>
    <row r="1783" spans="1:5" x14ac:dyDescent="0.3">
      <c r="A1783" s="8">
        <v>60</v>
      </c>
      <c r="B1783" s="8">
        <v>12</v>
      </c>
      <c r="C1783" s="8">
        <v>3597</v>
      </c>
      <c r="D1783" s="16">
        <v>-5.1487640000000001E-2</v>
      </c>
      <c r="E1783">
        <v>-2.5743820000000001E-2</v>
      </c>
    </row>
    <row r="1784" spans="1:5" x14ac:dyDescent="0.3">
      <c r="A1784" s="8">
        <v>60</v>
      </c>
      <c r="B1784" s="8">
        <v>13</v>
      </c>
      <c r="C1784" s="8">
        <v>3605</v>
      </c>
      <c r="D1784" s="16">
        <v>-1.032835E-2</v>
      </c>
      <c r="E1784">
        <v>-5.164175E-3</v>
      </c>
    </row>
    <row r="1785" spans="1:5" x14ac:dyDescent="0.3">
      <c r="A1785" s="8">
        <v>60</v>
      </c>
      <c r="B1785" s="8">
        <v>14</v>
      </c>
      <c r="C1785" s="8">
        <v>3587</v>
      </c>
      <c r="D1785" s="16">
        <v>-3.108785E-2</v>
      </c>
      <c r="E1785">
        <v>-1.5543925E-2</v>
      </c>
    </row>
    <row r="1786" spans="1:5" x14ac:dyDescent="0.3">
      <c r="A1786" s="8">
        <v>60</v>
      </c>
      <c r="B1786" s="8">
        <v>15</v>
      </c>
      <c r="C1786" s="8">
        <v>3617</v>
      </c>
      <c r="D1786" s="16">
        <v>4.7129509999999999E-3</v>
      </c>
      <c r="E1786">
        <v>2.3564755E-3</v>
      </c>
    </row>
    <row r="1787" spans="1:5" x14ac:dyDescent="0.3">
      <c r="A1787" s="8">
        <v>60</v>
      </c>
      <c r="B1787" s="8">
        <v>16</v>
      </c>
      <c r="C1787" s="8">
        <v>3588</v>
      </c>
      <c r="D1787" s="16">
        <v>-2.1855570000000001E-2</v>
      </c>
      <c r="E1787">
        <v>-1.0927785000000001E-2</v>
      </c>
    </row>
    <row r="1788" spans="1:5" x14ac:dyDescent="0.3">
      <c r="A1788" s="8">
        <v>60</v>
      </c>
      <c r="B1788" s="8">
        <v>17</v>
      </c>
      <c r="C1788" s="8">
        <v>3610</v>
      </c>
      <c r="D1788" s="16">
        <v>-2.7468719999999999E-2</v>
      </c>
      <c r="E1788">
        <v>-1.3734359999999999E-2</v>
      </c>
    </row>
    <row r="1789" spans="1:5" x14ac:dyDescent="0.3">
      <c r="A1789" s="8">
        <v>60</v>
      </c>
      <c r="B1789" s="8">
        <v>18</v>
      </c>
      <c r="C1789" s="8">
        <v>3612</v>
      </c>
      <c r="D1789" s="16">
        <v>-3.4668570000000003E-2</v>
      </c>
      <c r="E1789">
        <v>-1.7334285000000001E-2</v>
      </c>
    </row>
    <row r="1790" spans="1:5" x14ac:dyDescent="0.3">
      <c r="A1790" s="8">
        <v>60</v>
      </c>
      <c r="B1790" s="8">
        <v>19</v>
      </c>
      <c r="C1790" s="8">
        <v>3570</v>
      </c>
      <c r="D1790" s="16">
        <v>2.007345E-2</v>
      </c>
      <c r="E1790">
        <v>1.0036725E-2</v>
      </c>
    </row>
    <row r="1791" spans="1:5" x14ac:dyDescent="0.3">
      <c r="A1791" s="8">
        <v>60</v>
      </c>
      <c r="B1791" s="8">
        <v>20</v>
      </c>
      <c r="C1791" s="8">
        <v>3573</v>
      </c>
      <c r="D1791" s="16">
        <v>-3.7900950000000003E-2</v>
      </c>
      <c r="E1791">
        <v>-1.8950475000000001E-2</v>
      </c>
    </row>
    <row r="1792" spans="1:5" x14ac:dyDescent="0.3">
      <c r="A1792" s="8">
        <v>60</v>
      </c>
      <c r="B1792" s="8">
        <v>21</v>
      </c>
      <c r="C1792" s="8">
        <v>3630</v>
      </c>
      <c r="D1792" s="16">
        <v>2.4986259999999999E-3</v>
      </c>
      <c r="E1792">
        <v>1.2493129999999999E-3</v>
      </c>
    </row>
    <row r="1793" spans="1:5" x14ac:dyDescent="0.3">
      <c r="A1793" s="8">
        <v>60</v>
      </c>
      <c r="B1793" s="8">
        <v>22</v>
      </c>
      <c r="C1793" s="8">
        <v>3580</v>
      </c>
      <c r="D1793" s="16">
        <v>-3.5713599999999998E-2</v>
      </c>
      <c r="E1793">
        <v>-1.7856799999999999E-2</v>
      </c>
    </row>
    <row r="1794" spans="1:5" x14ac:dyDescent="0.3">
      <c r="A1794" s="8">
        <v>60</v>
      </c>
      <c r="B1794" s="8">
        <v>23</v>
      </c>
      <c r="C1794" s="8">
        <v>3593</v>
      </c>
      <c r="D1794" s="16">
        <v>-2.4897450000000002E-2</v>
      </c>
      <c r="E1794">
        <v>-1.2448725000000001E-2</v>
      </c>
    </row>
    <row r="1795" spans="1:5" x14ac:dyDescent="0.3">
      <c r="A1795" s="8">
        <v>60</v>
      </c>
      <c r="B1795" s="8">
        <v>24</v>
      </c>
      <c r="C1795" s="8">
        <v>3613</v>
      </c>
      <c r="D1795" s="16">
        <v>-3.5208339999999998E-2</v>
      </c>
      <c r="E1795">
        <v>-1.7604169999999999E-2</v>
      </c>
    </row>
    <row r="1796" spans="1:5" x14ac:dyDescent="0.3">
      <c r="A1796" s="8">
        <v>60</v>
      </c>
      <c r="B1796" s="8">
        <v>25</v>
      </c>
      <c r="C1796" s="8">
        <v>3588</v>
      </c>
      <c r="D1796" s="16">
        <v>7.4909990000000001E-4</v>
      </c>
      <c r="E1796">
        <v>3.7454995000000001E-4</v>
      </c>
    </row>
    <row r="1797" spans="1:5" x14ac:dyDescent="0.3">
      <c r="A1797" s="8">
        <v>60</v>
      </c>
      <c r="B1797" s="8">
        <v>26</v>
      </c>
      <c r="C1797" s="8">
        <v>3624</v>
      </c>
      <c r="D1797" s="16">
        <v>7.3476840000000002E-3</v>
      </c>
      <c r="E1797">
        <v>3.6738420000000001E-3</v>
      </c>
    </row>
    <row r="1798" spans="1:5" x14ac:dyDescent="0.3">
      <c r="A1798" s="8">
        <v>60</v>
      </c>
      <c r="B1798" s="8">
        <v>27</v>
      </c>
      <c r="C1798" s="8">
        <v>3577</v>
      </c>
      <c r="D1798" s="16">
        <v>-4.9513359999999999E-2</v>
      </c>
      <c r="E1798">
        <v>-2.475668E-2</v>
      </c>
    </row>
    <row r="1799" spans="1:5" x14ac:dyDescent="0.3">
      <c r="A1799" s="8">
        <v>60</v>
      </c>
      <c r="B1799" s="8">
        <v>28</v>
      </c>
      <c r="C1799" s="8">
        <v>3543</v>
      </c>
      <c r="D1799" s="16">
        <v>-6.955442E-3</v>
      </c>
      <c r="E1799">
        <v>-3.477721E-3</v>
      </c>
    </row>
    <row r="1800" spans="1:5" x14ac:dyDescent="0.3">
      <c r="A1800" s="8">
        <v>60</v>
      </c>
      <c r="B1800" s="8">
        <v>29</v>
      </c>
      <c r="C1800" s="8">
        <v>3574</v>
      </c>
      <c r="D1800" s="16">
        <v>2.4728520000000002E-3</v>
      </c>
      <c r="E1800">
        <v>1.2364260000000001E-3</v>
      </c>
    </row>
    <row r="1801" spans="1:5" x14ac:dyDescent="0.3">
      <c r="A1801" s="8">
        <v>60</v>
      </c>
      <c r="B1801" s="8">
        <v>30</v>
      </c>
      <c r="C1801" s="8">
        <v>3575</v>
      </c>
      <c r="D1801" s="16">
        <v>1.419778E-2</v>
      </c>
      <c r="E1801">
        <v>7.0988900000000001E-3</v>
      </c>
    </row>
    <row r="1802" spans="1:5" x14ac:dyDescent="0.3">
      <c r="A1802" s="8">
        <v>60</v>
      </c>
      <c r="B1802" s="8">
        <v>31</v>
      </c>
      <c r="C1802" s="8">
        <v>3511</v>
      </c>
      <c r="D1802" s="16">
        <v>-1.778538E-2</v>
      </c>
      <c r="E1802">
        <v>-8.89269E-3</v>
      </c>
    </row>
    <row r="1803" spans="1:5" x14ac:dyDescent="0.3">
      <c r="A1803" s="8">
        <v>60</v>
      </c>
      <c r="B1803" s="8">
        <v>32</v>
      </c>
      <c r="C1803" s="8">
        <v>3565</v>
      </c>
      <c r="D1803" s="16">
        <v>-2.8045399999999999E-3</v>
      </c>
      <c r="E1803">
        <v>-1.4022699999999999E-3</v>
      </c>
    </row>
    <row r="1804" spans="1:5" x14ac:dyDescent="0.3">
      <c r="A1804" s="8">
        <v>60</v>
      </c>
      <c r="B1804" s="8">
        <v>33</v>
      </c>
      <c r="C1804" s="8">
        <v>3616</v>
      </c>
      <c r="D1804" s="16">
        <v>-5.8875289999999999E-3</v>
      </c>
      <c r="E1804">
        <v>-2.9437644999999999E-3</v>
      </c>
    </row>
    <row r="1805" spans="1:5" x14ac:dyDescent="0.3">
      <c r="A1805" s="8">
        <v>60</v>
      </c>
      <c r="B1805" s="8">
        <v>34</v>
      </c>
      <c r="C1805" s="8">
        <v>3605</v>
      </c>
      <c r="D1805" s="16">
        <v>-2.1505099999999999E-2</v>
      </c>
      <c r="E1805">
        <v>-1.075255E-2</v>
      </c>
    </row>
    <row r="1806" spans="1:5" x14ac:dyDescent="0.3">
      <c r="A1806" s="8">
        <v>60</v>
      </c>
      <c r="B1806" s="8">
        <v>35</v>
      </c>
      <c r="C1806" s="8">
        <v>3597</v>
      </c>
      <c r="D1806" s="16">
        <v>-7.4650569999999998E-3</v>
      </c>
      <c r="E1806">
        <v>-3.7325284999999999E-3</v>
      </c>
    </row>
    <row r="1807" spans="1:5" x14ac:dyDescent="0.3">
      <c r="A1807" s="8">
        <v>60</v>
      </c>
      <c r="B1807" s="8">
        <v>36</v>
      </c>
      <c r="C1807" s="8">
        <v>3587</v>
      </c>
      <c r="D1807" s="16">
        <v>3.0483939999999998E-3</v>
      </c>
      <c r="E1807">
        <v>1.5241969999999999E-3</v>
      </c>
    </row>
    <row r="1808" spans="1:5" x14ac:dyDescent="0.3">
      <c r="A1808" s="8">
        <v>60</v>
      </c>
      <c r="B1808" s="8">
        <v>37</v>
      </c>
      <c r="C1808" s="8">
        <v>3571</v>
      </c>
      <c r="D1808" s="16">
        <v>-1.2211959999999999E-2</v>
      </c>
      <c r="E1808">
        <v>-6.1059799999999996E-3</v>
      </c>
    </row>
    <row r="1809" spans="1:5" x14ac:dyDescent="0.3">
      <c r="A1809" s="8">
        <v>60</v>
      </c>
      <c r="B1809" s="8">
        <v>38</v>
      </c>
      <c r="C1809" s="8">
        <v>3626</v>
      </c>
      <c r="D1809" s="16">
        <v>2.181257E-2</v>
      </c>
      <c r="E1809">
        <v>1.0906285E-2</v>
      </c>
    </row>
    <row r="1810" spans="1:5" x14ac:dyDescent="0.3">
      <c r="A1810" s="8">
        <v>60</v>
      </c>
      <c r="B1810" s="8">
        <v>39</v>
      </c>
      <c r="C1810" s="8">
        <v>3595</v>
      </c>
      <c r="D1810" s="16">
        <v>-5.4544890000000001E-4</v>
      </c>
      <c r="E1810">
        <v>-2.7272445E-4</v>
      </c>
    </row>
    <row r="1811" spans="1:5" x14ac:dyDescent="0.3">
      <c r="A1811" s="8">
        <v>60</v>
      </c>
      <c r="B1811" s="8">
        <v>40</v>
      </c>
      <c r="C1811" s="8">
        <v>3612</v>
      </c>
      <c r="D1811" s="16">
        <v>-3.4905060000000002E-2</v>
      </c>
      <c r="E1811">
        <v>-1.7452530000000001E-2</v>
      </c>
    </row>
    <row r="1812" spans="1:5" x14ac:dyDescent="0.3">
      <c r="A1812" s="8">
        <v>60</v>
      </c>
      <c r="B1812" s="8">
        <v>41</v>
      </c>
      <c r="C1812" s="8">
        <v>3555</v>
      </c>
      <c r="D1812" s="16">
        <v>-6.4442009999999994E-2</v>
      </c>
      <c r="E1812">
        <v>-3.2221004999999997E-2</v>
      </c>
    </row>
    <row r="1813" spans="1:5" x14ac:dyDescent="0.3">
      <c r="A1813" s="8">
        <v>60</v>
      </c>
      <c r="B1813" s="8">
        <v>42</v>
      </c>
      <c r="C1813" s="8">
        <v>3591</v>
      </c>
      <c r="D1813" s="16">
        <v>-6.0458850000000001E-2</v>
      </c>
      <c r="E1813">
        <v>-3.0229425000000001E-2</v>
      </c>
    </row>
    <row r="1814" spans="1:5" x14ac:dyDescent="0.3">
      <c r="A1814" s="8">
        <v>60</v>
      </c>
      <c r="B1814" s="8">
        <v>43</v>
      </c>
      <c r="C1814" s="8">
        <v>3569</v>
      </c>
      <c r="D1814" s="16">
        <v>1.2353289999999999E-2</v>
      </c>
      <c r="E1814">
        <v>6.1766449999999997E-3</v>
      </c>
    </row>
    <row r="1815" spans="1:5" x14ac:dyDescent="0.3">
      <c r="A1815" s="8">
        <v>60</v>
      </c>
      <c r="B1815" s="8">
        <v>44</v>
      </c>
      <c r="C1815" s="8">
        <v>3554</v>
      </c>
      <c r="D1815" s="16">
        <v>-1.7347339999999999E-2</v>
      </c>
      <c r="E1815">
        <v>-8.6736699999999996E-3</v>
      </c>
    </row>
    <row r="1816" spans="1:5" x14ac:dyDescent="0.3">
      <c r="A1816" s="8">
        <v>60</v>
      </c>
      <c r="B1816" s="8">
        <v>45</v>
      </c>
      <c r="C1816" s="8">
        <v>3616</v>
      </c>
      <c r="D1816" s="16">
        <v>-2.4723370000000001E-2</v>
      </c>
      <c r="E1816">
        <v>-1.2361685000000001E-2</v>
      </c>
    </row>
    <row r="1817" spans="1:5" x14ac:dyDescent="0.3">
      <c r="A1817" s="8">
        <v>60</v>
      </c>
      <c r="B1817" s="8">
        <v>46</v>
      </c>
      <c r="C1817" s="8">
        <v>3596</v>
      </c>
      <c r="D1817" s="16">
        <v>-5.2547190000000001E-2</v>
      </c>
      <c r="E1817">
        <v>-2.6273595E-2</v>
      </c>
    </row>
    <row r="1818" spans="1:5" x14ac:dyDescent="0.3">
      <c r="A1818" s="8">
        <v>60</v>
      </c>
      <c r="B1818" s="8">
        <v>47</v>
      </c>
      <c r="C1818" s="8">
        <v>3601</v>
      </c>
      <c r="D1818" s="16">
        <v>-2.8923299999999999E-2</v>
      </c>
      <c r="E1818">
        <v>-1.446165E-2</v>
      </c>
    </row>
    <row r="1819" spans="1:5" x14ac:dyDescent="0.3">
      <c r="A1819" s="8">
        <v>60</v>
      </c>
      <c r="B1819" s="8">
        <v>48</v>
      </c>
      <c r="C1819" s="8">
        <v>3571</v>
      </c>
      <c r="D1819" s="16">
        <v>1.5694280000000001E-2</v>
      </c>
      <c r="E1819">
        <v>7.8471400000000007E-3</v>
      </c>
    </row>
    <row r="1820" spans="1:5" x14ac:dyDescent="0.3">
      <c r="A1820" s="8">
        <v>60</v>
      </c>
      <c r="B1820" s="8">
        <v>49</v>
      </c>
      <c r="C1820" s="8">
        <v>3592</v>
      </c>
      <c r="D1820" s="16">
        <v>-3.9238919999999997E-2</v>
      </c>
      <c r="E1820">
        <v>-1.9619459999999998E-2</v>
      </c>
    </row>
    <row r="1821" spans="1:5" x14ac:dyDescent="0.3">
      <c r="A1821" s="8">
        <v>60</v>
      </c>
      <c r="B1821" s="8">
        <v>50</v>
      </c>
      <c r="C1821" s="8">
        <v>3609</v>
      </c>
      <c r="D1821" s="16">
        <v>1.007021E-2</v>
      </c>
      <c r="E1821">
        <v>5.0351049999999998E-3</v>
      </c>
    </row>
    <row r="1822" spans="1:5" x14ac:dyDescent="0.3">
      <c r="A1822" s="8">
        <v>60</v>
      </c>
      <c r="B1822" s="8">
        <v>51</v>
      </c>
      <c r="C1822" s="8">
        <v>3578</v>
      </c>
      <c r="D1822" s="16">
        <v>6.060401E-3</v>
      </c>
      <c r="E1822">
        <v>3.0302005E-3</v>
      </c>
    </row>
    <row r="1823" spans="1:5" x14ac:dyDescent="0.3">
      <c r="A1823" s="8">
        <v>60</v>
      </c>
      <c r="B1823" s="8">
        <v>52</v>
      </c>
      <c r="C1823" s="8">
        <v>3579</v>
      </c>
      <c r="D1823" s="16">
        <v>2.74001E-2</v>
      </c>
      <c r="E1823">
        <v>1.370005E-2</v>
      </c>
    </row>
    <row r="1824" spans="1:5" x14ac:dyDescent="0.3">
      <c r="A1824" s="8">
        <v>60</v>
      </c>
      <c r="B1824" s="8">
        <v>53</v>
      </c>
      <c r="C1824" s="8">
        <v>3602</v>
      </c>
      <c r="D1824" s="16">
        <v>-4.2357590000000001E-2</v>
      </c>
      <c r="E1824">
        <v>-2.1178795E-2</v>
      </c>
    </row>
    <row r="1825" spans="1:5" x14ac:dyDescent="0.3">
      <c r="A1825" s="8">
        <v>60</v>
      </c>
      <c r="B1825" s="8">
        <v>54</v>
      </c>
      <c r="C1825" s="8">
        <v>3574</v>
      </c>
      <c r="D1825" s="16">
        <v>-1.181753E-2</v>
      </c>
      <c r="E1825">
        <v>-5.9087649999999999E-3</v>
      </c>
    </row>
    <row r="1826" spans="1:5" x14ac:dyDescent="0.3">
      <c r="A1826" s="8">
        <v>60</v>
      </c>
      <c r="B1826" s="8">
        <v>55</v>
      </c>
      <c r="C1826" s="8">
        <v>3598</v>
      </c>
      <c r="D1826" s="16">
        <v>-1.6634880000000001E-2</v>
      </c>
      <c r="E1826">
        <v>-8.3174400000000006E-3</v>
      </c>
    </row>
    <row r="1827" spans="1:5" x14ac:dyDescent="0.3">
      <c r="A1827" s="8">
        <v>60</v>
      </c>
      <c r="B1827" s="8">
        <v>56</v>
      </c>
      <c r="C1827" s="8">
        <v>3610</v>
      </c>
      <c r="D1827" s="16">
        <v>-5.4522399999999999E-2</v>
      </c>
      <c r="E1827">
        <v>-2.7261199999999999E-2</v>
      </c>
    </row>
    <row r="1828" spans="1:5" x14ac:dyDescent="0.3">
      <c r="A1828" s="8">
        <v>60</v>
      </c>
      <c r="B1828" s="8">
        <v>57</v>
      </c>
      <c r="C1828" s="8">
        <v>3625</v>
      </c>
      <c r="D1828" s="16">
        <v>-1.8016810000000001E-2</v>
      </c>
      <c r="E1828">
        <v>-9.0084050000000006E-3</v>
      </c>
    </row>
    <row r="1829" spans="1:5" x14ac:dyDescent="0.3">
      <c r="A1829" s="8">
        <v>60</v>
      </c>
      <c r="B1829" s="8">
        <v>58</v>
      </c>
      <c r="C1829" s="8">
        <v>3589</v>
      </c>
      <c r="D1829" s="16">
        <v>1.6642509999999999E-2</v>
      </c>
      <c r="E1829">
        <v>8.3212549999999996E-3</v>
      </c>
    </row>
    <row r="1830" spans="1:5" x14ac:dyDescent="0.3">
      <c r="A1830" s="8">
        <v>60</v>
      </c>
      <c r="B1830" s="8">
        <v>59</v>
      </c>
      <c r="C1830" s="8">
        <v>3609</v>
      </c>
      <c r="D1830" s="16">
        <v>4.6273629999999999E-4</v>
      </c>
      <c r="E1830">
        <v>2.3136814999999999E-4</v>
      </c>
    </row>
    <row r="1831" spans="1:5" x14ac:dyDescent="0.3">
      <c r="A1831" s="8">
        <v>60</v>
      </c>
      <c r="B1831" s="8">
        <v>60</v>
      </c>
      <c r="C1831" s="8">
        <v>3874</v>
      </c>
      <c r="D1831" s="16">
        <v>1.067175</v>
      </c>
      <c r="E1831"/>
    </row>
    <row r="1832" spans="1:5" x14ac:dyDescent="0.3">
      <c r="A1832" s="8">
        <v>61</v>
      </c>
      <c r="B1832" s="8">
        <v>1</v>
      </c>
      <c r="C1832" s="8">
        <v>3624</v>
      </c>
      <c r="D1832" s="16">
        <v>7.2447529999999996E-3</v>
      </c>
      <c r="E1832">
        <v>3.6223764999999998E-3</v>
      </c>
    </row>
    <row r="1833" spans="1:5" x14ac:dyDescent="0.3">
      <c r="A1833" s="8">
        <v>61</v>
      </c>
      <c r="B1833" s="8">
        <v>2</v>
      </c>
      <c r="C1833" s="8">
        <v>3597</v>
      </c>
      <c r="D1833" s="16">
        <v>-3.679042E-3</v>
      </c>
      <c r="E1833">
        <v>-1.839521E-3</v>
      </c>
    </row>
    <row r="1834" spans="1:5" x14ac:dyDescent="0.3">
      <c r="A1834" s="8">
        <v>61</v>
      </c>
      <c r="B1834" s="8">
        <v>3</v>
      </c>
      <c r="C1834" s="8">
        <v>3624</v>
      </c>
      <c r="D1834" s="16">
        <v>-1.495992E-2</v>
      </c>
      <c r="E1834">
        <v>-7.4799599999999999E-3</v>
      </c>
    </row>
    <row r="1835" spans="1:5" x14ac:dyDescent="0.3">
      <c r="A1835" s="8">
        <v>61</v>
      </c>
      <c r="B1835" s="8">
        <v>4</v>
      </c>
      <c r="C1835" s="8">
        <v>3582</v>
      </c>
      <c r="D1835" s="16">
        <v>3.0185250000000002E-3</v>
      </c>
      <c r="E1835">
        <v>1.5092625000000001E-3</v>
      </c>
    </row>
    <row r="1836" spans="1:5" x14ac:dyDescent="0.3">
      <c r="A1836" s="8">
        <v>61</v>
      </c>
      <c r="B1836" s="8">
        <v>5</v>
      </c>
      <c r="C1836" s="8">
        <v>3589</v>
      </c>
      <c r="D1836" s="16">
        <v>-5.0415050000000003E-2</v>
      </c>
      <c r="E1836">
        <v>-2.5207525000000001E-2</v>
      </c>
    </row>
    <row r="1837" spans="1:5" x14ac:dyDescent="0.3">
      <c r="A1837" s="8">
        <v>61</v>
      </c>
      <c r="B1837" s="8">
        <v>6</v>
      </c>
      <c r="C1837" s="8">
        <v>3596</v>
      </c>
      <c r="D1837" s="16">
        <v>-7.3671909999999993E-2</v>
      </c>
      <c r="E1837">
        <v>-3.6835954999999997E-2</v>
      </c>
    </row>
    <row r="1838" spans="1:5" x14ac:dyDescent="0.3">
      <c r="A1838" s="8">
        <v>61</v>
      </c>
      <c r="B1838" s="8">
        <v>7</v>
      </c>
      <c r="C1838" s="8">
        <v>3560</v>
      </c>
      <c r="D1838" s="16">
        <v>-2.0404559999999999E-2</v>
      </c>
      <c r="E1838">
        <v>-1.0202279999999999E-2</v>
      </c>
    </row>
    <row r="1839" spans="1:5" x14ac:dyDescent="0.3">
      <c r="A1839" s="8">
        <v>61</v>
      </c>
      <c r="B1839" s="8">
        <v>8</v>
      </c>
      <c r="C1839" s="8">
        <v>3596</v>
      </c>
      <c r="D1839" s="16">
        <v>-3.1510599999999998E-3</v>
      </c>
      <c r="E1839">
        <v>-1.5755299999999999E-3</v>
      </c>
    </row>
    <row r="1840" spans="1:5" x14ac:dyDescent="0.3">
      <c r="A1840" s="8">
        <v>61</v>
      </c>
      <c r="B1840" s="8">
        <v>9</v>
      </c>
      <c r="C1840" s="8">
        <v>3605</v>
      </c>
      <c r="D1840" s="16">
        <v>-1.5711860000000001E-2</v>
      </c>
      <c r="E1840">
        <v>-7.8559300000000006E-3</v>
      </c>
    </row>
    <row r="1841" spans="1:5" x14ac:dyDescent="0.3">
      <c r="A1841" s="8">
        <v>61</v>
      </c>
      <c r="B1841" s="8">
        <v>10</v>
      </c>
      <c r="C1841" s="8">
        <v>3609</v>
      </c>
      <c r="D1841" s="16">
        <v>7.7029780000000001E-3</v>
      </c>
      <c r="E1841">
        <v>3.851489E-3</v>
      </c>
    </row>
    <row r="1842" spans="1:5" x14ac:dyDescent="0.3">
      <c r="A1842" s="8">
        <v>61</v>
      </c>
      <c r="B1842" s="8">
        <v>11</v>
      </c>
      <c r="C1842" s="8">
        <v>3601</v>
      </c>
      <c r="D1842" s="16">
        <v>-9.862778999999999E-4</v>
      </c>
      <c r="E1842">
        <v>-4.9313894999999995E-4</v>
      </c>
    </row>
    <row r="1843" spans="1:5" x14ac:dyDescent="0.3">
      <c r="A1843" s="8">
        <v>61</v>
      </c>
      <c r="B1843" s="8">
        <v>12</v>
      </c>
      <c r="C1843" s="8">
        <v>3611</v>
      </c>
      <c r="D1843" s="16">
        <v>-6.3908549999999995E-2</v>
      </c>
      <c r="E1843">
        <v>-3.1954274999999997E-2</v>
      </c>
    </row>
    <row r="1844" spans="1:5" x14ac:dyDescent="0.3">
      <c r="A1844" s="8">
        <v>61</v>
      </c>
      <c r="B1844" s="8">
        <v>13</v>
      </c>
      <c r="C1844" s="8">
        <v>3602</v>
      </c>
      <c r="D1844" s="16">
        <v>1.091175E-3</v>
      </c>
      <c r="E1844">
        <v>5.455875E-4</v>
      </c>
    </row>
    <row r="1845" spans="1:5" x14ac:dyDescent="0.3">
      <c r="A1845" s="8">
        <v>61</v>
      </c>
      <c r="B1845" s="8">
        <v>14</v>
      </c>
      <c r="C1845" s="8">
        <v>3590</v>
      </c>
      <c r="D1845" s="16">
        <v>-9.8559359999999992E-3</v>
      </c>
      <c r="E1845">
        <v>-4.9279679999999996E-3</v>
      </c>
    </row>
    <row r="1846" spans="1:5" x14ac:dyDescent="0.3">
      <c r="A1846" s="8">
        <v>61</v>
      </c>
      <c r="B1846" s="8">
        <v>15</v>
      </c>
      <c r="C1846" s="8">
        <v>3616</v>
      </c>
      <c r="D1846" s="16">
        <v>-6.1699700000000003E-3</v>
      </c>
      <c r="E1846">
        <v>-3.0849850000000002E-3</v>
      </c>
    </row>
    <row r="1847" spans="1:5" x14ac:dyDescent="0.3">
      <c r="A1847" s="8">
        <v>61</v>
      </c>
      <c r="B1847" s="8">
        <v>16</v>
      </c>
      <c r="C1847" s="8">
        <v>3581</v>
      </c>
      <c r="D1847" s="16">
        <v>1.535593E-2</v>
      </c>
      <c r="E1847">
        <v>7.6779650000000001E-3</v>
      </c>
    </row>
    <row r="1848" spans="1:5" x14ac:dyDescent="0.3">
      <c r="A1848" s="8">
        <v>61</v>
      </c>
      <c r="B1848" s="8">
        <v>17</v>
      </c>
      <c r="C1848" s="8">
        <v>3610</v>
      </c>
      <c r="D1848" s="16">
        <v>-6.2984470000000001E-2</v>
      </c>
      <c r="E1848">
        <v>-3.1492235E-2</v>
      </c>
    </row>
    <row r="1849" spans="1:5" x14ac:dyDescent="0.3">
      <c r="A1849" s="8">
        <v>61</v>
      </c>
      <c r="B1849" s="8">
        <v>18</v>
      </c>
      <c r="C1849" s="8">
        <v>3607</v>
      </c>
      <c r="D1849" s="16">
        <v>-2.2868630000000001E-3</v>
      </c>
      <c r="E1849">
        <v>-1.1434315E-3</v>
      </c>
    </row>
    <row r="1850" spans="1:5" x14ac:dyDescent="0.3">
      <c r="A1850" s="8">
        <v>61</v>
      </c>
      <c r="B1850" s="8">
        <v>19</v>
      </c>
      <c r="C1850" s="8">
        <v>3570</v>
      </c>
      <c r="D1850" s="16">
        <v>-7.6545119999999996E-4</v>
      </c>
      <c r="E1850">
        <v>-3.8272559999999998E-4</v>
      </c>
    </row>
    <row r="1851" spans="1:5" x14ac:dyDescent="0.3">
      <c r="A1851" s="8">
        <v>61</v>
      </c>
      <c r="B1851" s="8">
        <v>20</v>
      </c>
      <c r="C1851" s="8">
        <v>3576</v>
      </c>
      <c r="D1851" s="16">
        <v>4.683647E-3</v>
      </c>
      <c r="E1851">
        <v>2.3418235E-3</v>
      </c>
    </row>
    <row r="1852" spans="1:5" x14ac:dyDescent="0.3">
      <c r="A1852" s="8">
        <v>61</v>
      </c>
      <c r="B1852" s="8">
        <v>21</v>
      </c>
      <c r="C1852" s="8">
        <v>3629</v>
      </c>
      <c r="D1852" s="16">
        <v>-3.5905350000000003E-2</v>
      </c>
      <c r="E1852">
        <v>-1.7952675000000001E-2</v>
      </c>
    </row>
    <row r="1853" spans="1:5" x14ac:dyDescent="0.3">
      <c r="A1853" s="8">
        <v>61</v>
      </c>
      <c r="B1853" s="8">
        <v>22</v>
      </c>
      <c r="C1853" s="8">
        <v>3590</v>
      </c>
      <c r="D1853" s="16">
        <v>2.1664079999999999E-2</v>
      </c>
      <c r="E1853">
        <v>1.0832039999999999E-2</v>
      </c>
    </row>
    <row r="1854" spans="1:5" x14ac:dyDescent="0.3">
      <c r="A1854" s="8">
        <v>61</v>
      </c>
      <c r="B1854" s="8">
        <v>23</v>
      </c>
      <c r="C1854" s="8">
        <v>3597</v>
      </c>
      <c r="D1854" s="16">
        <v>6.8957089999999999E-3</v>
      </c>
      <c r="E1854">
        <v>3.4478544999999999E-3</v>
      </c>
    </row>
    <row r="1855" spans="1:5" x14ac:dyDescent="0.3">
      <c r="A1855" s="8">
        <v>61</v>
      </c>
      <c r="B1855" s="8">
        <v>24</v>
      </c>
      <c r="C1855" s="8">
        <v>3625</v>
      </c>
      <c r="D1855" s="16">
        <v>-1.5669679999999998E-2</v>
      </c>
      <c r="E1855">
        <v>-7.8348399999999992E-3</v>
      </c>
    </row>
    <row r="1856" spans="1:5" x14ac:dyDescent="0.3">
      <c r="A1856" s="8">
        <v>61</v>
      </c>
      <c r="B1856" s="8">
        <v>25</v>
      </c>
      <c r="C1856" s="8">
        <v>3594</v>
      </c>
      <c r="D1856" s="16">
        <v>1.9532939999999999E-2</v>
      </c>
      <c r="E1856">
        <v>9.7664699999999993E-3</v>
      </c>
    </row>
    <row r="1857" spans="1:5" x14ac:dyDescent="0.3">
      <c r="A1857" s="8">
        <v>61</v>
      </c>
      <c r="B1857" s="8">
        <v>26</v>
      </c>
      <c r="C1857" s="8">
        <v>3606</v>
      </c>
      <c r="D1857" s="16">
        <v>-2.4198829999999998E-3</v>
      </c>
      <c r="E1857">
        <v>-1.2099414999999999E-3</v>
      </c>
    </row>
    <row r="1858" spans="1:5" x14ac:dyDescent="0.3">
      <c r="A1858" s="8">
        <v>61</v>
      </c>
      <c r="B1858" s="8">
        <v>27</v>
      </c>
      <c r="C1858" s="8">
        <v>3582</v>
      </c>
      <c r="D1858" s="16">
        <v>1.213649E-2</v>
      </c>
      <c r="E1858">
        <v>6.0682449999999999E-3</v>
      </c>
    </row>
    <row r="1859" spans="1:5" x14ac:dyDescent="0.3">
      <c r="A1859" s="8">
        <v>61</v>
      </c>
      <c r="B1859" s="8">
        <v>28</v>
      </c>
      <c r="C1859" s="8">
        <v>3540</v>
      </c>
      <c r="D1859" s="16">
        <v>-7.7792859999999998E-3</v>
      </c>
      <c r="E1859">
        <v>-3.8896429999999999E-3</v>
      </c>
    </row>
    <row r="1860" spans="1:5" x14ac:dyDescent="0.3">
      <c r="A1860" s="8">
        <v>61</v>
      </c>
      <c r="B1860" s="8">
        <v>29</v>
      </c>
      <c r="C1860" s="8">
        <v>3575</v>
      </c>
      <c r="D1860" s="16">
        <v>1.0627869999999999E-2</v>
      </c>
      <c r="E1860">
        <v>5.3139349999999997E-3</v>
      </c>
    </row>
    <row r="1861" spans="1:5" x14ac:dyDescent="0.3">
      <c r="A1861" s="8">
        <v>61</v>
      </c>
      <c r="B1861" s="8">
        <v>30</v>
      </c>
      <c r="C1861" s="8">
        <v>3581</v>
      </c>
      <c r="D1861" s="16">
        <v>1.0341680000000001E-2</v>
      </c>
      <c r="E1861">
        <v>5.1708400000000003E-3</v>
      </c>
    </row>
    <row r="1862" spans="1:5" x14ac:dyDescent="0.3">
      <c r="A1862" s="8">
        <v>61</v>
      </c>
      <c r="B1862" s="8">
        <v>31</v>
      </c>
      <c r="C1862" s="8">
        <v>3505</v>
      </c>
      <c r="D1862" s="16">
        <v>-6.799154E-3</v>
      </c>
      <c r="E1862">
        <v>-3.399577E-3</v>
      </c>
    </row>
    <row r="1863" spans="1:5" x14ac:dyDescent="0.3">
      <c r="A1863" s="8">
        <v>61</v>
      </c>
      <c r="B1863" s="8">
        <v>32</v>
      </c>
      <c r="C1863" s="8">
        <v>3570</v>
      </c>
      <c r="D1863" s="16">
        <v>2.9552110000000001E-4</v>
      </c>
      <c r="E1863">
        <v>1.4776055000000001E-4</v>
      </c>
    </row>
    <row r="1864" spans="1:5" x14ac:dyDescent="0.3">
      <c r="A1864" s="8">
        <v>61</v>
      </c>
      <c r="B1864" s="8">
        <v>33</v>
      </c>
      <c r="C1864" s="8">
        <v>3614</v>
      </c>
      <c r="D1864" s="16">
        <v>2.199829E-2</v>
      </c>
      <c r="E1864">
        <v>1.0999145E-2</v>
      </c>
    </row>
    <row r="1865" spans="1:5" x14ac:dyDescent="0.3">
      <c r="A1865" s="8">
        <v>61</v>
      </c>
      <c r="B1865" s="8">
        <v>34</v>
      </c>
      <c r="C1865" s="8">
        <v>3609</v>
      </c>
      <c r="D1865" s="16">
        <v>-1.7900119999999999E-2</v>
      </c>
      <c r="E1865">
        <v>-8.9500599999999993E-3</v>
      </c>
    </row>
    <row r="1866" spans="1:5" x14ac:dyDescent="0.3">
      <c r="A1866" s="8">
        <v>61</v>
      </c>
      <c r="B1866" s="8">
        <v>35</v>
      </c>
      <c r="C1866" s="8">
        <v>3582</v>
      </c>
      <c r="D1866" s="16">
        <v>-6.033028E-2</v>
      </c>
      <c r="E1866">
        <v>-3.016514E-2</v>
      </c>
    </row>
    <row r="1867" spans="1:5" x14ac:dyDescent="0.3">
      <c r="A1867" s="8">
        <v>61</v>
      </c>
      <c r="B1867" s="8">
        <v>36</v>
      </c>
      <c r="C1867" s="8">
        <v>3580</v>
      </c>
      <c r="D1867" s="16">
        <v>-2.6400989999999999E-2</v>
      </c>
      <c r="E1867">
        <v>-1.3200495E-2</v>
      </c>
    </row>
    <row r="1868" spans="1:5" x14ac:dyDescent="0.3">
      <c r="A1868" s="8">
        <v>61</v>
      </c>
      <c r="B1868" s="8">
        <v>37</v>
      </c>
      <c r="C1868" s="8">
        <v>3558</v>
      </c>
      <c r="D1868" s="16">
        <v>1.6832629999999999E-4</v>
      </c>
      <c r="E1868">
        <v>8.4163149999999997E-5</v>
      </c>
    </row>
    <row r="1869" spans="1:5" x14ac:dyDescent="0.3">
      <c r="A1869" s="8">
        <v>61</v>
      </c>
      <c r="B1869" s="8">
        <v>38</v>
      </c>
      <c r="C1869" s="8">
        <v>3613</v>
      </c>
      <c r="D1869" s="16">
        <v>7.3538460000000005E-4</v>
      </c>
      <c r="E1869">
        <v>3.6769230000000002E-4</v>
      </c>
    </row>
    <row r="1870" spans="1:5" x14ac:dyDescent="0.3">
      <c r="A1870" s="8">
        <v>61</v>
      </c>
      <c r="B1870" s="8">
        <v>39</v>
      </c>
      <c r="C1870" s="8">
        <v>3587</v>
      </c>
      <c r="D1870" s="16">
        <v>-5.0872500000000001E-2</v>
      </c>
      <c r="E1870">
        <v>-2.5436250000000001E-2</v>
      </c>
    </row>
    <row r="1871" spans="1:5" x14ac:dyDescent="0.3">
      <c r="A1871" s="8">
        <v>61</v>
      </c>
      <c r="B1871" s="8">
        <v>40</v>
      </c>
      <c r="C1871" s="8">
        <v>3601</v>
      </c>
      <c r="D1871" s="16">
        <v>-2.119147E-2</v>
      </c>
      <c r="E1871">
        <v>-1.0595735E-2</v>
      </c>
    </row>
    <row r="1872" spans="1:5" x14ac:dyDescent="0.3">
      <c r="A1872" s="8">
        <v>61</v>
      </c>
      <c r="B1872" s="8">
        <v>41</v>
      </c>
      <c r="C1872" s="8">
        <v>3557</v>
      </c>
      <c r="D1872" s="16">
        <v>1.048637E-2</v>
      </c>
      <c r="E1872">
        <v>5.243185E-3</v>
      </c>
    </row>
    <row r="1873" spans="1:5" x14ac:dyDescent="0.3">
      <c r="A1873" s="8">
        <v>61</v>
      </c>
      <c r="B1873" s="8">
        <v>42</v>
      </c>
      <c r="C1873" s="8">
        <v>3589</v>
      </c>
      <c r="D1873" s="16">
        <v>-5.187783E-2</v>
      </c>
      <c r="E1873">
        <v>-2.5938915E-2</v>
      </c>
    </row>
    <row r="1874" spans="1:5" x14ac:dyDescent="0.3">
      <c r="A1874" s="8">
        <v>61</v>
      </c>
      <c r="B1874" s="8">
        <v>43</v>
      </c>
      <c r="C1874" s="8">
        <v>3562</v>
      </c>
      <c r="D1874" s="16">
        <v>-7.5965809999999998E-3</v>
      </c>
      <c r="E1874">
        <v>-3.7982904999999999E-3</v>
      </c>
    </row>
    <row r="1875" spans="1:5" x14ac:dyDescent="0.3">
      <c r="A1875" s="8">
        <v>61</v>
      </c>
      <c r="B1875" s="8">
        <v>44</v>
      </c>
      <c r="C1875" s="8">
        <v>3548</v>
      </c>
      <c r="D1875" s="16">
        <v>-1.3917590000000001E-2</v>
      </c>
      <c r="E1875">
        <v>-6.9587950000000003E-3</v>
      </c>
    </row>
    <row r="1876" spans="1:5" x14ac:dyDescent="0.3">
      <c r="A1876" s="8">
        <v>61</v>
      </c>
      <c r="B1876" s="8">
        <v>45</v>
      </c>
      <c r="C1876" s="8">
        <v>3614</v>
      </c>
      <c r="D1876" s="16">
        <v>1.9017890000000001E-3</v>
      </c>
      <c r="E1876">
        <v>9.5089450000000004E-4</v>
      </c>
    </row>
    <row r="1877" spans="1:5" x14ac:dyDescent="0.3">
      <c r="A1877" s="8">
        <v>61</v>
      </c>
      <c r="B1877" s="8">
        <v>46</v>
      </c>
      <c r="C1877" s="8">
        <v>3597</v>
      </c>
      <c r="D1877" s="16">
        <v>-1.207771E-2</v>
      </c>
      <c r="E1877">
        <v>-6.0388550000000001E-3</v>
      </c>
    </row>
    <row r="1878" spans="1:5" x14ac:dyDescent="0.3">
      <c r="A1878" s="8">
        <v>61</v>
      </c>
      <c r="B1878" s="8">
        <v>47</v>
      </c>
      <c r="C1878" s="8">
        <v>3604</v>
      </c>
      <c r="D1878" s="16">
        <v>-7.3513600000000004E-3</v>
      </c>
      <c r="E1878">
        <v>-3.6756800000000002E-3</v>
      </c>
    </row>
    <row r="1879" spans="1:5" x14ac:dyDescent="0.3">
      <c r="A1879" s="8">
        <v>61</v>
      </c>
      <c r="B1879" s="8">
        <v>48</v>
      </c>
      <c r="C1879" s="8">
        <v>3569</v>
      </c>
      <c r="D1879" s="16">
        <v>-8.1851249999999997E-3</v>
      </c>
      <c r="E1879">
        <v>-4.0925624999999998E-3</v>
      </c>
    </row>
    <row r="1880" spans="1:5" x14ac:dyDescent="0.3">
      <c r="A1880" s="8">
        <v>61</v>
      </c>
      <c r="B1880" s="8">
        <v>49</v>
      </c>
      <c r="C1880" s="8">
        <v>3579</v>
      </c>
      <c r="D1880" s="16">
        <v>-1.5592490000000001E-2</v>
      </c>
      <c r="E1880">
        <v>-7.7962450000000003E-3</v>
      </c>
    </row>
    <row r="1881" spans="1:5" x14ac:dyDescent="0.3">
      <c r="A1881" s="8">
        <v>61</v>
      </c>
      <c r="B1881" s="8">
        <v>50</v>
      </c>
      <c r="C1881" s="8">
        <v>3620</v>
      </c>
      <c r="D1881" s="16">
        <v>-4.3214450000000001E-3</v>
      </c>
      <c r="E1881">
        <v>-2.1607225000000001E-3</v>
      </c>
    </row>
    <row r="1882" spans="1:5" x14ac:dyDescent="0.3">
      <c r="A1882" s="8">
        <v>61</v>
      </c>
      <c r="B1882" s="8">
        <v>51</v>
      </c>
      <c r="C1882" s="8">
        <v>3584</v>
      </c>
      <c r="D1882" s="16">
        <v>1.7169159999999999E-2</v>
      </c>
      <c r="E1882">
        <v>8.5845799999999996E-3</v>
      </c>
    </row>
    <row r="1883" spans="1:5" x14ac:dyDescent="0.3">
      <c r="A1883" s="8">
        <v>61</v>
      </c>
      <c r="B1883" s="8">
        <v>52</v>
      </c>
      <c r="C1883" s="8">
        <v>3580</v>
      </c>
      <c r="D1883" s="16">
        <v>-2.57521E-2</v>
      </c>
      <c r="E1883">
        <v>-1.287605E-2</v>
      </c>
    </row>
    <row r="1884" spans="1:5" x14ac:dyDescent="0.3">
      <c r="A1884" s="8">
        <v>61</v>
      </c>
      <c r="B1884" s="8">
        <v>53</v>
      </c>
      <c r="C1884" s="8">
        <v>3592</v>
      </c>
      <c r="D1884" s="16">
        <v>-5.0024760000000001E-2</v>
      </c>
      <c r="E1884">
        <v>-2.5012380000000001E-2</v>
      </c>
    </row>
    <row r="1885" spans="1:5" x14ac:dyDescent="0.3">
      <c r="A1885" s="8">
        <v>61</v>
      </c>
      <c r="B1885" s="8">
        <v>54</v>
      </c>
      <c r="C1885" s="8">
        <v>3582</v>
      </c>
      <c r="D1885" s="16">
        <v>-9.9204040000000007E-3</v>
      </c>
      <c r="E1885">
        <v>-4.9602020000000004E-3</v>
      </c>
    </row>
    <row r="1886" spans="1:5" x14ac:dyDescent="0.3">
      <c r="A1886" s="8">
        <v>61</v>
      </c>
      <c r="B1886" s="8">
        <v>55</v>
      </c>
      <c r="C1886" s="8">
        <v>3596</v>
      </c>
      <c r="D1886" s="16">
        <v>-6.4233900000000002E-3</v>
      </c>
      <c r="E1886">
        <v>-3.2116950000000001E-3</v>
      </c>
    </row>
    <row r="1887" spans="1:5" x14ac:dyDescent="0.3">
      <c r="A1887" s="8">
        <v>61</v>
      </c>
      <c r="B1887" s="8">
        <v>56</v>
      </c>
      <c r="C1887" s="8">
        <v>3601</v>
      </c>
      <c r="D1887" s="16">
        <v>-8.7380649999999997E-3</v>
      </c>
      <c r="E1887">
        <v>-4.3690324999999999E-3</v>
      </c>
    </row>
    <row r="1888" spans="1:5" x14ac:dyDescent="0.3">
      <c r="A1888" s="8">
        <v>61</v>
      </c>
      <c r="B1888" s="8">
        <v>57</v>
      </c>
      <c r="C1888" s="8">
        <v>3624</v>
      </c>
      <c r="D1888" s="16">
        <v>4.4842369999999999E-2</v>
      </c>
      <c r="E1888">
        <v>2.2421185E-2</v>
      </c>
    </row>
    <row r="1889" spans="1:5" x14ac:dyDescent="0.3">
      <c r="A1889" s="8">
        <v>61</v>
      </c>
      <c r="B1889" s="8">
        <v>58</v>
      </c>
      <c r="C1889" s="8">
        <v>3586</v>
      </c>
      <c r="D1889" s="16">
        <v>-4.4020999999999998E-2</v>
      </c>
      <c r="E1889">
        <v>-2.2010499999999999E-2</v>
      </c>
    </row>
    <row r="1890" spans="1:5" x14ac:dyDescent="0.3">
      <c r="A1890" s="8">
        <v>61</v>
      </c>
      <c r="B1890" s="8">
        <v>59</v>
      </c>
      <c r="C1890" s="8">
        <v>3606</v>
      </c>
      <c r="D1890" s="16">
        <v>-3.0806739999999999E-2</v>
      </c>
      <c r="E1890">
        <v>-1.540337E-2</v>
      </c>
    </row>
    <row r="1891" spans="1:5" x14ac:dyDescent="0.3">
      <c r="A1891" s="8">
        <v>61</v>
      </c>
      <c r="B1891" s="8">
        <v>60</v>
      </c>
      <c r="C1891" s="8">
        <v>3596</v>
      </c>
      <c r="D1891" s="16">
        <v>1.018612E-2</v>
      </c>
      <c r="E1891">
        <v>5.0930599999999999E-3</v>
      </c>
    </row>
    <row r="1892" spans="1:5" x14ac:dyDescent="0.3">
      <c r="A1892" s="8">
        <v>61</v>
      </c>
      <c r="B1892" s="8">
        <v>61</v>
      </c>
      <c r="C1892" s="8">
        <v>3874</v>
      </c>
      <c r="D1892" s="16">
        <v>0.98304670000000005</v>
      </c>
      <c r="E1892"/>
    </row>
    <row r="1893" spans="1:5" x14ac:dyDescent="0.3">
      <c r="A1893" s="8">
        <v>62</v>
      </c>
      <c r="B1893" s="8">
        <v>1</v>
      </c>
      <c r="C1893" s="8">
        <v>3653</v>
      </c>
      <c r="D1893" s="16">
        <v>-2.1978939999999999E-2</v>
      </c>
      <c r="E1893">
        <v>-1.0989469999999999E-2</v>
      </c>
    </row>
    <row r="1894" spans="1:5" x14ac:dyDescent="0.3">
      <c r="A1894" s="8">
        <v>62</v>
      </c>
      <c r="B1894" s="8">
        <v>2</v>
      </c>
      <c r="C1894" s="8">
        <v>3635</v>
      </c>
      <c r="D1894" s="16">
        <v>-3.158619E-2</v>
      </c>
      <c r="E1894">
        <v>-1.5793095E-2</v>
      </c>
    </row>
    <row r="1895" spans="1:5" x14ac:dyDescent="0.3">
      <c r="A1895" s="8">
        <v>62</v>
      </c>
      <c r="B1895" s="8">
        <v>3</v>
      </c>
      <c r="C1895" s="8">
        <v>3654</v>
      </c>
      <c r="D1895" s="16">
        <v>-3.9471050000000001E-2</v>
      </c>
      <c r="E1895">
        <v>-1.9735525E-2</v>
      </c>
    </row>
    <row r="1896" spans="1:5" x14ac:dyDescent="0.3">
      <c r="A1896" s="8">
        <v>62</v>
      </c>
      <c r="B1896" s="8">
        <v>4</v>
      </c>
      <c r="C1896" s="8">
        <v>3607</v>
      </c>
      <c r="D1896" s="16">
        <v>-4.8495860000000002E-2</v>
      </c>
      <c r="E1896">
        <v>-2.4247930000000001E-2</v>
      </c>
    </row>
    <row r="1897" spans="1:5" x14ac:dyDescent="0.3">
      <c r="A1897" s="8">
        <v>62</v>
      </c>
      <c r="B1897" s="8">
        <v>5</v>
      </c>
      <c r="C1897" s="8">
        <v>3629</v>
      </c>
      <c r="D1897" s="16">
        <v>9.7293939999999995E-4</v>
      </c>
      <c r="E1897">
        <v>4.8646969999999997E-4</v>
      </c>
    </row>
    <row r="1898" spans="1:5" x14ac:dyDescent="0.3">
      <c r="A1898" s="8">
        <v>62</v>
      </c>
      <c r="B1898" s="8">
        <v>6</v>
      </c>
      <c r="C1898" s="8">
        <v>3621</v>
      </c>
      <c r="D1898" s="16">
        <v>-2.061233E-3</v>
      </c>
      <c r="E1898">
        <v>-1.0306165E-3</v>
      </c>
    </row>
    <row r="1899" spans="1:5" x14ac:dyDescent="0.3">
      <c r="A1899" s="8">
        <v>62</v>
      </c>
      <c r="B1899" s="8">
        <v>7</v>
      </c>
      <c r="C1899" s="8">
        <v>3591</v>
      </c>
      <c r="D1899" s="16">
        <v>-3.432752E-2</v>
      </c>
      <c r="E1899">
        <v>-1.716376E-2</v>
      </c>
    </row>
    <row r="1900" spans="1:5" x14ac:dyDescent="0.3">
      <c r="A1900" s="8">
        <v>62</v>
      </c>
      <c r="B1900" s="8">
        <v>8</v>
      </c>
      <c r="C1900" s="8">
        <v>3624</v>
      </c>
      <c r="D1900" s="16">
        <v>-5.4258430000000003E-2</v>
      </c>
      <c r="E1900">
        <v>-2.7129215000000002E-2</v>
      </c>
    </row>
    <row r="1901" spans="1:5" x14ac:dyDescent="0.3">
      <c r="A1901" s="8">
        <v>62</v>
      </c>
      <c r="B1901" s="8">
        <v>9</v>
      </c>
      <c r="C1901" s="8">
        <v>3632</v>
      </c>
      <c r="D1901" s="16">
        <v>-2.3426909999999999E-2</v>
      </c>
      <c r="E1901">
        <v>-1.1713454999999999E-2</v>
      </c>
    </row>
    <row r="1902" spans="1:5" x14ac:dyDescent="0.3">
      <c r="A1902" s="8">
        <v>62</v>
      </c>
      <c r="B1902" s="8">
        <v>10</v>
      </c>
      <c r="C1902" s="8">
        <v>3639</v>
      </c>
      <c r="D1902" s="16">
        <v>1.068728E-2</v>
      </c>
      <c r="E1902">
        <v>5.3436400000000002E-3</v>
      </c>
    </row>
    <row r="1903" spans="1:5" x14ac:dyDescent="0.3">
      <c r="A1903" s="8">
        <v>62</v>
      </c>
      <c r="B1903" s="8">
        <v>11</v>
      </c>
      <c r="C1903" s="8">
        <v>3623</v>
      </c>
      <c r="D1903" s="16">
        <v>-2.32505E-2</v>
      </c>
      <c r="E1903">
        <v>-1.162525E-2</v>
      </c>
    </row>
    <row r="1904" spans="1:5" x14ac:dyDescent="0.3">
      <c r="A1904" s="8">
        <v>62</v>
      </c>
      <c r="B1904" s="8">
        <v>12</v>
      </c>
      <c r="C1904" s="8">
        <v>3621</v>
      </c>
      <c r="D1904" s="16">
        <v>-7.8051370000000002E-3</v>
      </c>
      <c r="E1904">
        <v>-3.9025685000000001E-3</v>
      </c>
    </row>
    <row r="1905" spans="1:5" x14ac:dyDescent="0.3">
      <c r="A1905" s="8">
        <v>62</v>
      </c>
      <c r="B1905" s="8">
        <v>13</v>
      </c>
      <c r="C1905" s="8">
        <v>3630</v>
      </c>
      <c r="D1905" s="16">
        <v>3.7817139999999998E-3</v>
      </c>
      <c r="E1905">
        <v>1.8908569999999999E-3</v>
      </c>
    </row>
    <row r="1906" spans="1:5" x14ac:dyDescent="0.3">
      <c r="A1906" s="8">
        <v>62</v>
      </c>
      <c r="B1906" s="8">
        <v>14</v>
      </c>
      <c r="C1906" s="8">
        <v>3623</v>
      </c>
      <c r="D1906" s="16">
        <v>-1.9262709999999999E-2</v>
      </c>
      <c r="E1906">
        <v>-9.6313549999999994E-3</v>
      </c>
    </row>
    <row r="1907" spans="1:5" x14ac:dyDescent="0.3">
      <c r="A1907" s="8">
        <v>62</v>
      </c>
      <c r="B1907" s="8">
        <v>15</v>
      </c>
      <c r="C1907" s="8">
        <v>3643</v>
      </c>
      <c r="D1907" s="16">
        <v>1.9307879999999999E-2</v>
      </c>
      <c r="E1907">
        <v>9.6539399999999997E-3</v>
      </c>
    </row>
    <row r="1908" spans="1:5" x14ac:dyDescent="0.3">
      <c r="A1908" s="8">
        <v>62</v>
      </c>
      <c r="B1908" s="8">
        <v>16</v>
      </c>
      <c r="C1908" s="8">
        <v>3607</v>
      </c>
      <c r="D1908" s="16">
        <v>-1.164566E-2</v>
      </c>
      <c r="E1908">
        <v>-5.8228300000000002E-3</v>
      </c>
    </row>
    <row r="1909" spans="1:5" x14ac:dyDescent="0.3">
      <c r="A1909" s="8">
        <v>62</v>
      </c>
      <c r="B1909" s="8">
        <v>17</v>
      </c>
      <c r="C1909" s="8">
        <v>3623</v>
      </c>
      <c r="D1909" s="16">
        <v>1.3637079999999999E-2</v>
      </c>
      <c r="E1909">
        <v>6.8185399999999997E-3</v>
      </c>
    </row>
    <row r="1910" spans="1:5" x14ac:dyDescent="0.3">
      <c r="A1910" s="8">
        <v>62</v>
      </c>
      <c r="B1910" s="8">
        <v>18</v>
      </c>
      <c r="C1910" s="8">
        <v>3637</v>
      </c>
      <c r="D1910" s="16">
        <v>1.555084E-2</v>
      </c>
      <c r="E1910">
        <v>7.7754199999999999E-3</v>
      </c>
    </row>
    <row r="1911" spans="1:5" x14ac:dyDescent="0.3">
      <c r="A1911" s="8">
        <v>62</v>
      </c>
      <c r="B1911" s="8">
        <v>19</v>
      </c>
      <c r="C1911" s="8">
        <v>3600</v>
      </c>
      <c r="D1911" s="16">
        <v>-2.7386770000000001E-2</v>
      </c>
      <c r="E1911">
        <v>-1.3693385000000001E-2</v>
      </c>
    </row>
    <row r="1912" spans="1:5" x14ac:dyDescent="0.3">
      <c r="A1912" s="8">
        <v>62</v>
      </c>
      <c r="B1912" s="8">
        <v>20</v>
      </c>
      <c r="C1912" s="8">
        <v>3594</v>
      </c>
      <c r="D1912" s="16">
        <v>-3.4035849999999999E-2</v>
      </c>
      <c r="E1912">
        <v>-1.7017925E-2</v>
      </c>
    </row>
    <row r="1913" spans="1:5" x14ac:dyDescent="0.3">
      <c r="A1913" s="8">
        <v>62</v>
      </c>
      <c r="B1913" s="8">
        <v>21</v>
      </c>
      <c r="C1913" s="8">
        <v>3663</v>
      </c>
      <c r="D1913" s="16">
        <v>-4.2978809999999999E-2</v>
      </c>
      <c r="E1913">
        <v>-2.1489405E-2</v>
      </c>
    </row>
    <row r="1914" spans="1:5" x14ac:dyDescent="0.3">
      <c r="A1914" s="8">
        <v>62</v>
      </c>
      <c r="B1914" s="8">
        <v>22</v>
      </c>
      <c r="C1914" s="8">
        <v>3614</v>
      </c>
      <c r="D1914" s="16">
        <v>4.7090630000000003E-3</v>
      </c>
      <c r="E1914">
        <v>2.3545315000000002E-3</v>
      </c>
    </row>
    <row r="1915" spans="1:5" x14ac:dyDescent="0.3">
      <c r="A1915" s="8">
        <v>62</v>
      </c>
      <c r="B1915" s="8">
        <v>23</v>
      </c>
      <c r="C1915" s="8">
        <v>3614</v>
      </c>
      <c r="D1915" s="16">
        <v>-5.7198850000000001E-3</v>
      </c>
      <c r="E1915">
        <v>-2.8599425E-3</v>
      </c>
    </row>
    <row r="1916" spans="1:5" x14ac:dyDescent="0.3">
      <c r="A1916" s="8">
        <v>62</v>
      </c>
      <c r="B1916" s="8">
        <v>24</v>
      </c>
      <c r="C1916" s="8">
        <v>3643</v>
      </c>
      <c r="D1916" s="16">
        <v>-3.8314330000000001E-2</v>
      </c>
      <c r="E1916">
        <v>-1.9157165E-2</v>
      </c>
    </row>
    <row r="1917" spans="1:5" x14ac:dyDescent="0.3">
      <c r="A1917" s="8">
        <v>62</v>
      </c>
      <c r="B1917" s="8">
        <v>25</v>
      </c>
      <c r="C1917" s="8">
        <v>3614</v>
      </c>
      <c r="D1917" s="16">
        <v>-4.5552549999999997E-2</v>
      </c>
      <c r="E1917">
        <v>-2.2776274999999999E-2</v>
      </c>
    </row>
    <row r="1918" spans="1:5" x14ac:dyDescent="0.3">
      <c r="A1918" s="8">
        <v>62</v>
      </c>
      <c r="B1918" s="8">
        <v>26</v>
      </c>
      <c r="C1918" s="8">
        <v>3643</v>
      </c>
      <c r="D1918" s="16">
        <v>-1.6788589999999999E-2</v>
      </c>
      <c r="E1918">
        <v>-8.3942949999999995E-3</v>
      </c>
    </row>
    <row r="1919" spans="1:5" x14ac:dyDescent="0.3">
      <c r="A1919" s="8">
        <v>62</v>
      </c>
      <c r="B1919" s="8">
        <v>27</v>
      </c>
      <c r="C1919" s="8">
        <v>3605</v>
      </c>
      <c r="D1919" s="16">
        <v>-6.6909839999999996E-3</v>
      </c>
      <c r="E1919">
        <v>-3.3454919999999998E-3</v>
      </c>
    </row>
    <row r="1920" spans="1:5" x14ac:dyDescent="0.3">
      <c r="A1920" s="8">
        <v>62</v>
      </c>
      <c r="B1920" s="8">
        <v>28</v>
      </c>
      <c r="C1920" s="8">
        <v>3566</v>
      </c>
      <c r="D1920" s="16">
        <v>-2.1144130000000001E-2</v>
      </c>
      <c r="E1920">
        <v>-1.0572065E-2</v>
      </c>
    </row>
    <row r="1921" spans="1:5" x14ac:dyDescent="0.3">
      <c r="A1921" s="8">
        <v>62</v>
      </c>
      <c r="B1921" s="8">
        <v>29</v>
      </c>
      <c r="C1921" s="8">
        <v>3594</v>
      </c>
      <c r="D1921" s="16">
        <v>-4.069413E-3</v>
      </c>
      <c r="E1921">
        <v>-2.0347065E-3</v>
      </c>
    </row>
    <row r="1922" spans="1:5" x14ac:dyDescent="0.3">
      <c r="A1922" s="8">
        <v>62</v>
      </c>
      <c r="B1922" s="8">
        <v>30</v>
      </c>
      <c r="C1922" s="8">
        <v>3609</v>
      </c>
      <c r="D1922" s="16">
        <v>-1.564283E-2</v>
      </c>
      <c r="E1922">
        <v>-7.821415E-3</v>
      </c>
    </row>
    <row r="1923" spans="1:5" x14ac:dyDescent="0.3">
      <c r="A1923" s="8">
        <v>62</v>
      </c>
      <c r="B1923" s="8">
        <v>31</v>
      </c>
      <c r="C1923" s="8">
        <v>3528</v>
      </c>
      <c r="D1923" s="16">
        <v>-2.4627679999999999E-2</v>
      </c>
      <c r="E1923">
        <v>-1.231384E-2</v>
      </c>
    </row>
    <row r="1924" spans="1:5" x14ac:dyDescent="0.3">
      <c r="A1924" s="8">
        <v>62</v>
      </c>
      <c r="B1924" s="8">
        <v>32</v>
      </c>
      <c r="C1924" s="8">
        <v>3592</v>
      </c>
      <c r="D1924" s="16">
        <v>-5.7135650000000003E-3</v>
      </c>
      <c r="E1924">
        <v>-2.8567825000000002E-3</v>
      </c>
    </row>
    <row r="1925" spans="1:5" x14ac:dyDescent="0.3">
      <c r="A1925" s="8">
        <v>62</v>
      </c>
      <c r="B1925" s="8">
        <v>33</v>
      </c>
      <c r="C1925" s="8">
        <v>3644</v>
      </c>
      <c r="D1925" s="16">
        <v>-1.14795E-2</v>
      </c>
      <c r="E1925">
        <v>-5.7397500000000001E-3</v>
      </c>
    </row>
    <row r="1926" spans="1:5" x14ac:dyDescent="0.3">
      <c r="A1926" s="8">
        <v>62</v>
      </c>
      <c r="B1926" s="8">
        <v>34</v>
      </c>
      <c r="C1926" s="8">
        <v>3633</v>
      </c>
      <c r="D1926" s="16">
        <v>-3.9481330000000002E-2</v>
      </c>
      <c r="E1926">
        <v>-1.9740665000000001E-2</v>
      </c>
    </row>
    <row r="1927" spans="1:5" x14ac:dyDescent="0.3">
      <c r="A1927" s="8">
        <v>62</v>
      </c>
      <c r="B1927" s="8">
        <v>35</v>
      </c>
      <c r="C1927" s="8">
        <v>3621</v>
      </c>
      <c r="D1927" s="16">
        <v>1.0607429999999999E-2</v>
      </c>
      <c r="E1927">
        <v>5.3037149999999996E-3</v>
      </c>
    </row>
    <row r="1928" spans="1:5" x14ac:dyDescent="0.3">
      <c r="A1928" s="8">
        <v>62</v>
      </c>
      <c r="B1928" s="8">
        <v>36</v>
      </c>
      <c r="C1928" s="8">
        <v>3621</v>
      </c>
      <c r="D1928" s="16">
        <v>-1.363434E-2</v>
      </c>
      <c r="E1928">
        <v>-6.81717E-3</v>
      </c>
    </row>
    <row r="1929" spans="1:5" x14ac:dyDescent="0.3">
      <c r="A1929" s="8">
        <v>62</v>
      </c>
      <c r="B1929" s="8">
        <v>37</v>
      </c>
      <c r="C1929" s="8">
        <v>3584</v>
      </c>
      <c r="D1929" s="16">
        <v>-1.170705E-2</v>
      </c>
      <c r="E1929">
        <v>-5.853525E-3</v>
      </c>
    </row>
    <row r="1930" spans="1:5" x14ac:dyDescent="0.3">
      <c r="A1930" s="8">
        <v>62</v>
      </c>
      <c r="B1930" s="8">
        <v>38</v>
      </c>
      <c r="C1930" s="8">
        <v>3640</v>
      </c>
      <c r="D1930" s="16">
        <v>-3.1069490000000002E-2</v>
      </c>
      <c r="E1930">
        <v>-1.5534745000000001E-2</v>
      </c>
    </row>
    <row r="1931" spans="1:5" x14ac:dyDescent="0.3">
      <c r="A1931" s="8">
        <v>62</v>
      </c>
      <c r="B1931" s="8">
        <v>39</v>
      </c>
      <c r="C1931" s="8">
        <v>3616</v>
      </c>
      <c r="D1931" s="16">
        <v>-2.471077E-2</v>
      </c>
      <c r="E1931">
        <v>-1.2355385E-2</v>
      </c>
    </row>
    <row r="1932" spans="1:5" x14ac:dyDescent="0.3">
      <c r="A1932" s="8">
        <v>62</v>
      </c>
      <c r="B1932" s="8">
        <v>40</v>
      </c>
      <c r="C1932" s="8">
        <v>3640</v>
      </c>
      <c r="D1932" s="16">
        <v>-5.3130240000000002E-2</v>
      </c>
      <c r="E1932">
        <v>-2.6565120000000001E-2</v>
      </c>
    </row>
    <row r="1933" spans="1:5" x14ac:dyDescent="0.3">
      <c r="A1933" s="8">
        <v>62</v>
      </c>
      <c r="B1933" s="8">
        <v>41</v>
      </c>
      <c r="C1933" s="8">
        <v>3589</v>
      </c>
      <c r="D1933" s="16">
        <v>-3.2984340000000001E-2</v>
      </c>
      <c r="E1933">
        <v>-1.649217E-2</v>
      </c>
    </row>
    <row r="1934" spans="1:5" x14ac:dyDescent="0.3">
      <c r="A1934" s="8">
        <v>62</v>
      </c>
      <c r="B1934" s="8">
        <v>42</v>
      </c>
      <c r="C1934" s="8">
        <v>3619</v>
      </c>
      <c r="D1934" s="16">
        <v>-3.5514270000000001E-2</v>
      </c>
      <c r="E1934">
        <v>-1.7757135E-2</v>
      </c>
    </row>
    <row r="1935" spans="1:5" x14ac:dyDescent="0.3">
      <c r="A1935" s="8">
        <v>62</v>
      </c>
      <c r="B1935" s="8">
        <v>43</v>
      </c>
      <c r="C1935" s="8">
        <v>3592</v>
      </c>
      <c r="D1935" s="16">
        <v>-2.0850299999999999E-2</v>
      </c>
      <c r="E1935">
        <v>-1.0425149999999999E-2</v>
      </c>
    </row>
    <row r="1936" spans="1:5" x14ac:dyDescent="0.3">
      <c r="A1936" s="8">
        <v>62</v>
      </c>
      <c r="B1936" s="8">
        <v>44</v>
      </c>
      <c r="C1936" s="8">
        <v>3580</v>
      </c>
      <c r="D1936" s="16">
        <v>4.1819580000000004E-3</v>
      </c>
      <c r="E1936">
        <v>2.0909790000000002E-3</v>
      </c>
    </row>
    <row r="1937" spans="1:5" x14ac:dyDescent="0.3">
      <c r="A1937" s="8">
        <v>62</v>
      </c>
      <c r="B1937" s="8">
        <v>45</v>
      </c>
      <c r="C1937" s="8">
        <v>3631</v>
      </c>
      <c r="D1937" s="16">
        <v>-6.6541630000000005E-4</v>
      </c>
      <c r="E1937">
        <v>-3.3270815000000002E-4</v>
      </c>
    </row>
    <row r="1938" spans="1:5" x14ac:dyDescent="0.3">
      <c r="A1938" s="8">
        <v>62</v>
      </c>
      <c r="B1938" s="8">
        <v>46</v>
      </c>
      <c r="C1938" s="8">
        <v>3615</v>
      </c>
      <c r="D1938" s="16">
        <v>-2.40445E-2</v>
      </c>
      <c r="E1938">
        <v>-1.202225E-2</v>
      </c>
    </row>
    <row r="1939" spans="1:5" x14ac:dyDescent="0.3">
      <c r="A1939" s="8">
        <v>62</v>
      </c>
      <c r="B1939" s="8">
        <v>47</v>
      </c>
      <c r="C1939" s="8">
        <v>3624</v>
      </c>
      <c r="D1939" s="16">
        <v>-1.299471E-2</v>
      </c>
      <c r="E1939">
        <v>-6.4973549999999998E-3</v>
      </c>
    </row>
    <row r="1940" spans="1:5" x14ac:dyDescent="0.3">
      <c r="A1940" s="8">
        <v>62</v>
      </c>
      <c r="B1940" s="8">
        <v>48</v>
      </c>
      <c r="C1940" s="8">
        <v>3599</v>
      </c>
      <c r="D1940" s="16">
        <v>3.8204719999999998E-2</v>
      </c>
      <c r="E1940">
        <v>1.9102359999999999E-2</v>
      </c>
    </row>
    <row r="1941" spans="1:5" x14ac:dyDescent="0.3">
      <c r="A1941" s="8">
        <v>62</v>
      </c>
      <c r="B1941" s="8">
        <v>49</v>
      </c>
      <c r="C1941" s="8">
        <v>3609</v>
      </c>
      <c r="D1941" s="16">
        <v>-4.0807780000000002E-2</v>
      </c>
      <c r="E1941">
        <v>-2.0403890000000001E-2</v>
      </c>
    </row>
    <row r="1942" spans="1:5" x14ac:dyDescent="0.3">
      <c r="A1942" s="8">
        <v>62</v>
      </c>
      <c r="B1942" s="8">
        <v>50</v>
      </c>
      <c r="C1942" s="8">
        <v>3646</v>
      </c>
      <c r="D1942" s="16">
        <v>-8.4129760000000008E-3</v>
      </c>
      <c r="E1942">
        <v>-4.2064880000000004E-3</v>
      </c>
    </row>
    <row r="1943" spans="1:5" x14ac:dyDescent="0.3">
      <c r="A1943" s="8">
        <v>62</v>
      </c>
      <c r="B1943" s="8">
        <v>51</v>
      </c>
      <c r="C1943" s="8">
        <v>3591</v>
      </c>
      <c r="D1943" s="16">
        <v>1.8814440000000002E-2</v>
      </c>
      <c r="E1943">
        <v>9.4072200000000009E-3</v>
      </c>
    </row>
    <row r="1944" spans="1:5" x14ac:dyDescent="0.3">
      <c r="A1944" s="8">
        <v>62</v>
      </c>
      <c r="B1944" s="8">
        <v>52</v>
      </c>
      <c r="C1944" s="8">
        <v>3602</v>
      </c>
      <c r="D1944" s="16">
        <v>-3.632146E-2</v>
      </c>
      <c r="E1944">
        <v>-1.816073E-2</v>
      </c>
    </row>
    <row r="1945" spans="1:5" x14ac:dyDescent="0.3">
      <c r="A1945" s="8">
        <v>62</v>
      </c>
      <c r="B1945" s="8">
        <v>53</v>
      </c>
      <c r="C1945" s="8">
        <v>3610</v>
      </c>
      <c r="D1945" s="16">
        <v>-5.2108410000000001E-2</v>
      </c>
      <c r="E1945">
        <v>-2.6054205E-2</v>
      </c>
    </row>
    <row r="1946" spans="1:5" x14ac:dyDescent="0.3">
      <c r="A1946" s="8">
        <v>62</v>
      </c>
      <c r="B1946" s="8">
        <v>54</v>
      </c>
      <c r="C1946" s="8">
        <v>3615</v>
      </c>
      <c r="D1946" s="16">
        <v>4.9802529999999996E-3</v>
      </c>
      <c r="E1946">
        <v>2.4901264999999998E-3</v>
      </c>
    </row>
    <row r="1947" spans="1:5" x14ac:dyDescent="0.3">
      <c r="A1947" s="8">
        <v>62</v>
      </c>
      <c r="B1947" s="8">
        <v>55</v>
      </c>
      <c r="C1947" s="8">
        <v>3627</v>
      </c>
      <c r="D1947" s="16">
        <v>-1.9052389999999999E-2</v>
      </c>
      <c r="E1947">
        <v>-9.5261949999999995E-3</v>
      </c>
    </row>
    <row r="1948" spans="1:5" x14ac:dyDescent="0.3">
      <c r="A1948" s="8">
        <v>62</v>
      </c>
      <c r="B1948" s="8">
        <v>56</v>
      </c>
      <c r="C1948" s="8">
        <v>3633</v>
      </c>
      <c r="D1948" s="16">
        <v>4.6582239999999999E-3</v>
      </c>
      <c r="E1948">
        <v>2.3291119999999999E-3</v>
      </c>
    </row>
    <row r="1949" spans="1:5" x14ac:dyDescent="0.3">
      <c r="A1949" s="8">
        <v>62</v>
      </c>
      <c r="B1949" s="8">
        <v>57</v>
      </c>
      <c r="C1949" s="8">
        <v>3654</v>
      </c>
      <c r="D1949" s="16">
        <v>-2.9229910000000001E-2</v>
      </c>
      <c r="E1949">
        <v>-1.4614955000000001E-2</v>
      </c>
    </row>
    <row r="1950" spans="1:5" x14ac:dyDescent="0.3">
      <c r="A1950" s="8">
        <v>62</v>
      </c>
      <c r="B1950" s="8">
        <v>58</v>
      </c>
      <c r="C1950" s="8">
        <v>3617</v>
      </c>
      <c r="D1950" s="16">
        <v>1.753157E-2</v>
      </c>
      <c r="E1950">
        <v>8.7657849999999999E-3</v>
      </c>
    </row>
    <row r="1951" spans="1:5" x14ac:dyDescent="0.3">
      <c r="A1951" s="8">
        <v>62</v>
      </c>
      <c r="B1951" s="8">
        <v>59</v>
      </c>
      <c r="C1951" s="8">
        <v>3639</v>
      </c>
      <c r="D1951" s="16">
        <v>2.0917600000000001E-2</v>
      </c>
      <c r="E1951">
        <v>1.0458800000000001E-2</v>
      </c>
    </row>
    <row r="1952" spans="1:5" x14ac:dyDescent="0.3">
      <c r="A1952" s="8">
        <v>62</v>
      </c>
      <c r="B1952" s="8">
        <v>60</v>
      </c>
      <c r="C1952" s="8">
        <v>3627</v>
      </c>
      <c r="D1952" s="16">
        <v>-1.7973619999999999E-2</v>
      </c>
      <c r="E1952">
        <v>-8.9868099999999996E-3</v>
      </c>
    </row>
    <row r="1953" spans="1:5" x14ac:dyDescent="0.3">
      <c r="A1953" s="8">
        <v>62</v>
      </c>
      <c r="B1953" s="8">
        <v>61</v>
      </c>
      <c r="C1953" s="8">
        <v>3624</v>
      </c>
      <c r="D1953" s="16">
        <v>-1.256291E-2</v>
      </c>
      <c r="E1953">
        <v>-6.281455E-3</v>
      </c>
    </row>
    <row r="1954" spans="1:5" x14ac:dyDescent="0.3">
      <c r="A1954" s="8">
        <v>62</v>
      </c>
      <c r="B1954" s="8">
        <v>62</v>
      </c>
      <c r="C1954" s="8">
        <v>3906</v>
      </c>
      <c r="D1954" s="16">
        <v>0.99463420000000002</v>
      </c>
      <c r="E1954"/>
    </row>
    <row r="1955" spans="1:5" x14ac:dyDescent="0.3">
      <c r="A1955" s="8">
        <v>63</v>
      </c>
      <c r="B1955" s="8">
        <v>1</v>
      </c>
      <c r="C1955" s="8">
        <v>3647</v>
      </c>
      <c r="D1955" s="16">
        <v>-4.4602339999999997E-2</v>
      </c>
      <c r="E1955">
        <v>-2.2301169999999999E-2</v>
      </c>
    </row>
    <row r="1956" spans="1:5" x14ac:dyDescent="0.3">
      <c r="A1956" s="8">
        <v>63</v>
      </c>
      <c r="B1956" s="8">
        <v>2</v>
      </c>
      <c r="C1956" s="8">
        <v>3621</v>
      </c>
      <c r="D1956" s="16">
        <v>-1.176399E-2</v>
      </c>
      <c r="E1956">
        <v>-5.8819950000000001E-3</v>
      </c>
    </row>
    <row r="1957" spans="1:5" x14ac:dyDescent="0.3">
      <c r="A1957" s="8">
        <v>63</v>
      </c>
      <c r="B1957" s="8">
        <v>3</v>
      </c>
      <c r="C1957" s="8">
        <v>3641</v>
      </c>
      <c r="D1957" s="16">
        <v>4.0706039999999999E-2</v>
      </c>
      <c r="E1957">
        <v>2.0353019999999999E-2</v>
      </c>
    </row>
    <row r="1958" spans="1:5" x14ac:dyDescent="0.3">
      <c r="A1958" s="8">
        <v>63</v>
      </c>
      <c r="B1958" s="8">
        <v>4</v>
      </c>
      <c r="C1958" s="8">
        <v>3591</v>
      </c>
      <c r="D1958" s="16">
        <v>-7.0764499999999994E-2</v>
      </c>
      <c r="E1958">
        <v>-3.5382249999999997E-2</v>
      </c>
    </row>
    <row r="1959" spans="1:5" x14ac:dyDescent="0.3">
      <c r="A1959" s="8">
        <v>63</v>
      </c>
      <c r="B1959" s="8">
        <v>5</v>
      </c>
      <c r="C1959" s="8">
        <v>3612</v>
      </c>
      <c r="D1959" s="16">
        <v>-7.0393640000000002E-3</v>
      </c>
      <c r="E1959">
        <v>-3.5196820000000001E-3</v>
      </c>
    </row>
    <row r="1960" spans="1:5" x14ac:dyDescent="0.3">
      <c r="A1960" s="8">
        <v>63</v>
      </c>
      <c r="B1960" s="8">
        <v>6</v>
      </c>
      <c r="C1960" s="8">
        <v>3619</v>
      </c>
      <c r="D1960" s="16">
        <v>-2.5134070000000001E-2</v>
      </c>
      <c r="E1960">
        <v>-1.2567035000000001E-2</v>
      </c>
    </row>
    <row r="1961" spans="1:5" x14ac:dyDescent="0.3">
      <c r="A1961" s="8">
        <v>63</v>
      </c>
      <c r="B1961" s="8">
        <v>7</v>
      </c>
      <c r="C1961" s="8">
        <v>3599</v>
      </c>
      <c r="D1961" s="16">
        <v>1.0433130000000001E-2</v>
      </c>
      <c r="E1961">
        <v>5.2165650000000003E-3</v>
      </c>
    </row>
    <row r="1962" spans="1:5" x14ac:dyDescent="0.3">
      <c r="A1962" s="8">
        <v>63</v>
      </c>
      <c r="B1962" s="8">
        <v>8</v>
      </c>
      <c r="C1962" s="8">
        <v>3629</v>
      </c>
      <c r="D1962" s="16">
        <v>-2.097752E-2</v>
      </c>
      <c r="E1962">
        <v>-1.048876E-2</v>
      </c>
    </row>
    <row r="1963" spans="1:5" x14ac:dyDescent="0.3">
      <c r="A1963" s="8">
        <v>63</v>
      </c>
      <c r="B1963" s="8">
        <v>9</v>
      </c>
      <c r="C1963" s="8">
        <v>3629</v>
      </c>
      <c r="D1963" s="16">
        <v>-1.8531479999999999E-2</v>
      </c>
      <c r="E1963">
        <v>-9.2657399999999997E-3</v>
      </c>
    </row>
    <row r="1964" spans="1:5" x14ac:dyDescent="0.3">
      <c r="A1964" s="8">
        <v>63</v>
      </c>
      <c r="B1964" s="8">
        <v>10</v>
      </c>
      <c r="C1964" s="8">
        <v>3624</v>
      </c>
      <c r="D1964" s="16">
        <v>-1.0173099999999999E-2</v>
      </c>
      <c r="E1964">
        <v>-5.0865499999999996E-3</v>
      </c>
    </row>
    <row r="1965" spans="1:5" x14ac:dyDescent="0.3">
      <c r="A1965" s="8">
        <v>63</v>
      </c>
      <c r="B1965" s="8">
        <v>11</v>
      </c>
      <c r="C1965" s="8">
        <v>3618</v>
      </c>
      <c r="D1965" s="16">
        <v>1.962858E-2</v>
      </c>
      <c r="E1965">
        <v>9.8142899999999998E-3</v>
      </c>
    </row>
    <row r="1966" spans="1:5" x14ac:dyDescent="0.3">
      <c r="A1966" s="8">
        <v>63</v>
      </c>
      <c r="B1966" s="8">
        <v>12</v>
      </c>
      <c r="C1966" s="8">
        <v>3640</v>
      </c>
      <c r="D1966" s="16">
        <v>-1.083285E-2</v>
      </c>
      <c r="E1966">
        <v>-5.4164249999999999E-3</v>
      </c>
    </row>
    <row r="1967" spans="1:5" x14ac:dyDescent="0.3">
      <c r="A1967" s="8">
        <v>63</v>
      </c>
      <c r="B1967" s="8">
        <v>13</v>
      </c>
      <c r="C1967" s="8">
        <v>3612</v>
      </c>
      <c r="D1967" s="16">
        <v>-4.0804720000000003E-2</v>
      </c>
      <c r="E1967">
        <v>-2.0402360000000001E-2</v>
      </c>
    </row>
    <row r="1968" spans="1:5" x14ac:dyDescent="0.3">
      <c r="A1968" s="8">
        <v>63</v>
      </c>
      <c r="B1968" s="8">
        <v>14</v>
      </c>
      <c r="C1968" s="8">
        <v>3615</v>
      </c>
      <c r="D1968" s="16">
        <v>1.9784599999999999E-2</v>
      </c>
      <c r="E1968">
        <v>9.8922999999999997E-3</v>
      </c>
    </row>
    <row r="1969" spans="1:5" x14ac:dyDescent="0.3">
      <c r="A1969" s="8">
        <v>63</v>
      </c>
      <c r="B1969" s="8">
        <v>15</v>
      </c>
      <c r="C1969" s="8">
        <v>3640</v>
      </c>
      <c r="D1969" s="16">
        <v>-2.8719499999999999E-2</v>
      </c>
      <c r="E1969">
        <v>-1.4359749999999999E-2</v>
      </c>
    </row>
    <row r="1970" spans="1:5" x14ac:dyDescent="0.3">
      <c r="A1970" s="8">
        <v>63</v>
      </c>
      <c r="B1970" s="8">
        <v>16</v>
      </c>
      <c r="C1970" s="8">
        <v>3612</v>
      </c>
      <c r="D1970" s="16">
        <v>-1.753944E-2</v>
      </c>
      <c r="E1970">
        <v>-8.7697199999999999E-3</v>
      </c>
    </row>
    <row r="1971" spans="1:5" x14ac:dyDescent="0.3">
      <c r="A1971" s="8">
        <v>63</v>
      </c>
      <c r="B1971" s="8">
        <v>17</v>
      </c>
      <c r="C1971" s="8">
        <v>3634</v>
      </c>
      <c r="D1971" s="16">
        <v>-3.5620590000000001E-2</v>
      </c>
      <c r="E1971">
        <v>-1.7810295E-2</v>
      </c>
    </row>
    <row r="1972" spans="1:5" x14ac:dyDescent="0.3">
      <c r="A1972" s="8">
        <v>63</v>
      </c>
      <c r="B1972" s="8">
        <v>18</v>
      </c>
      <c r="C1972" s="8">
        <v>3627</v>
      </c>
      <c r="D1972" s="16">
        <v>4.148334E-4</v>
      </c>
      <c r="E1972">
        <v>2.074167E-4</v>
      </c>
    </row>
    <row r="1973" spans="1:5" x14ac:dyDescent="0.3">
      <c r="A1973" s="8">
        <v>63</v>
      </c>
      <c r="B1973" s="8">
        <v>19</v>
      </c>
      <c r="C1973" s="8">
        <v>3587</v>
      </c>
      <c r="D1973" s="16">
        <v>-1.289511E-2</v>
      </c>
      <c r="E1973">
        <v>-6.4475549999999998E-3</v>
      </c>
    </row>
    <row r="1974" spans="1:5" x14ac:dyDescent="0.3">
      <c r="A1974" s="8">
        <v>63</v>
      </c>
      <c r="B1974" s="8">
        <v>20</v>
      </c>
      <c r="C1974" s="8">
        <v>3606</v>
      </c>
      <c r="D1974" s="16">
        <v>1.4676399999999999E-2</v>
      </c>
      <c r="E1974">
        <v>7.3381999999999996E-3</v>
      </c>
    </row>
    <row r="1975" spans="1:5" x14ac:dyDescent="0.3">
      <c r="A1975" s="8">
        <v>63</v>
      </c>
      <c r="B1975" s="8">
        <v>21</v>
      </c>
      <c r="C1975" s="8">
        <v>3644</v>
      </c>
      <c r="D1975" s="16">
        <v>-3.419591E-3</v>
      </c>
      <c r="E1975">
        <v>-1.7097955E-3</v>
      </c>
    </row>
    <row r="1976" spans="1:5" x14ac:dyDescent="0.3">
      <c r="A1976" s="8">
        <v>63</v>
      </c>
      <c r="B1976" s="8">
        <v>22</v>
      </c>
      <c r="C1976" s="8">
        <v>3606</v>
      </c>
      <c r="D1976" s="16">
        <v>4.8441409999999997E-2</v>
      </c>
      <c r="E1976">
        <v>2.4220704999999999E-2</v>
      </c>
    </row>
    <row r="1977" spans="1:5" x14ac:dyDescent="0.3">
      <c r="A1977" s="8">
        <v>63</v>
      </c>
      <c r="B1977" s="8">
        <v>23</v>
      </c>
      <c r="C1977" s="8">
        <v>3623</v>
      </c>
      <c r="D1977" s="16">
        <v>-3.7982950000000001E-2</v>
      </c>
      <c r="E1977">
        <v>-1.8991475000000001E-2</v>
      </c>
    </row>
    <row r="1978" spans="1:5" x14ac:dyDescent="0.3">
      <c r="A1978" s="8">
        <v>63</v>
      </c>
      <c r="B1978" s="8">
        <v>24</v>
      </c>
      <c r="C1978" s="8">
        <v>3629</v>
      </c>
      <c r="D1978" s="16">
        <v>1.260039E-2</v>
      </c>
      <c r="E1978">
        <v>6.3001949999999998E-3</v>
      </c>
    </row>
    <row r="1979" spans="1:5" x14ac:dyDescent="0.3">
      <c r="A1979" s="8">
        <v>63</v>
      </c>
      <c r="B1979" s="8">
        <v>25</v>
      </c>
      <c r="C1979" s="8">
        <v>3603</v>
      </c>
      <c r="D1979" s="16">
        <v>2.071052E-2</v>
      </c>
      <c r="E1979">
        <v>1.035526E-2</v>
      </c>
    </row>
    <row r="1980" spans="1:5" x14ac:dyDescent="0.3">
      <c r="A1980" s="8">
        <v>63</v>
      </c>
      <c r="B1980" s="8">
        <v>26</v>
      </c>
      <c r="C1980" s="8">
        <v>3644</v>
      </c>
      <c r="D1980" s="16">
        <v>1.9516260000000001E-2</v>
      </c>
      <c r="E1980">
        <v>9.7581300000000003E-3</v>
      </c>
    </row>
    <row r="1981" spans="1:5" x14ac:dyDescent="0.3">
      <c r="A1981" s="8">
        <v>63</v>
      </c>
      <c r="B1981" s="8">
        <v>27</v>
      </c>
      <c r="C1981" s="8">
        <v>3598</v>
      </c>
      <c r="D1981" s="16">
        <v>-8.1297450000000007E-3</v>
      </c>
      <c r="E1981">
        <v>-4.0648725000000004E-3</v>
      </c>
    </row>
    <row r="1982" spans="1:5" x14ac:dyDescent="0.3">
      <c r="A1982" s="8">
        <v>63</v>
      </c>
      <c r="B1982" s="8">
        <v>28</v>
      </c>
      <c r="C1982" s="8">
        <v>3575</v>
      </c>
      <c r="D1982" s="16">
        <v>-3.8653479999999997E-2</v>
      </c>
      <c r="E1982">
        <v>-1.9326739999999999E-2</v>
      </c>
    </row>
    <row r="1983" spans="1:5" x14ac:dyDescent="0.3">
      <c r="A1983" s="8">
        <v>63</v>
      </c>
      <c r="B1983" s="8">
        <v>29</v>
      </c>
      <c r="C1983" s="8">
        <v>3576</v>
      </c>
      <c r="D1983" s="16">
        <v>-2.3705440000000001E-2</v>
      </c>
      <c r="E1983">
        <v>-1.1852720000000001E-2</v>
      </c>
    </row>
    <row r="1984" spans="1:5" x14ac:dyDescent="0.3">
      <c r="A1984" s="8">
        <v>63</v>
      </c>
      <c r="B1984" s="8">
        <v>30</v>
      </c>
      <c r="C1984" s="8">
        <v>3593</v>
      </c>
      <c r="D1984" s="16">
        <v>-2.887209E-2</v>
      </c>
      <c r="E1984">
        <v>-1.4436045E-2</v>
      </c>
    </row>
    <row r="1985" spans="1:5" x14ac:dyDescent="0.3">
      <c r="A1985" s="8">
        <v>63</v>
      </c>
      <c r="B1985" s="8">
        <v>31</v>
      </c>
      <c r="C1985" s="8">
        <v>3532</v>
      </c>
      <c r="D1985" s="16">
        <v>-4.5784110000000001E-3</v>
      </c>
      <c r="E1985">
        <v>-2.2892055000000001E-3</v>
      </c>
    </row>
    <row r="1986" spans="1:5" x14ac:dyDescent="0.3">
      <c r="A1986" s="8">
        <v>63</v>
      </c>
      <c r="B1986" s="8">
        <v>32</v>
      </c>
      <c r="C1986" s="8">
        <v>3586</v>
      </c>
      <c r="D1986" s="16">
        <v>-3.1426889999999999E-2</v>
      </c>
      <c r="E1986">
        <v>-1.5713444999999999E-2</v>
      </c>
    </row>
    <row r="1987" spans="1:5" x14ac:dyDescent="0.3">
      <c r="A1987" s="8">
        <v>63</v>
      </c>
      <c r="B1987" s="8">
        <v>33</v>
      </c>
      <c r="C1987" s="8">
        <v>3641</v>
      </c>
      <c r="D1987" s="16">
        <v>-7.9138590000000005E-3</v>
      </c>
      <c r="E1987">
        <v>-3.9569295000000003E-3</v>
      </c>
    </row>
    <row r="1988" spans="1:5" x14ac:dyDescent="0.3">
      <c r="A1988" s="8">
        <v>63</v>
      </c>
      <c r="B1988" s="8">
        <v>34</v>
      </c>
      <c r="C1988" s="8">
        <v>3632</v>
      </c>
      <c r="D1988" s="16">
        <v>2.4960340000000001E-2</v>
      </c>
      <c r="E1988">
        <v>1.248017E-2</v>
      </c>
    </row>
    <row r="1989" spans="1:5" x14ac:dyDescent="0.3">
      <c r="A1989" s="8">
        <v>63</v>
      </c>
      <c r="B1989" s="8">
        <v>35</v>
      </c>
      <c r="C1989" s="8">
        <v>3602</v>
      </c>
      <c r="D1989" s="16">
        <v>-1.2915329999999999E-2</v>
      </c>
      <c r="E1989">
        <v>-6.4576649999999996E-3</v>
      </c>
    </row>
    <row r="1990" spans="1:5" x14ac:dyDescent="0.3">
      <c r="A1990" s="8">
        <v>63</v>
      </c>
      <c r="B1990" s="8">
        <v>36</v>
      </c>
      <c r="C1990" s="8">
        <v>3609</v>
      </c>
      <c r="D1990" s="16">
        <v>-2.010412E-2</v>
      </c>
      <c r="E1990">
        <v>-1.005206E-2</v>
      </c>
    </row>
    <row r="1991" spans="1:5" x14ac:dyDescent="0.3">
      <c r="A1991" s="8">
        <v>63</v>
      </c>
      <c r="B1991" s="8">
        <v>37</v>
      </c>
      <c r="C1991" s="8">
        <v>3584</v>
      </c>
      <c r="D1991" s="16">
        <v>-1.035145E-2</v>
      </c>
      <c r="E1991">
        <v>-5.1757249999999999E-3</v>
      </c>
    </row>
    <row r="1992" spans="1:5" x14ac:dyDescent="0.3">
      <c r="A1992" s="8">
        <v>63</v>
      </c>
      <c r="B1992" s="8">
        <v>38</v>
      </c>
      <c r="C1992" s="8">
        <v>3625</v>
      </c>
      <c r="D1992" s="16">
        <v>-1.1201859999999999E-2</v>
      </c>
      <c r="E1992">
        <v>-5.6009299999999996E-3</v>
      </c>
    </row>
    <row r="1993" spans="1:5" x14ac:dyDescent="0.3">
      <c r="A1993" s="8">
        <v>63</v>
      </c>
      <c r="B1993" s="8">
        <v>39</v>
      </c>
      <c r="C1993" s="8">
        <v>3613</v>
      </c>
      <c r="D1993" s="16">
        <v>-6.9111720000000001E-2</v>
      </c>
      <c r="E1993">
        <v>-3.4555860000000001E-2</v>
      </c>
    </row>
    <row r="1994" spans="1:5" x14ac:dyDescent="0.3">
      <c r="A1994" s="8">
        <v>63</v>
      </c>
      <c r="B1994" s="8">
        <v>40</v>
      </c>
      <c r="C1994" s="8">
        <v>3635</v>
      </c>
      <c r="D1994" s="16">
        <v>-2.211956E-2</v>
      </c>
      <c r="E1994">
        <v>-1.105978E-2</v>
      </c>
    </row>
    <row r="1995" spans="1:5" x14ac:dyDescent="0.3">
      <c r="A1995" s="8">
        <v>63</v>
      </c>
      <c r="B1995" s="8">
        <v>41</v>
      </c>
      <c r="C1995" s="8">
        <v>3578</v>
      </c>
      <c r="D1995" s="16">
        <v>-1.270046E-2</v>
      </c>
      <c r="E1995">
        <v>-6.3502300000000001E-3</v>
      </c>
    </row>
    <row r="1996" spans="1:5" x14ac:dyDescent="0.3">
      <c r="A1996" s="8">
        <v>63</v>
      </c>
      <c r="B1996" s="8">
        <v>42</v>
      </c>
      <c r="C1996" s="8">
        <v>3614</v>
      </c>
      <c r="D1996" s="16">
        <v>1.941149E-2</v>
      </c>
      <c r="E1996">
        <v>9.705745E-3</v>
      </c>
    </row>
    <row r="1997" spans="1:5" x14ac:dyDescent="0.3">
      <c r="A1997" s="8">
        <v>63</v>
      </c>
      <c r="B1997" s="8">
        <v>43</v>
      </c>
      <c r="C1997" s="8">
        <v>3580</v>
      </c>
      <c r="D1997" s="16">
        <v>-7.0244909999999999E-3</v>
      </c>
      <c r="E1997">
        <v>-3.5122454999999999E-3</v>
      </c>
    </row>
    <row r="1998" spans="1:5" x14ac:dyDescent="0.3">
      <c r="A1998" s="8">
        <v>63</v>
      </c>
      <c r="B1998" s="8">
        <v>44</v>
      </c>
      <c r="C1998" s="8">
        <v>3583</v>
      </c>
      <c r="D1998" s="16">
        <v>-1.6944629999999999E-2</v>
      </c>
      <c r="E1998">
        <v>-8.4723149999999994E-3</v>
      </c>
    </row>
    <row r="1999" spans="1:5" x14ac:dyDescent="0.3">
      <c r="A1999" s="8">
        <v>63</v>
      </c>
      <c r="B1999" s="8">
        <v>45</v>
      </c>
      <c r="C1999" s="8">
        <v>3631</v>
      </c>
      <c r="D1999" s="16">
        <v>-2.1605059999999999E-2</v>
      </c>
      <c r="E1999">
        <v>-1.0802529999999999E-2</v>
      </c>
    </row>
    <row r="2000" spans="1:5" x14ac:dyDescent="0.3">
      <c r="A2000" s="8">
        <v>63</v>
      </c>
      <c r="B2000" s="8">
        <v>46</v>
      </c>
      <c r="C2000" s="8">
        <v>3613</v>
      </c>
      <c r="D2000" s="16">
        <v>1.5933159999999998E-2</v>
      </c>
      <c r="E2000">
        <v>7.9665799999999991E-3</v>
      </c>
    </row>
    <row r="2001" spans="1:5" x14ac:dyDescent="0.3">
      <c r="A2001" s="8">
        <v>63</v>
      </c>
      <c r="B2001" s="8">
        <v>47</v>
      </c>
      <c r="C2001" s="8">
        <v>3614</v>
      </c>
      <c r="D2001" s="16">
        <v>-1.8979599999999999E-2</v>
      </c>
      <c r="E2001">
        <v>-9.4897999999999996E-3</v>
      </c>
    </row>
    <row r="2002" spans="1:5" x14ac:dyDescent="0.3">
      <c r="A2002" s="8">
        <v>63</v>
      </c>
      <c r="B2002" s="8">
        <v>48</v>
      </c>
      <c r="C2002" s="8">
        <v>3598</v>
      </c>
      <c r="D2002" s="16">
        <v>2.0171080000000001E-3</v>
      </c>
      <c r="E2002">
        <v>1.008554E-3</v>
      </c>
    </row>
    <row r="2003" spans="1:5" x14ac:dyDescent="0.3">
      <c r="A2003" s="8">
        <v>63</v>
      </c>
      <c r="B2003" s="8">
        <v>49</v>
      </c>
      <c r="C2003" s="8">
        <v>3608</v>
      </c>
      <c r="D2003" s="16">
        <v>-2.986874E-3</v>
      </c>
      <c r="E2003">
        <v>-1.493437E-3</v>
      </c>
    </row>
    <row r="2004" spans="1:5" x14ac:dyDescent="0.3">
      <c r="A2004" s="8">
        <v>63</v>
      </c>
      <c r="B2004" s="8">
        <v>50</v>
      </c>
      <c r="C2004" s="8">
        <v>3635</v>
      </c>
      <c r="D2004" s="16">
        <v>-2.2050210000000001E-2</v>
      </c>
      <c r="E2004">
        <v>-1.1025105E-2</v>
      </c>
    </row>
    <row r="2005" spans="1:5" x14ac:dyDescent="0.3">
      <c r="A2005" s="8">
        <v>63</v>
      </c>
      <c r="B2005" s="8">
        <v>51</v>
      </c>
      <c r="C2005" s="8">
        <v>3591</v>
      </c>
      <c r="D2005" s="16">
        <v>-3.5692950000000001E-2</v>
      </c>
      <c r="E2005">
        <v>-1.7846475000000001E-2</v>
      </c>
    </row>
    <row r="2006" spans="1:5" x14ac:dyDescent="0.3">
      <c r="A2006" s="8">
        <v>63</v>
      </c>
      <c r="B2006" s="8">
        <v>52</v>
      </c>
      <c r="C2006" s="8">
        <v>3585</v>
      </c>
      <c r="D2006" s="16">
        <v>2.7688959999999999E-2</v>
      </c>
      <c r="E2006">
        <v>1.3844479999999999E-2</v>
      </c>
    </row>
    <row r="2007" spans="1:5" x14ac:dyDescent="0.3">
      <c r="A2007" s="8">
        <v>63</v>
      </c>
      <c r="B2007" s="8">
        <v>53</v>
      </c>
      <c r="C2007" s="8">
        <v>3613</v>
      </c>
      <c r="D2007" s="16">
        <v>-2.8047389999999998E-2</v>
      </c>
      <c r="E2007">
        <v>-1.4023694999999999E-2</v>
      </c>
    </row>
    <row r="2008" spans="1:5" x14ac:dyDescent="0.3">
      <c r="A2008" s="8">
        <v>63</v>
      </c>
      <c r="B2008" s="8">
        <v>54</v>
      </c>
      <c r="C2008" s="8">
        <v>3592</v>
      </c>
      <c r="D2008" s="16">
        <v>2.7405860000000001E-2</v>
      </c>
      <c r="E2008">
        <v>1.370293E-2</v>
      </c>
    </row>
    <row r="2009" spans="1:5" x14ac:dyDescent="0.3">
      <c r="A2009" s="8">
        <v>63</v>
      </c>
      <c r="B2009" s="8">
        <v>55</v>
      </c>
      <c r="C2009" s="8">
        <v>3620</v>
      </c>
      <c r="D2009" s="16">
        <v>-4.04529E-2</v>
      </c>
      <c r="E2009">
        <v>-2.022645E-2</v>
      </c>
    </row>
    <row r="2010" spans="1:5" x14ac:dyDescent="0.3">
      <c r="A2010" s="8">
        <v>63</v>
      </c>
      <c r="B2010" s="8">
        <v>56</v>
      </c>
      <c r="C2010" s="8">
        <v>3633</v>
      </c>
      <c r="D2010" s="16">
        <v>-2.045814E-2</v>
      </c>
      <c r="E2010">
        <v>-1.022907E-2</v>
      </c>
    </row>
    <row r="2011" spans="1:5" x14ac:dyDescent="0.3">
      <c r="A2011" s="8">
        <v>63</v>
      </c>
      <c r="B2011" s="8">
        <v>57</v>
      </c>
      <c r="C2011" s="8">
        <v>3642</v>
      </c>
      <c r="D2011" s="16">
        <v>6.3235039999999998E-3</v>
      </c>
      <c r="E2011">
        <v>3.1617519999999999E-3</v>
      </c>
    </row>
    <row r="2012" spans="1:5" x14ac:dyDescent="0.3">
      <c r="A2012" s="8">
        <v>63</v>
      </c>
      <c r="B2012" s="8">
        <v>58</v>
      </c>
      <c r="C2012" s="8">
        <v>3616</v>
      </c>
      <c r="D2012" s="16">
        <v>-1.389981E-3</v>
      </c>
      <c r="E2012">
        <v>-6.9499049999999999E-4</v>
      </c>
    </row>
    <row r="2013" spans="1:5" x14ac:dyDescent="0.3">
      <c r="A2013" s="8">
        <v>63</v>
      </c>
      <c r="B2013" s="8">
        <v>59</v>
      </c>
      <c r="C2013" s="8">
        <v>3634</v>
      </c>
      <c r="D2013" s="16">
        <v>9.1369469999999994E-3</v>
      </c>
      <c r="E2013">
        <v>4.5684734999999997E-3</v>
      </c>
    </row>
    <row r="2014" spans="1:5" x14ac:dyDescent="0.3">
      <c r="A2014" s="8">
        <v>63</v>
      </c>
      <c r="B2014" s="8">
        <v>60</v>
      </c>
      <c r="C2014" s="8">
        <v>3616</v>
      </c>
      <c r="D2014" s="16">
        <v>-3.4200849999999998E-3</v>
      </c>
      <c r="E2014">
        <v>-1.7100424999999999E-3</v>
      </c>
    </row>
    <row r="2015" spans="1:5" x14ac:dyDescent="0.3">
      <c r="A2015" s="8">
        <v>63</v>
      </c>
      <c r="B2015" s="8">
        <v>61</v>
      </c>
      <c r="C2015" s="8">
        <v>3610</v>
      </c>
      <c r="D2015" s="16">
        <v>5.0293890000000004E-3</v>
      </c>
      <c r="E2015">
        <v>2.5146945000000002E-3</v>
      </c>
    </row>
    <row r="2016" spans="1:5" x14ac:dyDescent="0.3">
      <c r="A2016" s="8">
        <v>63</v>
      </c>
      <c r="B2016" s="8">
        <v>62</v>
      </c>
      <c r="C2016" s="8">
        <v>3629</v>
      </c>
      <c r="D2016" s="16">
        <v>-4.2496979999999997E-2</v>
      </c>
      <c r="E2016">
        <v>-2.1248489999999998E-2</v>
      </c>
    </row>
    <row r="2017" spans="1:5" x14ac:dyDescent="0.3">
      <c r="A2017" s="8">
        <v>63</v>
      </c>
      <c r="B2017" s="8">
        <v>63</v>
      </c>
      <c r="C2017" s="8">
        <v>3900</v>
      </c>
      <c r="D2017" s="16">
        <v>0.99696799999999997</v>
      </c>
      <c r="E2017"/>
    </row>
    <row r="2018" spans="1:5" x14ac:dyDescent="0.3">
      <c r="A2018" s="8">
        <v>64</v>
      </c>
      <c r="B2018" s="8">
        <v>1</v>
      </c>
      <c r="C2018" s="8">
        <v>3602</v>
      </c>
      <c r="D2018" s="16">
        <v>-3.4058129999999999E-2</v>
      </c>
      <c r="E2018">
        <v>-1.7029064999999999E-2</v>
      </c>
    </row>
    <row r="2019" spans="1:5" x14ac:dyDescent="0.3">
      <c r="A2019" s="8">
        <v>64</v>
      </c>
      <c r="B2019" s="8">
        <v>2</v>
      </c>
      <c r="C2019" s="8">
        <v>3586</v>
      </c>
      <c r="D2019" s="16">
        <v>-3.699765E-2</v>
      </c>
      <c r="E2019">
        <v>-1.8498825E-2</v>
      </c>
    </row>
    <row r="2020" spans="1:5" x14ac:dyDescent="0.3">
      <c r="A2020" s="8">
        <v>64</v>
      </c>
      <c r="B2020" s="8">
        <v>3</v>
      </c>
      <c r="C2020" s="8">
        <v>3608</v>
      </c>
      <c r="D2020" s="16">
        <v>-3.4227840000000002E-2</v>
      </c>
      <c r="E2020">
        <v>-1.7113920000000001E-2</v>
      </c>
    </row>
    <row r="2021" spans="1:5" x14ac:dyDescent="0.3">
      <c r="A2021" s="8">
        <v>64</v>
      </c>
      <c r="B2021" s="8">
        <v>4</v>
      </c>
      <c r="C2021" s="8">
        <v>3557</v>
      </c>
      <c r="D2021" s="16">
        <v>3.128562E-2</v>
      </c>
      <c r="E2021">
        <v>1.564281E-2</v>
      </c>
    </row>
    <row r="2022" spans="1:5" x14ac:dyDescent="0.3">
      <c r="A2022" s="8">
        <v>64</v>
      </c>
      <c r="B2022" s="8">
        <v>5</v>
      </c>
      <c r="C2022" s="8">
        <v>3582</v>
      </c>
      <c r="D2022" s="16">
        <v>-2.158146E-2</v>
      </c>
      <c r="E2022">
        <v>-1.079073E-2</v>
      </c>
    </row>
    <row r="2023" spans="1:5" x14ac:dyDescent="0.3">
      <c r="A2023" s="8">
        <v>64</v>
      </c>
      <c r="B2023" s="8">
        <v>6</v>
      </c>
      <c r="C2023" s="8">
        <v>3583</v>
      </c>
      <c r="D2023" s="16">
        <v>-3.0213529999999999E-2</v>
      </c>
      <c r="E2023">
        <v>-1.5106764999999999E-2</v>
      </c>
    </row>
    <row r="2024" spans="1:5" x14ac:dyDescent="0.3">
      <c r="A2024" s="8">
        <v>64</v>
      </c>
      <c r="B2024" s="8">
        <v>7</v>
      </c>
      <c r="C2024" s="8">
        <v>3546</v>
      </c>
      <c r="D2024" s="16">
        <v>-3.3980709999999997E-2</v>
      </c>
      <c r="E2024">
        <v>-1.6990354999999999E-2</v>
      </c>
    </row>
    <row r="2025" spans="1:5" x14ac:dyDescent="0.3">
      <c r="A2025" s="8">
        <v>64</v>
      </c>
      <c r="B2025" s="8">
        <v>8</v>
      </c>
      <c r="C2025" s="8">
        <v>3584</v>
      </c>
      <c r="D2025" s="16">
        <v>5.6781239999999997E-3</v>
      </c>
      <c r="E2025">
        <v>2.8390619999999998E-3</v>
      </c>
    </row>
    <row r="2026" spans="1:5" x14ac:dyDescent="0.3">
      <c r="A2026" s="8">
        <v>64</v>
      </c>
      <c r="B2026" s="8">
        <v>9</v>
      </c>
      <c r="C2026" s="8">
        <v>3578</v>
      </c>
      <c r="D2026" s="16">
        <v>-1.4559870000000001E-2</v>
      </c>
      <c r="E2026">
        <v>-7.2799350000000004E-3</v>
      </c>
    </row>
    <row r="2027" spans="1:5" x14ac:dyDescent="0.3">
      <c r="A2027" s="8">
        <v>64</v>
      </c>
      <c r="B2027" s="8">
        <v>10</v>
      </c>
      <c r="C2027" s="8">
        <v>3597</v>
      </c>
      <c r="D2027" s="16">
        <v>-5.6186029999999998E-2</v>
      </c>
      <c r="E2027">
        <v>-2.8093014999999999E-2</v>
      </c>
    </row>
    <row r="2028" spans="1:5" x14ac:dyDescent="0.3">
      <c r="A2028" s="8">
        <v>64</v>
      </c>
      <c r="B2028" s="8">
        <v>11</v>
      </c>
      <c r="C2028" s="8">
        <v>3592</v>
      </c>
      <c r="D2028" s="16">
        <v>-6.8619420000000002E-3</v>
      </c>
      <c r="E2028">
        <v>-3.4309710000000001E-3</v>
      </c>
    </row>
    <row r="2029" spans="1:5" x14ac:dyDescent="0.3">
      <c r="A2029" s="8">
        <v>64</v>
      </c>
      <c r="B2029" s="8">
        <v>12</v>
      </c>
      <c r="C2029" s="8">
        <v>3596</v>
      </c>
      <c r="D2029" s="16">
        <v>-2.5623730000000001E-2</v>
      </c>
      <c r="E2029">
        <v>-1.2811865E-2</v>
      </c>
    </row>
    <row r="2030" spans="1:5" x14ac:dyDescent="0.3">
      <c r="A2030" s="8">
        <v>64</v>
      </c>
      <c r="B2030" s="8">
        <v>13</v>
      </c>
      <c r="C2030" s="8">
        <v>3577</v>
      </c>
      <c r="D2030" s="16">
        <v>4.580621E-2</v>
      </c>
      <c r="E2030">
        <v>2.2903105E-2</v>
      </c>
    </row>
    <row r="2031" spans="1:5" x14ac:dyDescent="0.3">
      <c r="A2031" s="8">
        <v>64</v>
      </c>
      <c r="B2031" s="8">
        <v>14</v>
      </c>
      <c r="C2031" s="8">
        <v>3580</v>
      </c>
      <c r="D2031" s="16">
        <v>6.8618220000000001E-3</v>
      </c>
      <c r="E2031">
        <v>3.430911E-3</v>
      </c>
    </row>
    <row r="2032" spans="1:5" x14ac:dyDescent="0.3">
      <c r="A2032" s="8">
        <v>64</v>
      </c>
      <c r="B2032" s="8">
        <v>15</v>
      </c>
      <c r="C2032" s="8">
        <v>3608</v>
      </c>
      <c r="D2032" s="16">
        <v>1.4627950000000001E-2</v>
      </c>
      <c r="E2032">
        <v>7.3139750000000003E-3</v>
      </c>
    </row>
    <row r="2033" spans="1:5" x14ac:dyDescent="0.3">
      <c r="A2033" s="8">
        <v>64</v>
      </c>
      <c r="B2033" s="8">
        <v>16</v>
      </c>
      <c r="C2033" s="8">
        <v>3568</v>
      </c>
      <c r="D2033" s="16">
        <v>-4.3143580000000001E-2</v>
      </c>
      <c r="E2033">
        <v>-2.157179E-2</v>
      </c>
    </row>
    <row r="2034" spans="1:5" x14ac:dyDescent="0.3">
      <c r="A2034" s="8">
        <v>64</v>
      </c>
      <c r="B2034" s="8">
        <v>17</v>
      </c>
      <c r="C2034" s="8">
        <v>3587</v>
      </c>
      <c r="D2034" s="16">
        <v>-2.7446160000000001E-2</v>
      </c>
      <c r="E2034">
        <v>-1.372308E-2</v>
      </c>
    </row>
    <row r="2035" spans="1:5" x14ac:dyDescent="0.3">
      <c r="A2035" s="8">
        <v>64</v>
      </c>
      <c r="B2035" s="8">
        <v>18</v>
      </c>
      <c r="C2035" s="8">
        <v>3589</v>
      </c>
      <c r="D2035" s="16">
        <v>1.1523500000000001E-2</v>
      </c>
      <c r="E2035">
        <v>5.7617500000000004E-3</v>
      </c>
    </row>
    <row r="2036" spans="1:5" x14ac:dyDescent="0.3">
      <c r="A2036" s="8">
        <v>64</v>
      </c>
      <c r="B2036" s="8">
        <v>19</v>
      </c>
      <c r="C2036" s="8">
        <v>3564</v>
      </c>
      <c r="D2036" s="16">
        <v>2.1323809999999999E-2</v>
      </c>
      <c r="E2036">
        <v>1.0661904999999999E-2</v>
      </c>
    </row>
    <row r="2037" spans="1:5" x14ac:dyDescent="0.3">
      <c r="A2037" s="8">
        <v>64</v>
      </c>
      <c r="B2037" s="8">
        <v>20</v>
      </c>
      <c r="C2037" s="8">
        <v>3556</v>
      </c>
      <c r="D2037" s="16">
        <v>-1.4022079999999999E-2</v>
      </c>
      <c r="E2037">
        <v>-7.0110399999999996E-3</v>
      </c>
    </row>
    <row r="2038" spans="1:5" x14ac:dyDescent="0.3">
      <c r="A2038" s="8">
        <v>64</v>
      </c>
      <c r="B2038" s="8">
        <v>21</v>
      </c>
      <c r="C2038" s="8">
        <v>3613</v>
      </c>
      <c r="D2038" s="16">
        <v>-1.5165990000000001E-2</v>
      </c>
      <c r="E2038">
        <v>-7.5829950000000004E-3</v>
      </c>
    </row>
    <row r="2039" spans="1:5" x14ac:dyDescent="0.3">
      <c r="A2039" s="8">
        <v>64</v>
      </c>
      <c r="B2039" s="8">
        <v>22</v>
      </c>
      <c r="C2039" s="8">
        <v>3563</v>
      </c>
      <c r="D2039" s="16">
        <v>-2.3519379999999999E-2</v>
      </c>
      <c r="E2039">
        <v>-1.175969E-2</v>
      </c>
    </row>
    <row r="2040" spans="1:5" x14ac:dyDescent="0.3">
      <c r="A2040" s="8">
        <v>64</v>
      </c>
      <c r="B2040" s="8">
        <v>23</v>
      </c>
      <c r="C2040" s="8">
        <v>3577</v>
      </c>
      <c r="D2040" s="16">
        <v>-3.7512499999999997E-2</v>
      </c>
      <c r="E2040">
        <v>-1.8756249999999999E-2</v>
      </c>
    </row>
    <row r="2041" spans="1:5" x14ac:dyDescent="0.3">
      <c r="A2041" s="8">
        <v>64</v>
      </c>
      <c r="B2041" s="8">
        <v>24</v>
      </c>
      <c r="C2041" s="8">
        <v>3589</v>
      </c>
      <c r="D2041" s="16">
        <v>1.322655E-2</v>
      </c>
      <c r="E2041">
        <v>6.6132750000000001E-3</v>
      </c>
    </row>
    <row r="2042" spans="1:5" x14ac:dyDescent="0.3">
      <c r="A2042" s="8">
        <v>64</v>
      </c>
      <c r="B2042" s="8">
        <v>25</v>
      </c>
      <c r="C2042" s="8">
        <v>3563</v>
      </c>
      <c r="D2042" s="16">
        <v>-1.4615360000000001E-2</v>
      </c>
      <c r="E2042">
        <v>-7.3076800000000004E-3</v>
      </c>
    </row>
    <row r="2043" spans="1:5" x14ac:dyDescent="0.3">
      <c r="A2043" s="8">
        <v>64</v>
      </c>
      <c r="B2043" s="8">
        <v>26</v>
      </c>
      <c r="C2043" s="8">
        <v>3597</v>
      </c>
      <c r="D2043" s="16">
        <v>-2.224326E-3</v>
      </c>
      <c r="E2043">
        <v>-1.112163E-3</v>
      </c>
    </row>
    <row r="2044" spans="1:5" x14ac:dyDescent="0.3">
      <c r="A2044" s="8">
        <v>64</v>
      </c>
      <c r="B2044" s="8">
        <v>27</v>
      </c>
      <c r="C2044" s="8">
        <v>3564</v>
      </c>
      <c r="D2044" s="16">
        <v>3.0682830000000001E-2</v>
      </c>
      <c r="E2044">
        <v>1.5341415000000001E-2</v>
      </c>
    </row>
    <row r="2045" spans="1:5" x14ac:dyDescent="0.3">
      <c r="A2045" s="8">
        <v>64</v>
      </c>
      <c r="B2045" s="8">
        <v>28</v>
      </c>
      <c r="C2045" s="8">
        <v>3535</v>
      </c>
      <c r="D2045" s="16">
        <v>-1.13022E-2</v>
      </c>
      <c r="E2045">
        <v>-5.6511E-3</v>
      </c>
    </row>
    <row r="2046" spans="1:5" x14ac:dyDescent="0.3">
      <c r="A2046" s="8">
        <v>64</v>
      </c>
      <c r="B2046" s="8">
        <v>29</v>
      </c>
      <c r="C2046" s="8">
        <v>3556</v>
      </c>
      <c r="D2046" s="16">
        <v>-4.7354180000000003E-2</v>
      </c>
      <c r="E2046">
        <v>-2.3677090000000001E-2</v>
      </c>
    </row>
    <row r="2047" spans="1:5" x14ac:dyDescent="0.3">
      <c r="A2047" s="8">
        <v>64</v>
      </c>
      <c r="B2047" s="8">
        <v>30</v>
      </c>
      <c r="C2047" s="8">
        <v>3554</v>
      </c>
      <c r="D2047" s="16">
        <v>-5.0708589999999998E-2</v>
      </c>
      <c r="E2047">
        <v>-2.5354294999999999E-2</v>
      </c>
    </row>
    <row r="2048" spans="1:5" x14ac:dyDescent="0.3">
      <c r="A2048" s="8">
        <v>64</v>
      </c>
      <c r="B2048" s="8">
        <v>31</v>
      </c>
      <c r="C2048" s="8">
        <v>3493</v>
      </c>
      <c r="D2048" s="16">
        <v>-2.933299E-2</v>
      </c>
      <c r="E2048">
        <v>-1.4666495E-2</v>
      </c>
    </row>
    <row r="2049" spans="1:5" x14ac:dyDescent="0.3">
      <c r="A2049" s="8">
        <v>64</v>
      </c>
      <c r="B2049" s="8">
        <v>32</v>
      </c>
      <c r="C2049" s="8">
        <v>3556</v>
      </c>
      <c r="D2049" s="16">
        <v>2.1458060000000001E-2</v>
      </c>
      <c r="E2049">
        <v>1.0729030000000001E-2</v>
      </c>
    </row>
    <row r="2050" spans="1:5" x14ac:dyDescent="0.3">
      <c r="A2050" s="8">
        <v>64</v>
      </c>
      <c r="B2050" s="8">
        <v>33</v>
      </c>
      <c r="C2050" s="8">
        <v>3601</v>
      </c>
      <c r="D2050" s="16">
        <v>-7.5433050000000001E-3</v>
      </c>
      <c r="E2050">
        <v>-3.7716525000000001E-3</v>
      </c>
    </row>
    <row r="2051" spans="1:5" x14ac:dyDescent="0.3">
      <c r="A2051" s="8">
        <v>64</v>
      </c>
      <c r="B2051" s="8">
        <v>34</v>
      </c>
      <c r="C2051" s="8">
        <v>3590</v>
      </c>
      <c r="D2051" s="16">
        <v>-1.247645E-2</v>
      </c>
      <c r="E2051">
        <v>-6.238225E-3</v>
      </c>
    </row>
    <row r="2052" spans="1:5" x14ac:dyDescent="0.3">
      <c r="A2052" s="8">
        <v>64</v>
      </c>
      <c r="B2052" s="8">
        <v>35</v>
      </c>
      <c r="C2052" s="8">
        <v>3581</v>
      </c>
      <c r="D2052" s="16">
        <v>-2.8678700000000001E-2</v>
      </c>
      <c r="E2052">
        <v>-1.4339350000000001E-2</v>
      </c>
    </row>
    <row r="2053" spans="1:5" x14ac:dyDescent="0.3">
      <c r="A2053" s="8">
        <v>64</v>
      </c>
      <c r="B2053" s="8">
        <v>36</v>
      </c>
      <c r="C2053" s="8">
        <v>3570</v>
      </c>
      <c r="D2053" s="16">
        <v>3.3418509999999998E-2</v>
      </c>
      <c r="E2053">
        <v>1.6709254999999999E-2</v>
      </c>
    </row>
    <row r="2054" spans="1:5" x14ac:dyDescent="0.3">
      <c r="A2054" s="8">
        <v>64</v>
      </c>
      <c r="B2054" s="8">
        <v>37</v>
      </c>
      <c r="C2054" s="8">
        <v>3546</v>
      </c>
      <c r="D2054" s="16">
        <v>-5.0371749999999996E-3</v>
      </c>
      <c r="E2054">
        <v>-2.5185874999999998E-3</v>
      </c>
    </row>
    <row r="2055" spans="1:5" x14ac:dyDescent="0.3">
      <c r="A2055" s="8">
        <v>64</v>
      </c>
      <c r="B2055" s="8">
        <v>38</v>
      </c>
      <c r="C2055" s="8">
        <v>3605</v>
      </c>
      <c r="D2055" s="16">
        <v>-4.030504E-2</v>
      </c>
      <c r="E2055">
        <v>-2.015252E-2</v>
      </c>
    </row>
    <row r="2056" spans="1:5" x14ac:dyDescent="0.3">
      <c r="A2056" s="8">
        <v>64</v>
      </c>
      <c r="B2056" s="8">
        <v>39</v>
      </c>
      <c r="C2056" s="8">
        <v>3568</v>
      </c>
      <c r="D2056" s="16">
        <v>-7.2553189999999997E-3</v>
      </c>
      <c r="E2056">
        <v>-3.6276594999999998E-3</v>
      </c>
    </row>
    <row r="2057" spans="1:5" x14ac:dyDescent="0.3">
      <c r="A2057" s="8">
        <v>64</v>
      </c>
      <c r="B2057" s="8">
        <v>40</v>
      </c>
      <c r="C2057" s="8">
        <v>3586</v>
      </c>
      <c r="D2057" s="16">
        <v>-2.528205E-2</v>
      </c>
      <c r="E2057">
        <v>-1.2641025E-2</v>
      </c>
    </row>
    <row r="2058" spans="1:5" x14ac:dyDescent="0.3">
      <c r="A2058" s="8">
        <v>64</v>
      </c>
      <c r="B2058" s="8">
        <v>41</v>
      </c>
      <c r="C2058" s="8">
        <v>3549</v>
      </c>
      <c r="D2058" s="16">
        <v>-2.2109469999999999E-2</v>
      </c>
      <c r="E2058">
        <v>-1.1054735E-2</v>
      </c>
    </row>
    <row r="2059" spans="1:5" x14ac:dyDescent="0.3">
      <c r="A2059" s="8">
        <v>64</v>
      </c>
      <c r="B2059" s="8">
        <v>42</v>
      </c>
      <c r="C2059" s="8">
        <v>3580</v>
      </c>
      <c r="D2059" s="16">
        <v>-1.698318E-2</v>
      </c>
      <c r="E2059">
        <v>-8.4915900000000002E-3</v>
      </c>
    </row>
    <row r="2060" spans="1:5" x14ac:dyDescent="0.3">
      <c r="A2060" s="8">
        <v>64</v>
      </c>
      <c r="B2060" s="8">
        <v>43</v>
      </c>
      <c r="C2060" s="8">
        <v>3544</v>
      </c>
      <c r="D2060" s="16">
        <v>-1.8018559999999999E-2</v>
      </c>
      <c r="E2060">
        <v>-9.0092799999999997E-3</v>
      </c>
    </row>
    <row r="2061" spans="1:5" x14ac:dyDescent="0.3">
      <c r="A2061" s="8">
        <v>64</v>
      </c>
      <c r="B2061" s="8">
        <v>44</v>
      </c>
      <c r="C2061" s="8">
        <v>3538</v>
      </c>
      <c r="D2061" s="16">
        <v>5.3484429999999996E-3</v>
      </c>
      <c r="E2061">
        <v>2.6742214999999998E-3</v>
      </c>
    </row>
    <row r="2062" spans="1:5" x14ac:dyDescent="0.3">
      <c r="A2062" s="8">
        <v>64</v>
      </c>
      <c r="B2062" s="8">
        <v>45</v>
      </c>
      <c r="C2062" s="8">
        <v>3598</v>
      </c>
      <c r="D2062" s="16">
        <v>4.0449659999999998E-2</v>
      </c>
      <c r="E2062">
        <v>2.0224829999999999E-2</v>
      </c>
    </row>
    <row r="2063" spans="1:5" x14ac:dyDescent="0.3">
      <c r="A2063" s="8">
        <v>64</v>
      </c>
      <c r="B2063" s="8">
        <v>46</v>
      </c>
      <c r="C2063" s="8">
        <v>3580</v>
      </c>
      <c r="D2063" s="16">
        <v>-1.8840019999999999E-2</v>
      </c>
      <c r="E2063">
        <v>-9.4200099999999995E-3</v>
      </c>
    </row>
    <row r="2064" spans="1:5" x14ac:dyDescent="0.3">
      <c r="A2064" s="8">
        <v>64</v>
      </c>
      <c r="B2064" s="8">
        <v>47</v>
      </c>
      <c r="C2064" s="8">
        <v>3592</v>
      </c>
      <c r="D2064" s="16">
        <v>-7.3604159999999998E-3</v>
      </c>
      <c r="E2064">
        <v>-3.6802079999999999E-3</v>
      </c>
    </row>
    <row r="2065" spans="1:5" x14ac:dyDescent="0.3">
      <c r="A2065" s="8">
        <v>64</v>
      </c>
      <c r="B2065" s="8">
        <v>48</v>
      </c>
      <c r="C2065" s="8">
        <v>3558</v>
      </c>
      <c r="D2065" s="16">
        <v>1.13191E-2</v>
      </c>
      <c r="E2065">
        <v>5.6595500000000002E-3</v>
      </c>
    </row>
    <row r="2066" spans="1:5" x14ac:dyDescent="0.3">
      <c r="A2066" s="8">
        <v>64</v>
      </c>
      <c r="B2066" s="8">
        <v>49</v>
      </c>
      <c r="C2066" s="8">
        <v>3576</v>
      </c>
      <c r="D2066" s="16">
        <v>-5.9378249999999999E-3</v>
      </c>
      <c r="E2066">
        <v>-2.9689124999999999E-3</v>
      </c>
    </row>
    <row r="2067" spans="1:5" x14ac:dyDescent="0.3">
      <c r="A2067" s="8">
        <v>64</v>
      </c>
      <c r="B2067" s="8">
        <v>50</v>
      </c>
      <c r="C2067" s="8">
        <v>3598</v>
      </c>
      <c r="D2067" s="16">
        <v>1.868264E-2</v>
      </c>
      <c r="E2067">
        <v>9.3413200000000002E-3</v>
      </c>
    </row>
    <row r="2068" spans="1:5" x14ac:dyDescent="0.3">
      <c r="A2068" s="8">
        <v>64</v>
      </c>
      <c r="B2068" s="8">
        <v>51</v>
      </c>
      <c r="C2068" s="8">
        <v>3564</v>
      </c>
      <c r="D2068" s="16">
        <v>-5.1642689999999998E-2</v>
      </c>
      <c r="E2068">
        <v>-2.5821344999999999E-2</v>
      </c>
    </row>
    <row r="2069" spans="1:5" x14ac:dyDescent="0.3">
      <c r="A2069" s="8">
        <v>64</v>
      </c>
      <c r="B2069" s="8">
        <v>52</v>
      </c>
      <c r="C2069" s="8">
        <v>3552</v>
      </c>
      <c r="D2069" s="16">
        <v>-5.3975000000000004E-3</v>
      </c>
      <c r="E2069">
        <v>-2.6987500000000002E-3</v>
      </c>
    </row>
    <row r="2070" spans="1:5" x14ac:dyDescent="0.3">
      <c r="A2070" s="8">
        <v>64</v>
      </c>
      <c r="B2070" s="8">
        <v>53</v>
      </c>
      <c r="C2070" s="8">
        <v>3566</v>
      </c>
      <c r="D2070" s="16">
        <v>-2.21773E-2</v>
      </c>
      <c r="E2070">
        <v>-1.108865E-2</v>
      </c>
    </row>
    <row r="2071" spans="1:5" x14ac:dyDescent="0.3">
      <c r="A2071" s="8">
        <v>64</v>
      </c>
      <c r="B2071" s="8">
        <v>54</v>
      </c>
      <c r="C2071" s="8">
        <v>3570</v>
      </c>
      <c r="D2071" s="16">
        <v>-3.9586440000000001E-2</v>
      </c>
      <c r="E2071">
        <v>-1.979322E-2</v>
      </c>
    </row>
    <row r="2072" spans="1:5" x14ac:dyDescent="0.3">
      <c r="A2072" s="8">
        <v>64</v>
      </c>
      <c r="B2072" s="8">
        <v>55</v>
      </c>
      <c r="C2072" s="8">
        <v>3581</v>
      </c>
      <c r="D2072" s="16">
        <v>-8.2027149999999993E-3</v>
      </c>
      <c r="E2072">
        <v>-4.1013574999999997E-3</v>
      </c>
    </row>
    <row r="2073" spans="1:5" x14ac:dyDescent="0.3">
      <c r="A2073" s="8">
        <v>64</v>
      </c>
      <c r="B2073" s="8">
        <v>56</v>
      </c>
      <c r="C2073" s="8">
        <v>3596</v>
      </c>
      <c r="D2073" s="16">
        <v>4.1108690000000003E-2</v>
      </c>
      <c r="E2073">
        <v>2.0554345000000002E-2</v>
      </c>
    </row>
    <row r="2074" spans="1:5" x14ac:dyDescent="0.3">
      <c r="A2074" s="8">
        <v>64</v>
      </c>
      <c r="B2074" s="8">
        <v>57</v>
      </c>
      <c r="C2074" s="8">
        <v>3598</v>
      </c>
      <c r="D2074" s="16">
        <v>-1.4096340000000001E-2</v>
      </c>
      <c r="E2074">
        <v>-7.0481700000000003E-3</v>
      </c>
    </row>
    <row r="2075" spans="1:5" x14ac:dyDescent="0.3">
      <c r="A2075" s="8">
        <v>64</v>
      </c>
      <c r="B2075" s="8">
        <v>58</v>
      </c>
      <c r="C2075" s="8">
        <v>3585</v>
      </c>
      <c r="D2075" s="16">
        <v>-8.2367340000000008E-3</v>
      </c>
      <c r="E2075">
        <v>-4.1183670000000004E-3</v>
      </c>
    </row>
    <row r="2076" spans="1:5" x14ac:dyDescent="0.3">
      <c r="A2076" s="8">
        <v>64</v>
      </c>
      <c r="B2076" s="8">
        <v>59</v>
      </c>
      <c r="C2076" s="8">
        <v>3602</v>
      </c>
      <c r="D2076" s="16">
        <v>-5.7839759999999997E-2</v>
      </c>
      <c r="E2076">
        <v>-2.8919879999999999E-2</v>
      </c>
    </row>
    <row r="2077" spans="1:5" x14ac:dyDescent="0.3">
      <c r="A2077" s="8">
        <v>64</v>
      </c>
      <c r="B2077" s="8">
        <v>60</v>
      </c>
      <c r="C2077" s="8">
        <v>3578</v>
      </c>
      <c r="D2077" s="16">
        <v>-9.4575979999999994E-3</v>
      </c>
      <c r="E2077">
        <v>-4.7287989999999997E-3</v>
      </c>
    </row>
    <row r="2078" spans="1:5" x14ac:dyDescent="0.3">
      <c r="A2078" s="8">
        <v>64</v>
      </c>
      <c r="B2078" s="8">
        <v>61</v>
      </c>
      <c r="C2078" s="8">
        <v>3572</v>
      </c>
      <c r="D2078" s="16">
        <v>-2.9130710000000001E-2</v>
      </c>
      <c r="E2078">
        <v>-1.4565355E-2</v>
      </c>
    </row>
    <row r="2079" spans="1:5" x14ac:dyDescent="0.3">
      <c r="A2079" s="8">
        <v>64</v>
      </c>
      <c r="B2079" s="8">
        <v>62</v>
      </c>
      <c r="C2079" s="8">
        <v>3592</v>
      </c>
      <c r="D2079" s="16">
        <v>-3.4286500000000001E-3</v>
      </c>
      <c r="E2079">
        <v>-1.7143250000000001E-3</v>
      </c>
    </row>
    <row r="2080" spans="1:5" x14ac:dyDescent="0.3">
      <c r="A2080" s="8">
        <v>64</v>
      </c>
      <c r="B2080" s="8">
        <v>63</v>
      </c>
      <c r="C2080" s="8">
        <v>3591</v>
      </c>
      <c r="D2080" s="16">
        <v>-2.5700500000000001E-2</v>
      </c>
      <c r="E2080">
        <v>-1.2850250000000001E-2</v>
      </c>
    </row>
    <row r="2081" spans="1:5" x14ac:dyDescent="0.3">
      <c r="A2081" s="8">
        <v>64</v>
      </c>
      <c r="B2081" s="8">
        <v>64</v>
      </c>
      <c r="C2081" s="8">
        <v>3858</v>
      </c>
      <c r="D2081" s="16">
        <v>1.0138370000000001</v>
      </c>
      <c r="E2081"/>
    </row>
    <row r="2082" spans="1:5" x14ac:dyDescent="0.3">
      <c r="A2082" s="8">
        <v>65</v>
      </c>
      <c r="B2082" s="8">
        <v>1</v>
      </c>
      <c r="C2082" s="8">
        <v>3627</v>
      </c>
      <c r="D2082" s="16">
        <v>-8.7942939999999994E-3</v>
      </c>
      <c r="E2082">
        <v>-4.3971469999999997E-3</v>
      </c>
    </row>
    <row r="2083" spans="1:5" x14ac:dyDescent="0.3">
      <c r="A2083" s="8">
        <v>65</v>
      </c>
      <c r="B2083" s="8">
        <v>2</v>
      </c>
      <c r="C2083" s="8">
        <v>3620</v>
      </c>
      <c r="D2083" s="16">
        <v>2.5957379999999999E-2</v>
      </c>
      <c r="E2083">
        <v>1.2978689999999999E-2</v>
      </c>
    </row>
    <row r="2084" spans="1:5" x14ac:dyDescent="0.3">
      <c r="A2084" s="8">
        <v>65</v>
      </c>
      <c r="B2084" s="8">
        <v>3</v>
      </c>
      <c r="C2084" s="8">
        <v>3640</v>
      </c>
      <c r="D2084" s="16">
        <v>-4.4647289999999997E-3</v>
      </c>
      <c r="E2084">
        <v>-2.2323644999999999E-3</v>
      </c>
    </row>
    <row r="2085" spans="1:5" x14ac:dyDescent="0.3">
      <c r="A2085" s="8">
        <v>65</v>
      </c>
      <c r="B2085" s="8">
        <v>4</v>
      </c>
      <c r="C2085" s="8">
        <v>3591</v>
      </c>
      <c r="D2085" s="16">
        <v>-2.326421E-2</v>
      </c>
      <c r="E2085">
        <v>-1.1632105E-2</v>
      </c>
    </row>
    <row r="2086" spans="1:5" x14ac:dyDescent="0.3">
      <c r="A2086" s="8">
        <v>65</v>
      </c>
      <c r="B2086" s="8">
        <v>5</v>
      </c>
      <c r="C2086" s="8">
        <v>3602</v>
      </c>
      <c r="D2086" s="16">
        <v>-5.6804519999999997E-2</v>
      </c>
      <c r="E2086">
        <v>-2.8402259999999999E-2</v>
      </c>
    </row>
    <row r="2087" spans="1:5" x14ac:dyDescent="0.3">
      <c r="A2087" s="8">
        <v>65</v>
      </c>
      <c r="B2087" s="8">
        <v>6</v>
      </c>
      <c r="C2087" s="8">
        <v>3607</v>
      </c>
      <c r="D2087" s="16">
        <v>-5.6139889999999998E-2</v>
      </c>
      <c r="E2087">
        <v>-2.8069944999999999E-2</v>
      </c>
    </row>
    <row r="2088" spans="1:5" x14ac:dyDescent="0.3">
      <c r="A2088" s="8">
        <v>65</v>
      </c>
      <c r="B2088" s="8">
        <v>7</v>
      </c>
      <c r="C2088" s="8">
        <v>3591</v>
      </c>
      <c r="D2088" s="16">
        <v>-2.2426640000000001E-2</v>
      </c>
      <c r="E2088">
        <v>-1.1213320000000001E-2</v>
      </c>
    </row>
    <row r="2089" spans="1:5" x14ac:dyDescent="0.3">
      <c r="A2089" s="8">
        <v>65</v>
      </c>
      <c r="B2089" s="8">
        <v>8</v>
      </c>
      <c r="C2089" s="8">
        <v>3626</v>
      </c>
      <c r="D2089" s="16">
        <v>1.2536810000000001E-2</v>
      </c>
      <c r="E2089">
        <v>6.2684050000000003E-3</v>
      </c>
    </row>
    <row r="2090" spans="1:5" x14ac:dyDescent="0.3">
      <c r="A2090" s="8">
        <v>65</v>
      </c>
      <c r="B2090" s="8">
        <v>9</v>
      </c>
      <c r="C2090" s="8">
        <v>3622</v>
      </c>
      <c r="D2090" s="16">
        <v>-8.0869570000000002E-2</v>
      </c>
      <c r="E2090">
        <v>-4.0434785000000001E-2</v>
      </c>
    </row>
    <row r="2091" spans="1:5" x14ac:dyDescent="0.3">
      <c r="A2091" s="8">
        <v>65</v>
      </c>
      <c r="B2091" s="8">
        <v>10</v>
      </c>
      <c r="C2091" s="8">
        <v>3615</v>
      </c>
      <c r="D2091" s="16">
        <v>-5.754575E-2</v>
      </c>
      <c r="E2091">
        <v>-2.8772875E-2</v>
      </c>
    </row>
    <row r="2092" spans="1:5" x14ac:dyDescent="0.3">
      <c r="A2092" s="8">
        <v>65</v>
      </c>
      <c r="B2092" s="8">
        <v>11</v>
      </c>
      <c r="C2092" s="8">
        <v>3611</v>
      </c>
      <c r="D2092" s="16">
        <v>-4.0497190000000002E-2</v>
      </c>
      <c r="E2092">
        <v>-2.0248595000000001E-2</v>
      </c>
    </row>
    <row r="2093" spans="1:5" x14ac:dyDescent="0.3">
      <c r="A2093" s="8">
        <v>65</v>
      </c>
      <c r="B2093" s="8">
        <v>12</v>
      </c>
      <c r="C2093" s="8">
        <v>3632</v>
      </c>
      <c r="D2093" s="16">
        <v>-2.202664E-2</v>
      </c>
      <c r="E2093">
        <v>-1.101332E-2</v>
      </c>
    </row>
    <row r="2094" spans="1:5" x14ac:dyDescent="0.3">
      <c r="A2094" s="8">
        <v>65</v>
      </c>
      <c r="B2094" s="8">
        <v>13</v>
      </c>
      <c r="C2094" s="8">
        <v>3615</v>
      </c>
      <c r="D2094" s="16">
        <v>-3.5220870000000001E-2</v>
      </c>
      <c r="E2094">
        <v>-1.7610435000000001E-2</v>
      </c>
    </row>
    <row r="2095" spans="1:5" x14ac:dyDescent="0.3">
      <c r="A2095" s="8">
        <v>65</v>
      </c>
      <c r="B2095" s="8">
        <v>14</v>
      </c>
      <c r="C2095" s="8">
        <v>3605</v>
      </c>
      <c r="D2095" s="16">
        <v>2.355726E-2</v>
      </c>
      <c r="E2095">
        <v>1.177863E-2</v>
      </c>
    </row>
    <row r="2096" spans="1:5" x14ac:dyDescent="0.3">
      <c r="A2096" s="8">
        <v>65</v>
      </c>
      <c r="B2096" s="8">
        <v>15</v>
      </c>
      <c r="C2096" s="8">
        <v>3630</v>
      </c>
      <c r="D2096" s="16">
        <v>2.5957290000000001E-2</v>
      </c>
      <c r="E2096">
        <v>1.2978645E-2</v>
      </c>
    </row>
    <row r="2097" spans="1:5" x14ac:dyDescent="0.3">
      <c r="A2097" s="8">
        <v>65</v>
      </c>
      <c r="B2097" s="8">
        <v>16</v>
      </c>
      <c r="C2097" s="8">
        <v>3600</v>
      </c>
      <c r="D2097" s="16">
        <v>2.490421E-3</v>
      </c>
      <c r="E2097">
        <v>1.2452105E-3</v>
      </c>
    </row>
    <row r="2098" spans="1:5" x14ac:dyDescent="0.3">
      <c r="A2098" s="8">
        <v>65</v>
      </c>
      <c r="B2098" s="8">
        <v>17</v>
      </c>
      <c r="C2098" s="8">
        <v>3620</v>
      </c>
      <c r="D2098" s="16">
        <v>1.656519E-2</v>
      </c>
      <c r="E2098">
        <v>8.2825950000000002E-3</v>
      </c>
    </row>
    <row r="2099" spans="1:5" x14ac:dyDescent="0.3">
      <c r="A2099" s="8">
        <v>65</v>
      </c>
      <c r="B2099" s="8">
        <v>18</v>
      </c>
      <c r="C2099" s="8">
        <v>3626</v>
      </c>
      <c r="D2099" s="16">
        <v>-2.8098689999999999E-2</v>
      </c>
      <c r="E2099">
        <v>-1.4049345E-2</v>
      </c>
    </row>
    <row r="2100" spans="1:5" x14ac:dyDescent="0.3">
      <c r="A2100" s="8">
        <v>65</v>
      </c>
      <c r="B2100" s="8">
        <v>19</v>
      </c>
      <c r="C2100" s="8">
        <v>3597</v>
      </c>
      <c r="D2100" s="16">
        <v>8.0921599999999993E-3</v>
      </c>
      <c r="E2100">
        <v>4.0460799999999996E-3</v>
      </c>
    </row>
    <row r="2101" spans="1:5" x14ac:dyDescent="0.3">
      <c r="A2101" s="8">
        <v>65</v>
      </c>
      <c r="B2101" s="8">
        <v>20</v>
      </c>
      <c r="C2101" s="8">
        <v>3587</v>
      </c>
      <c r="D2101" s="16">
        <v>-4.6256970000000001E-2</v>
      </c>
      <c r="E2101">
        <v>-2.3128485000000001E-2</v>
      </c>
    </row>
    <row r="2102" spans="1:5" x14ac:dyDescent="0.3">
      <c r="A2102" s="8">
        <v>65</v>
      </c>
      <c r="B2102" s="8">
        <v>21</v>
      </c>
      <c r="C2102" s="8">
        <v>3653</v>
      </c>
      <c r="D2102" s="16">
        <v>-1.9589470000000001E-2</v>
      </c>
      <c r="E2102">
        <v>-9.7947350000000006E-3</v>
      </c>
    </row>
    <row r="2103" spans="1:5" x14ac:dyDescent="0.3">
      <c r="A2103" s="8">
        <v>65</v>
      </c>
      <c r="B2103" s="8">
        <v>22</v>
      </c>
      <c r="C2103" s="8">
        <v>3610</v>
      </c>
      <c r="D2103" s="16">
        <v>3.5978919999999998E-2</v>
      </c>
      <c r="E2103">
        <v>1.7989459999999999E-2</v>
      </c>
    </row>
    <row r="2104" spans="1:5" x14ac:dyDescent="0.3">
      <c r="A2104" s="8">
        <v>65</v>
      </c>
      <c r="B2104" s="8">
        <v>23</v>
      </c>
      <c r="C2104" s="8">
        <v>3616</v>
      </c>
      <c r="D2104" s="16">
        <v>-6.5456999999999998E-3</v>
      </c>
      <c r="E2104">
        <v>-3.2728499999999999E-3</v>
      </c>
    </row>
    <row r="2105" spans="1:5" x14ac:dyDescent="0.3">
      <c r="A2105" s="8">
        <v>65</v>
      </c>
      <c r="B2105" s="8">
        <v>24</v>
      </c>
      <c r="C2105" s="8">
        <v>3637</v>
      </c>
      <c r="D2105" s="16">
        <v>3.1336839999999998E-2</v>
      </c>
      <c r="E2105">
        <v>1.5668419999999999E-2</v>
      </c>
    </row>
    <row r="2106" spans="1:5" x14ac:dyDescent="0.3">
      <c r="A2106" s="8">
        <v>65</v>
      </c>
      <c r="B2106" s="8">
        <v>25</v>
      </c>
      <c r="C2106" s="8">
        <v>3597</v>
      </c>
      <c r="D2106" s="16">
        <v>-7.7624310000000002E-2</v>
      </c>
      <c r="E2106">
        <v>-3.8812155000000001E-2</v>
      </c>
    </row>
    <row r="2107" spans="1:5" x14ac:dyDescent="0.3">
      <c r="A2107" s="8">
        <v>65</v>
      </c>
      <c r="B2107" s="8">
        <v>26</v>
      </c>
      <c r="C2107" s="8">
        <v>3634</v>
      </c>
      <c r="D2107" s="16">
        <v>-6.131458E-2</v>
      </c>
      <c r="E2107">
        <v>-3.065729E-2</v>
      </c>
    </row>
    <row r="2108" spans="1:5" x14ac:dyDescent="0.3">
      <c r="A2108" s="8">
        <v>65</v>
      </c>
      <c r="B2108" s="8">
        <v>27</v>
      </c>
      <c r="C2108" s="8">
        <v>3592</v>
      </c>
      <c r="D2108" s="16">
        <v>1.2321789999999999E-2</v>
      </c>
      <c r="E2108">
        <v>6.1608949999999996E-3</v>
      </c>
    </row>
    <row r="2109" spans="1:5" x14ac:dyDescent="0.3">
      <c r="A2109" s="8">
        <v>65</v>
      </c>
      <c r="B2109" s="8">
        <v>28</v>
      </c>
      <c r="C2109" s="8">
        <v>3571</v>
      </c>
      <c r="D2109" s="16">
        <v>-1.491046E-2</v>
      </c>
      <c r="E2109">
        <v>-7.4552300000000002E-3</v>
      </c>
    </row>
    <row r="2110" spans="1:5" x14ac:dyDescent="0.3">
      <c r="A2110" s="8">
        <v>65</v>
      </c>
      <c r="B2110" s="8">
        <v>29</v>
      </c>
      <c r="C2110" s="8">
        <v>3581</v>
      </c>
      <c r="D2110" s="16">
        <v>2.5549119999999999E-3</v>
      </c>
      <c r="E2110">
        <v>1.2774559999999999E-3</v>
      </c>
    </row>
    <row r="2111" spans="1:5" x14ac:dyDescent="0.3">
      <c r="A2111" s="8">
        <v>65</v>
      </c>
      <c r="B2111" s="8">
        <v>30</v>
      </c>
      <c r="C2111" s="8">
        <v>3574</v>
      </c>
      <c r="D2111" s="16">
        <v>-6.152411E-3</v>
      </c>
      <c r="E2111">
        <v>-3.0762055E-3</v>
      </c>
    </row>
    <row r="2112" spans="1:5" x14ac:dyDescent="0.3">
      <c r="A2112" s="8">
        <v>65</v>
      </c>
      <c r="B2112" s="8">
        <v>31</v>
      </c>
      <c r="C2112" s="8">
        <v>3525</v>
      </c>
      <c r="D2112" s="16">
        <v>-4.4660230000000002E-2</v>
      </c>
      <c r="E2112">
        <v>-2.2330115000000001E-2</v>
      </c>
    </row>
    <row r="2113" spans="1:5" x14ac:dyDescent="0.3">
      <c r="A2113" s="8">
        <v>65</v>
      </c>
      <c r="B2113" s="8">
        <v>32</v>
      </c>
      <c r="C2113" s="8">
        <v>3581</v>
      </c>
      <c r="D2113" s="16">
        <v>-3.810761E-2</v>
      </c>
      <c r="E2113">
        <v>-1.9053805E-2</v>
      </c>
    </row>
    <row r="2114" spans="1:5" x14ac:dyDescent="0.3">
      <c r="A2114" s="8">
        <v>65</v>
      </c>
      <c r="B2114" s="8">
        <v>33</v>
      </c>
      <c r="C2114" s="8">
        <v>3628</v>
      </c>
      <c r="D2114" s="16">
        <v>1.8800970000000001E-3</v>
      </c>
      <c r="E2114">
        <v>9.4004850000000003E-4</v>
      </c>
    </row>
    <row r="2115" spans="1:5" x14ac:dyDescent="0.3">
      <c r="A2115" s="8">
        <v>65</v>
      </c>
      <c r="B2115" s="8">
        <v>34</v>
      </c>
      <c r="C2115" s="8">
        <v>3622</v>
      </c>
      <c r="D2115" s="16">
        <v>1.6103699999999999E-2</v>
      </c>
      <c r="E2115">
        <v>8.0518499999999993E-3</v>
      </c>
    </row>
    <row r="2116" spans="1:5" x14ac:dyDescent="0.3">
      <c r="A2116" s="8">
        <v>65</v>
      </c>
      <c r="B2116" s="8">
        <v>35</v>
      </c>
      <c r="C2116" s="8">
        <v>3610</v>
      </c>
      <c r="D2116" s="16">
        <v>-1.5956830000000002E-2</v>
      </c>
      <c r="E2116">
        <v>-7.9784150000000009E-3</v>
      </c>
    </row>
    <row r="2117" spans="1:5" x14ac:dyDescent="0.3">
      <c r="A2117" s="8">
        <v>65</v>
      </c>
      <c r="B2117" s="8">
        <v>36</v>
      </c>
      <c r="C2117" s="8">
        <v>3604</v>
      </c>
      <c r="D2117" s="16">
        <v>-2.0439479999999999E-2</v>
      </c>
      <c r="E2117">
        <v>-1.021974E-2</v>
      </c>
    </row>
    <row r="2118" spans="1:5" x14ac:dyDescent="0.3">
      <c r="A2118" s="8">
        <v>65</v>
      </c>
      <c r="B2118" s="8">
        <v>37</v>
      </c>
      <c r="C2118" s="8">
        <v>3565</v>
      </c>
      <c r="D2118" s="16">
        <v>-2.1175119999999999E-2</v>
      </c>
      <c r="E2118">
        <v>-1.0587559999999999E-2</v>
      </c>
    </row>
    <row r="2119" spans="1:5" x14ac:dyDescent="0.3">
      <c r="A2119" s="8">
        <v>65</v>
      </c>
      <c r="B2119" s="8">
        <v>38</v>
      </c>
      <c r="C2119" s="8">
        <v>3616</v>
      </c>
      <c r="D2119" s="16">
        <v>-1.846513E-2</v>
      </c>
      <c r="E2119">
        <v>-9.2325649999999999E-3</v>
      </c>
    </row>
    <row r="2120" spans="1:5" x14ac:dyDescent="0.3">
      <c r="A2120" s="8">
        <v>65</v>
      </c>
      <c r="B2120" s="8">
        <v>39</v>
      </c>
      <c r="C2120" s="8">
        <v>3608</v>
      </c>
      <c r="D2120" s="16">
        <v>-3.420629E-2</v>
      </c>
      <c r="E2120">
        <v>-1.7103145E-2</v>
      </c>
    </row>
    <row r="2121" spans="1:5" x14ac:dyDescent="0.3">
      <c r="A2121" s="8">
        <v>65</v>
      </c>
      <c r="B2121" s="8">
        <v>40</v>
      </c>
      <c r="C2121" s="8">
        <v>3622</v>
      </c>
      <c r="D2121" s="16">
        <v>-8.6237889999999998E-3</v>
      </c>
      <c r="E2121">
        <v>-4.3118944999999999E-3</v>
      </c>
    </row>
    <row r="2122" spans="1:5" x14ac:dyDescent="0.3">
      <c r="A2122" s="8">
        <v>65</v>
      </c>
      <c r="B2122" s="8">
        <v>41</v>
      </c>
      <c r="C2122" s="8">
        <v>3577</v>
      </c>
      <c r="D2122" s="16">
        <v>-1.535367E-2</v>
      </c>
      <c r="E2122">
        <v>-7.6768349999999999E-3</v>
      </c>
    </row>
    <row r="2123" spans="1:5" x14ac:dyDescent="0.3">
      <c r="A2123" s="8">
        <v>65</v>
      </c>
      <c r="B2123" s="8">
        <v>42</v>
      </c>
      <c r="C2123" s="8">
        <v>3614</v>
      </c>
      <c r="D2123" s="16">
        <v>2.270703E-2</v>
      </c>
      <c r="E2123">
        <v>1.1353515E-2</v>
      </c>
    </row>
    <row r="2124" spans="1:5" x14ac:dyDescent="0.3">
      <c r="A2124" s="8">
        <v>65</v>
      </c>
      <c r="B2124" s="8">
        <v>43</v>
      </c>
      <c r="C2124" s="8">
        <v>3583</v>
      </c>
      <c r="D2124" s="16">
        <v>-1.05533E-2</v>
      </c>
      <c r="E2124">
        <v>-5.2766499999999999E-3</v>
      </c>
    </row>
    <row r="2125" spans="1:5" x14ac:dyDescent="0.3">
      <c r="A2125" s="8">
        <v>65</v>
      </c>
      <c r="B2125" s="8">
        <v>44</v>
      </c>
      <c r="C2125" s="8">
        <v>3566</v>
      </c>
      <c r="D2125" s="16">
        <v>1.9340629999999999E-4</v>
      </c>
      <c r="E2125">
        <v>9.6703149999999996E-5</v>
      </c>
    </row>
    <row r="2126" spans="1:5" x14ac:dyDescent="0.3">
      <c r="A2126" s="8">
        <v>65</v>
      </c>
      <c r="B2126" s="8">
        <v>45</v>
      </c>
      <c r="C2126" s="8">
        <v>3618</v>
      </c>
      <c r="D2126" s="16">
        <v>-3.6888780000000003E-2</v>
      </c>
      <c r="E2126">
        <v>-1.8444390000000001E-2</v>
      </c>
    </row>
    <row r="2127" spans="1:5" x14ac:dyDescent="0.3">
      <c r="A2127" s="8">
        <v>65</v>
      </c>
      <c r="B2127" s="8">
        <v>46</v>
      </c>
      <c r="C2127" s="8">
        <v>3609</v>
      </c>
      <c r="D2127" s="16">
        <v>-3.8129509999999998E-2</v>
      </c>
      <c r="E2127">
        <v>-1.9064754999999999E-2</v>
      </c>
    </row>
    <row r="2128" spans="1:5" x14ac:dyDescent="0.3">
      <c r="A2128" s="8">
        <v>65</v>
      </c>
      <c r="B2128" s="8">
        <v>47</v>
      </c>
      <c r="C2128" s="8">
        <v>3615</v>
      </c>
      <c r="D2128" s="16">
        <v>1.234819E-2</v>
      </c>
      <c r="E2128">
        <v>6.1740950000000001E-3</v>
      </c>
    </row>
    <row r="2129" spans="1:5" x14ac:dyDescent="0.3">
      <c r="A2129" s="8">
        <v>65</v>
      </c>
      <c r="B2129" s="8">
        <v>48</v>
      </c>
      <c r="C2129" s="8">
        <v>3591</v>
      </c>
      <c r="D2129" s="16">
        <v>1.64084E-2</v>
      </c>
      <c r="E2129">
        <v>8.2042E-3</v>
      </c>
    </row>
    <row r="2130" spans="1:5" x14ac:dyDescent="0.3">
      <c r="A2130" s="8">
        <v>65</v>
      </c>
      <c r="B2130" s="8">
        <v>49</v>
      </c>
      <c r="C2130" s="8">
        <v>3605</v>
      </c>
      <c r="D2130" s="16">
        <v>-2.2059840000000001E-2</v>
      </c>
      <c r="E2130">
        <v>-1.102992E-2</v>
      </c>
    </row>
    <row r="2131" spans="1:5" x14ac:dyDescent="0.3">
      <c r="A2131" s="8">
        <v>65</v>
      </c>
      <c r="B2131" s="8">
        <v>50</v>
      </c>
      <c r="C2131" s="8">
        <v>3628</v>
      </c>
      <c r="D2131" s="16">
        <v>-2.9494759999999998E-2</v>
      </c>
      <c r="E2131">
        <v>-1.4747379999999999E-2</v>
      </c>
    </row>
    <row r="2132" spans="1:5" x14ac:dyDescent="0.3">
      <c r="A2132" s="8">
        <v>65</v>
      </c>
      <c r="B2132" s="8">
        <v>51</v>
      </c>
      <c r="C2132" s="8">
        <v>3581</v>
      </c>
      <c r="D2132" s="16">
        <v>2.661695E-2</v>
      </c>
      <c r="E2132">
        <v>1.3308475E-2</v>
      </c>
    </row>
    <row r="2133" spans="1:5" x14ac:dyDescent="0.3">
      <c r="A2133" s="8">
        <v>65</v>
      </c>
      <c r="B2133" s="8">
        <v>52</v>
      </c>
      <c r="C2133" s="8">
        <v>3594</v>
      </c>
      <c r="D2133" s="16">
        <v>-2.8498970000000001E-3</v>
      </c>
      <c r="E2133">
        <v>-1.4249485000000001E-3</v>
      </c>
    </row>
    <row r="2134" spans="1:5" x14ac:dyDescent="0.3">
      <c r="A2134" s="8">
        <v>65</v>
      </c>
      <c r="B2134" s="8">
        <v>53</v>
      </c>
      <c r="C2134" s="8">
        <v>3609</v>
      </c>
      <c r="D2134" s="16">
        <v>-1.8325589999999999E-2</v>
      </c>
      <c r="E2134">
        <v>-9.1627949999999996E-3</v>
      </c>
    </row>
    <row r="2135" spans="1:5" x14ac:dyDescent="0.3">
      <c r="A2135" s="8">
        <v>65</v>
      </c>
      <c r="B2135" s="8">
        <v>54</v>
      </c>
      <c r="C2135" s="8">
        <v>3594</v>
      </c>
      <c r="D2135" s="16">
        <v>1.509841E-2</v>
      </c>
      <c r="E2135">
        <v>7.5492049999999998E-3</v>
      </c>
    </row>
    <row r="2136" spans="1:5" x14ac:dyDescent="0.3">
      <c r="A2136" s="8">
        <v>65</v>
      </c>
      <c r="B2136" s="8">
        <v>55</v>
      </c>
      <c r="C2136" s="8">
        <v>3620</v>
      </c>
      <c r="D2136" s="16">
        <v>8.8865560000000001E-4</v>
      </c>
      <c r="E2136">
        <v>4.443278E-4</v>
      </c>
    </row>
    <row r="2137" spans="1:5" x14ac:dyDescent="0.3">
      <c r="A2137" s="8">
        <v>65</v>
      </c>
      <c r="B2137" s="8">
        <v>56</v>
      </c>
      <c r="C2137" s="8">
        <v>3625</v>
      </c>
      <c r="D2137" s="16">
        <v>-2.5458109999999999E-2</v>
      </c>
      <c r="E2137">
        <v>-1.2729055E-2</v>
      </c>
    </row>
    <row r="2138" spans="1:5" x14ac:dyDescent="0.3">
      <c r="A2138" s="8">
        <v>65</v>
      </c>
      <c r="B2138" s="8">
        <v>57</v>
      </c>
      <c r="C2138" s="8">
        <v>3632</v>
      </c>
      <c r="D2138" s="16">
        <v>-2.0363559999999999E-2</v>
      </c>
      <c r="E2138">
        <v>-1.018178E-2</v>
      </c>
    </row>
    <row r="2139" spans="1:5" x14ac:dyDescent="0.3">
      <c r="A2139" s="8">
        <v>65</v>
      </c>
      <c r="B2139" s="8">
        <v>58</v>
      </c>
      <c r="C2139" s="8">
        <v>3609</v>
      </c>
      <c r="D2139" s="16">
        <v>-1.964658E-2</v>
      </c>
      <c r="E2139">
        <v>-9.8232900000000001E-3</v>
      </c>
    </row>
    <row r="2140" spans="1:5" x14ac:dyDescent="0.3">
      <c r="A2140" s="8">
        <v>65</v>
      </c>
      <c r="B2140" s="8">
        <v>59</v>
      </c>
      <c r="C2140" s="8">
        <v>3633</v>
      </c>
      <c r="D2140" s="16">
        <v>-5.8993629999999998E-2</v>
      </c>
      <c r="E2140">
        <v>-2.9496814999999999E-2</v>
      </c>
    </row>
    <row r="2141" spans="1:5" x14ac:dyDescent="0.3">
      <c r="A2141" s="8">
        <v>65</v>
      </c>
      <c r="B2141" s="8">
        <v>60</v>
      </c>
      <c r="C2141" s="8">
        <v>3597</v>
      </c>
      <c r="D2141" s="16">
        <v>1.2729810000000001E-3</v>
      </c>
      <c r="E2141">
        <v>6.3649050000000003E-4</v>
      </c>
    </row>
    <row r="2142" spans="1:5" x14ac:dyDescent="0.3">
      <c r="A2142" s="8">
        <v>65</v>
      </c>
      <c r="B2142" s="8">
        <v>61</v>
      </c>
      <c r="C2142" s="8">
        <v>3601</v>
      </c>
      <c r="D2142" s="16">
        <v>-4.6988830000000001E-3</v>
      </c>
      <c r="E2142">
        <v>-2.3494415E-3</v>
      </c>
    </row>
    <row r="2143" spans="1:5" x14ac:dyDescent="0.3">
      <c r="A2143" s="8">
        <v>65</v>
      </c>
      <c r="B2143" s="8">
        <v>62</v>
      </c>
      <c r="C2143" s="8">
        <v>3638</v>
      </c>
      <c r="D2143" s="16">
        <v>-5.8679329999999997E-3</v>
      </c>
      <c r="E2143">
        <v>-2.9339664999999998E-3</v>
      </c>
    </row>
    <row r="2144" spans="1:5" x14ac:dyDescent="0.3">
      <c r="A2144" s="8">
        <v>65</v>
      </c>
      <c r="B2144" s="8">
        <v>63</v>
      </c>
      <c r="C2144" s="8">
        <v>3631</v>
      </c>
      <c r="D2144" s="16">
        <v>-1.061226E-2</v>
      </c>
      <c r="E2144">
        <v>-5.30613E-3</v>
      </c>
    </row>
    <row r="2145" spans="1:5" x14ac:dyDescent="0.3">
      <c r="A2145" s="8">
        <v>65</v>
      </c>
      <c r="B2145" s="8">
        <v>64</v>
      </c>
      <c r="C2145" s="8">
        <v>3603</v>
      </c>
      <c r="D2145" s="16">
        <v>3.9504780000000003E-3</v>
      </c>
      <c r="E2145">
        <v>1.9752390000000002E-3</v>
      </c>
    </row>
    <row r="2146" spans="1:5" x14ac:dyDescent="0.3">
      <c r="A2146" s="8">
        <v>65</v>
      </c>
      <c r="B2146" s="8">
        <v>65</v>
      </c>
      <c r="C2146" s="8">
        <v>3897</v>
      </c>
      <c r="D2146" s="16">
        <v>1.042278</v>
      </c>
      <c r="E2146"/>
    </row>
    <row r="2147" spans="1:5" x14ac:dyDescent="0.3">
      <c r="A2147" s="8">
        <v>66</v>
      </c>
      <c r="B2147" s="8">
        <v>1</v>
      </c>
      <c r="C2147" s="8">
        <v>3630</v>
      </c>
      <c r="D2147" s="16">
        <v>-2.2107379999999999E-2</v>
      </c>
      <c r="E2147">
        <v>-1.105369E-2</v>
      </c>
    </row>
    <row r="2148" spans="1:5" x14ac:dyDescent="0.3">
      <c r="A2148" s="8">
        <v>66</v>
      </c>
      <c r="B2148" s="8">
        <v>2</v>
      </c>
      <c r="C2148" s="8">
        <v>3630</v>
      </c>
      <c r="D2148" s="16">
        <v>-2.0635939999999998E-2</v>
      </c>
      <c r="E2148">
        <v>-1.0317969999999999E-2</v>
      </c>
    </row>
    <row r="2149" spans="1:5" x14ac:dyDescent="0.3">
      <c r="A2149" s="8">
        <v>66</v>
      </c>
      <c r="B2149" s="8">
        <v>3</v>
      </c>
      <c r="C2149" s="8">
        <v>3640</v>
      </c>
      <c r="D2149" s="16">
        <v>1.0000139999999999E-2</v>
      </c>
      <c r="E2149">
        <v>5.0000699999999997E-3</v>
      </c>
    </row>
    <row r="2150" spans="1:5" x14ac:dyDescent="0.3">
      <c r="A2150" s="8">
        <v>66</v>
      </c>
      <c r="B2150" s="8">
        <v>4</v>
      </c>
      <c r="C2150" s="8">
        <v>3583</v>
      </c>
      <c r="D2150" s="16">
        <v>-3.2698539999999998E-2</v>
      </c>
      <c r="E2150">
        <v>-1.6349269999999999E-2</v>
      </c>
    </row>
    <row r="2151" spans="1:5" x14ac:dyDescent="0.3">
      <c r="A2151" s="8">
        <v>66</v>
      </c>
      <c r="B2151" s="8">
        <v>5</v>
      </c>
      <c r="C2151" s="8">
        <v>3619</v>
      </c>
      <c r="D2151" s="16">
        <v>1.026782E-2</v>
      </c>
      <c r="E2151">
        <v>5.1339100000000002E-3</v>
      </c>
    </row>
    <row r="2152" spans="1:5" x14ac:dyDescent="0.3">
      <c r="A2152" s="8">
        <v>66</v>
      </c>
      <c r="B2152" s="8">
        <v>6</v>
      </c>
      <c r="C2152" s="8">
        <v>3620</v>
      </c>
      <c r="D2152" s="16">
        <v>5.9109000000000002E-3</v>
      </c>
      <c r="E2152">
        <v>2.9554500000000001E-3</v>
      </c>
    </row>
    <row r="2153" spans="1:5" x14ac:dyDescent="0.3">
      <c r="A2153" s="8">
        <v>66</v>
      </c>
      <c r="B2153" s="8">
        <v>7</v>
      </c>
      <c r="C2153" s="8">
        <v>3578</v>
      </c>
      <c r="D2153" s="16">
        <v>2.308793E-2</v>
      </c>
      <c r="E2153">
        <v>1.1543965E-2</v>
      </c>
    </row>
    <row r="2154" spans="1:5" x14ac:dyDescent="0.3">
      <c r="A2154" s="8">
        <v>66</v>
      </c>
      <c r="B2154" s="8">
        <v>8</v>
      </c>
      <c r="C2154" s="8">
        <v>3615</v>
      </c>
      <c r="D2154" s="16">
        <v>-2.787624E-2</v>
      </c>
      <c r="E2154">
        <v>-1.393812E-2</v>
      </c>
    </row>
    <row r="2155" spans="1:5" x14ac:dyDescent="0.3">
      <c r="A2155" s="8">
        <v>66</v>
      </c>
      <c r="B2155" s="8">
        <v>9</v>
      </c>
      <c r="C2155" s="8">
        <v>3623</v>
      </c>
      <c r="D2155" s="16">
        <v>2.4192249999999998E-2</v>
      </c>
      <c r="E2155">
        <v>1.2096124999999999E-2</v>
      </c>
    </row>
    <row r="2156" spans="1:5" x14ac:dyDescent="0.3">
      <c r="A2156" s="8">
        <v>66</v>
      </c>
      <c r="B2156" s="8">
        <v>10</v>
      </c>
      <c r="C2156" s="8">
        <v>3624</v>
      </c>
      <c r="D2156" s="16">
        <v>1.449315E-2</v>
      </c>
      <c r="E2156">
        <v>7.2465749999999999E-3</v>
      </c>
    </row>
    <row r="2157" spans="1:5" x14ac:dyDescent="0.3">
      <c r="A2157" s="8">
        <v>66</v>
      </c>
      <c r="B2157" s="8">
        <v>11</v>
      </c>
      <c r="C2157" s="8">
        <v>3622</v>
      </c>
      <c r="D2157" s="16">
        <v>-1.0068199999999999E-2</v>
      </c>
      <c r="E2157">
        <v>-5.0340999999999997E-3</v>
      </c>
    </row>
    <row r="2158" spans="1:5" x14ac:dyDescent="0.3">
      <c r="A2158" s="8">
        <v>66</v>
      </c>
      <c r="B2158" s="8">
        <v>12</v>
      </c>
      <c r="C2158" s="8">
        <v>3628</v>
      </c>
      <c r="D2158" s="16">
        <v>-2.2106710000000002E-2</v>
      </c>
      <c r="E2158">
        <v>-1.1053355000000001E-2</v>
      </c>
    </row>
    <row r="2159" spans="1:5" x14ac:dyDescent="0.3">
      <c r="A2159" s="8">
        <v>66</v>
      </c>
      <c r="B2159" s="8">
        <v>13</v>
      </c>
      <c r="C2159" s="8">
        <v>3624</v>
      </c>
      <c r="D2159" s="16">
        <v>-7.5332020000000001E-3</v>
      </c>
      <c r="E2159">
        <v>-3.7666010000000001E-3</v>
      </c>
    </row>
    <row r="2160" spans="1:5" x14ac:dyDescent="0.3">
      <c r="A2160" s="8">
        <v>66</v>
      </c>
      <c r="B2160" s="8">
        <v>14</v>
      </c>
      <c r="C2160" s="8">
        <v>3612</v>
      </c>
      <c r="D2160" s="16">
        <v>-1.7894630000000002E-2</v>
      </c>
      <c r="E2160">
        <v>-8.9473150000000008E-3</v>
      </c>
    </row>
    <row r="2161" spans="1:5" x14ac:dyDescent="0.3">
      <c r="A2161" s="8">
        <v>66</v>
      </c>
      <c r="B2161" s="8">
        <v>15</v>
      </c>
      <c r="C2161" s="8">
        <v>3635</v>
      </c>
      <c r="D2161" s="16">
        <v>4.0680099999999997E-2</v>
      </c>
      <c r="E2161">
        <v>2.0340049999999998E-2</v>
      </c>
    </row>
    <row r="2162" spans="1:5" x14ac:dyDescent="0.3">
      <c r="A2162" s="8">
        <v>66</v>
      </c>
      <c r="B2162" s="8">
        <v>16</v>
      </c>
      <c r="C2162" s="8">
        <v>3611</v>
      </c>
      <c r="D2162" s="16">
        <v>-4.815614E-2</v>
      </c>
      <c r="E2162">
        <v>-2.407807E-2</v>
      </c>
    </row>
    <row r="2163" spans="1:5" x14ac:dyDescent="0.3">
      <c r="A2163" s="8">
        <v>66</v>
      </c>
      <c r="B2163" s="8">
        <v>17</v>
      </c>
      <c r="C2163" s="8">
        <v>3624</v>
      </c>
      <c r="D2163" s="16">
        <v>-4.8353420000000001E-2</v>
      </c>
      <c r="E2163">
        <v>-2.4176710000000001E-2</v>
      </c>
    </row>
    <row r="2164" spans="1:5" x14ac:dyDescent="0.3">
      <c r="A2164" s="8">
        <v>66</v>
      </c>
      <c r="B2164" s="8">
        <v>18</v>
      </c>
      <c r="C2164" s="8">
        <v>3619</v>
      </c>
      <c r="D2164" s="16">
        <v>-4.4914960000000002E-3</v>
      </c>
      <c r="E2164">
        <v>-2.2457480000000001E-3</v>
      </c>
    </row>
    <row r="2165" spans="1:5" x14ac:dyDescent="0.3">
      <c r="A2165" s="8">
        <v>66</v>
      </c>
      <c r="B2165" s="8">
        <v>19</v>
      </c>
      <c r="C2165" s="8">
        <v>3592</v>
      </c>
      <c r="D2165" s="16">
        <v>-2.6846800000000001E-2</v>
      </c>
      <c r="E2165">
        <v>-1.34234E-2</v>
      </c>
    </row>
    <row r="2166" spans="1:5" x14ac:dyDescent="0.3">
      <c r="A2166" s="8">
        <v>66</v>
      </c>
      <c r="B2166" s="8">
        <v>20</v>
      </c>
      <c r="C2166" s="8">
        <v>3600</v>
      </c>
      <c r="D2166" s="16">
        <v>8.0955730000000002E-4</v>
      </c>
      <c r="E2166">
        <v>4.0477865000000001E-4</v>
      </c>
    </row>
    <row r="2167" spans="1:5" x14ac:dyDescent="0.3">
      <c r="A2167" s="8">
        <v>66</v>
      </c>
      <c r="B2167" s="8">
        <v>21</v>
      </c>
      <c r="C2167" s="8">
        <v>3654</v>
      </c>
      <c r="D2167" s="16">
        <v>-1.472394E-2</v>
      </c>
      <c r="E2167">
        <v>-7.3619699999999998E-3</v>
      </c>
    </row>
    <row r="2168" spans="1:5" x14ac:dyDescent="0.3">
      <c r="A2168" s="8">
        <v>66</v>
      </c>
      <c r="B2168" s="8">
        <v>22</v>
      </c>
      <c r="C2168" s="8">
        <v>3601</v>
      </c>
      <c r="D2168" s="16">
        <v>-1.054947E-2</v>
      </c>
      <c r="E2168">
        <v>-5.274735E-3</v>
      </c>
    </row>
    <row r="2169" spans="1:5" x14ac:dyDescent="0.3">
      <c r="A2169" s="8">
        <v>66</v>
      </c>
      <c r="B2169" s="8">
        <v>23</v>
      </c>
      <c r="C2169" s="8">
        <v>3614</v>
      </c>
      <c r="D2169" s="16">
        <v>-1.3285170000000001E-2</v>
      </c>
      <c r="E2169">
        <v>-6.6425850000000003E-3</v>
      </c>
    </row>
    <row r="2170" spans="1:5" x14ac:dyDescent="0.3">
      <c r="A2170" s="8">
        <v>66</v>
      </c>
      <c r="B2170" s="8">
        <v>24</v>
      </c>
      <c r="C2170" s="8">
        <v>3634</v>
      </c>
      <c r="D2170" s="16">
        <v>-2.389374E-2</v>
      </c>
      <c r="E2170">
        <v>-1.194687E-2</v>
      </c>
    </row>
    <row r="2171" spans="1:5" x14ac:dyDescent="0.3">
      <c r="A2171" s="8">
        <v>66</v>
      </c>
      <c r="B2171" s="8">
        <v>25</v>
      </c>
      <c r="C2171" s="8">
        <v>3601</v>
      </c>
      <c r="D2171" s="16">
        <v>7.1487909999999998E-3</v>
      </c>
      <c r="E2171">
        <v>3.5743954999999999E-3</v>
      </c>
    </row>
    <row r="2172" spans="1:5" x14ac:dyDescent="0.3">
      <c r="A2172" s="8">
        <v>66</v>
      </c>
      <c r="B2172" s="8">
        <v>26</v>
      </c>
      <c r="C2172" s="8">
        <v>3646</v>
      </c>
      <c r="D2172" s="16">
        <v>-2.6475120000000001E-2</v>
      </c>
      <c r="E2172">
        <v>-1.3237560000000001E-2</v>
      </c>
    </row>
    <row r="2173" spans="1:5" x14ac:dyDescent="0.3">
      <c r="A2173" s="8">
        <v>66</v>
      </c>
      <c r="B2173" s="8">
        <v>27</v>
      </c>
      <c r="C2173" s="8">
        <v>3598</v>
      </c>
      <c r="D2173" s="16">
        <v>-2.298178E-2</v>
      </c>
      <c r="E2173">
        <v>-1.149089E-2</v>
      </c>
    </row>
    <row r="2174" spans="1:5" x14ac:dyDescent="0.3">
      <c r="A2174" s="8">
        <v>66</v>
      </c>
      <c r="B2174" s="8">
        <v>28</v>
      </c>
      <c r="C2174" s="8">
        <v>3567</v>
      </c>
      <c r="D2174" s="16">
        <v>-2.0399919999999998E-2</v>
      </c>
      <c r="E2174">
        <v>-1.0199959999999999E-2</v>
      </c>
    </row>
    <row r="2175" spans="1:5" x14ac:dyDescent="0.3">
      <c r="A2175" s="8">
        <v>66</v>
      </c>
      <c r="B2175" s="8">
        <v>29</v>
      </c>
      <c r="C2175" s="8">
        <v>3591</v>
      </c>
      <c r="D2175" s="16">
        <v>-3.7066799999999997E-2</v>
      </c>
      <c r="E2175">
        <v>-1.8533399999999998E-2</v>
      </c>
    </row>
    <row r="2176" spans="1:5" x14ac:dyDescent="0.3">
      <c r="A2176" s="8">
        <v>66</v>
      </c>
      <c r="B2176" s="8">
        <v>30</v>
      </c>
      <c r="C2176" s="8">
        <v>3599</v>
      </c>
      <c r="D2176" s="16">
        <v>-1.3696349999999999E-2</v>
      </c>
      <c r="E2176">
        <v>-6.8481749999999997E-3</v>
      </c>
    </row>
    <row r="2177" spans="1:5" x14ac:dyDescent="0.3">
      <c r="A2177" s="8">
        <v>66</v>
      </c>
      <c r="B2177" s="8">
        <v>31</v>
      </c>
      <c r="C2177" s="8">
        <v>3524</v>
      </c>
      <c r="D2177" s="16">
        <v>-2.6626830000000001E-2</v>
      </c>
      <c r="E2177">
        <v>-1.3313415E-2</v>
      </c>
    </row>
    <row r="2178" spans="1:5" x14ac:dyDescent="0.3">
      <c r="A2178" s="8">
        <v>66</v>
      </c>
      <c r="B2178" s="8">
        <v>32</v>
      </c>
      <c r="C2178" s="8">
        <v>3585</v>
      </c>
      <c r="D2178" s="16">
        <v>-1.7021390000000001E-2</v>
      </c>
      <c r="E2178">
        <v>-8.5106950000000004E-3</v>
      </c>
    </row>
    <row r="2179" spans="1:5" x14ac:dyDescent="0.3">
      <c r="A2179" s="8">
        <v>66</v>
      </c>
      <c r="B2179" s="8">
        <v>33</v>
      </c>
      <c r="C2179" s="8">
        <v>3637</v>
      </c>
      <c r="D2179" s="16">
        <v>-5.9571649999999997E-2</v>
      </c>
      <c r="E2179">
        <v>-2.9785824999999998E-2</v>
      </c>
    </row>
    <row r="2180" spans="1:5" x14ac:dyDescent="0.3">
      <c r="A2180" s="8">
        <v>66</v>
      </c>
      <c r="B2180" s="8">
        <v>34</v>
      </c>
      <c r="C2180" s="8">
        <v>3632</v>
      </c>
      <c r="D2180" s="16">
        <v>-2.204863E-2</v>
      </c>
      <c r="E2180">
        <v>-1.1024315E-2</v>
      </c>
    </row>
    <row r="2181" spans="1:5" x14ac:dyDescent="0.3">
      <c r="A2181" s="8">
        <v>66</v>
      </c>
      <c r="B2181" s="8">
        <v>35</v>
      </c>
      <c r="C2181" s="8">
        <v>3617</v>
      </c>
      <c r="D2181" s="16">
        <v>-1.387877E-2</v>
      </c>
      <c r="E2181">
        <v>-6.9393850000000002E-3</v>
      </c>
    </row>
    <row r="2182" spans="1:5" x14ac:dyDescent="0.3">
      <c r="A2182" s="8">
        <v>66</v>
      </c>
      <c r="B2182" s="8">
        <v>36</v>
      </c>
      <c r="C2182" s="8">
        <v>3591</v>
      </c>
      <c r="D2182" s="16">
        <v>-1.5977769999999999E-2</v>
      </c>
      <c r="E2182">
        <v>-7.9888849999999994E-3</v>
      </c>
    </row>
    <row r="2183" spans="1:5" x14ac:dyDescent="0.3">
      <c r="A2183" s="8">
        <v>66</v>
      </c>
      <c r="B2183" s="8">
        <v>37</v>
      </c>
      <c r="C2183" s="8">
        <v>3579</v>
      </c>
      <c r="D2183" s="16">
        <v>-3.1593839999999998E-2</v>
      </c>
      <c r="E2183">
        <v>-1.5796919999999999E-2</v>
      </c>
    </row>
    <row r="2184" spans="1:5" x14ac:dyDescent="0.3">
      <c r="A2184" s="8">
        <v>66</v>
      </c>
      <c r="B2184" s="8">
        <v>38</v>
      </c>
      <c r="C2184" s="8">
        <v>3644</v>
      </c>
      <c r="D2184" s="16">
        <v>-1.951959E-2</v>
      </c>
      <c r="E2184">
        <v>-9.7597949999999999E-3</v>
      </c>
    </row>
    <row r="2185" spans="1:5" x14ac:dyDescent="0.3">
      <c r="A2185" s="8">
        <v>66</v>
      </c>
      <c r="B2185" s="8">
        <v>39</v>
      </c>
      <c r="C2185" s="8">
        <v>3612</v>
      </c>
      <c r="D2185" s="16">
        <v>-2.7219859999999999E-2</v>
      </c>
      <c r="E2185">
        <v>-1.3609929999999999E-2</v>
      </c>
    </row>
    <row r="2186" spans="1:5" x14ac:dyDescent="0.3">
      <c r="A2186" s="8">
        <v>66</v>
      </c>
      <c r="B2186" s="8">
        <v>40</v>
      </c>
      <c r="C2186" s="8">
        <v>3627</v>
      </c>
      <c r="D2186" s="16">
        <v>-2.8185060000000001E-2</v>
      </c>
      <c r="E2186">
        <v>-1.4092530000000001E-2</v>
      </c>
    </row>
    <row r="2187" spans="1:5" x14ac:dyDescent="0.3">
      <c r="A2187" s="8">
        <v>66</v>
      </c>
      <c r="B2187" s="8">
        <v>41</v>
      </c>
      <c r="C2187" s="8">
        <v>3580</v>
      </c>
      <c r="D2187" s="16">
        <v>-5.0608819999999999E-2</v>
      </c>
      <c r="E2187">
        <v>-2.5304409999999999E-2</v>
      </c>
    </row>
    <row r="2188" spans="1:5" x14ac:dyDescent="0.3">
      <c r="A2188" s="8">
        <v>66</v>
      </c>
      <c r="B2188" s="8">
        <v>42</v>
      </c>
      <c r="C2188" s="8">
        <v>3622</v>
      </c>
      <c r="D2188" s="16">
        <v>-1.1313440000000001E-3</v>
      </c>
      <c r="E2188">
        <v>-5.6567200000000003E-4</v>
      </c>
    </row>
    <row r="2189" spans="1:5" x14ac:dyDescent="0.3">
      <c r="A2189" s="8">
        <v>66</v>
      </c>
      <c r="B2189" s="8">
        <v>43</v>
      </c>
      <c r="C2189" s="8">
        <v>3582</v>
      </c>
      <c r="D2189" s="16">
        <v>-4.8386690000000003E-2</v>
      </c>
      <c r="E2189">
        <v>-2.4193345000000002E-2</v>
      </c>
    </row>
    <row r="2190" spans="1:5" x14ac:dyDescent="0.3">
      <c r="A2190" s="8">
        <v>66</v>
      </c>
      <c r="B2190" s="8">
        <v>44</v>
      </c>
      <c r="C2190" s="8">
        <v>3569</v>
      </c>
      <c r="D2190" s="16">
        <v>3.069235E-2</v>
      </c>
      <c r="E2190">
        <v>1.5346175E-2</v>
      </c>
    </row>
    <row r="2191" spans="1:5" x14ac:dyDescent="0.3">
      <c r="A2191" s="8">
        <v>66</v>
      </c>
      <c r="B2191" s="8">
        <v>45</v>
      </c>
      <c r="C2191" s="8">
        <v>3627</v>
      </c>
      <c r="D2191" s="16">
        <v>-3.1132480000000001E-2</v>
      </c>
      <c r="E2191">
        <v>-1.556624E-2</v>
      </c>
    </row>
    <row r="2192" spans="1:5" x14ac:dyDescent="0.3">
      <c r="A2192" s="8">
        <v>66</v>
      </c>
      <c r="B2192" s="8">
        <v>46</v>
      </c>
      <c r="C2192" s="8">
        <v>3622</v>
      </c>
      <c r="D2192" s="16">
        <v>1.2188259999999999E-2</v>
      </c>
      <c r="E2192">
        <v>6.0941299999999997E-3</v>
      </c>
    </row>
    <row r="2193" spans="1:5" x14ac:dyDescent="0.3">
      <c r="A2193" s="8">
        <v>66</v>
      </c>
      <c r="B2193" s="8">
        <v>47</v>
      </c>
      <c r="C2193" s="8">
        <v>3623</v>
      </c>
      <c r="D2193" s="16">
        <v>-2.0225779999999999E-2</v>
      </c>
      <c r="E2193">
        <v>-1.0112889999999999E-2</v>
      </c>
    </row>
    <row r="2194" spans="1:5" x14ac:dyDescent="0.3">
      <c r="A2194" s="8">
        <v>66</v>
      </c>
      <c r="B2194" s="8">
        <v>48</v>
      </c>
      <c r="C2194" s="8">
        <v>3593</v>
      </c>
      <c r="D2194" s="16">
        <v>-3.3425919999999998E-2</v>
      </c>
      <c r="E2194">
        <v>-1.6712959999999999E-2</v>
      </c>
    </row>
    <row r="2195" spans="1:5" x14ac:dyDescent="0.3">
      <c r="A2195" s="8">
        <v>66</v>
      </c>
      <c r="B2195" s="8">
        <v>49</v>
      </c>
      <c r="C2195" s="8">
        <v>3607</v>
      </c>
      <c r="D2195" s="16">
        <v>-1.4976410000000001E-2</v>
      </c>
      <c r="E2195">
        <v>-7.4882050000000004E-3</v>
      </c>
    </row>
    <row r="2196" spans="1:5" x14ac:dyDescent="0.3">
      <c r="A2196" s="8">
        <v>66</v>
      </c>
      <c r="B2196" s="8">
        <v>50</v>
      </c>
      <c r="C2196" s="8">
        <v>3634</v>
      </c>
      <c r="D2196" s="16">
        <v>3.539453E-2</v>
      </c>
      <c r="E2196">
        <v>1.7697265E-2</v>
      </c>
    </row>
    <row r="2197" spans="1:5" x14ac:dyDescent="0.3">
      <c r="A2197" s="8">
        <v>66</v>
      </c>
      <c r="B2197" s="8">
        <v>51</v>
      </c>
      <c r="C2197" s="8">
        <v>3590</v>
      </c>
      <c r="D2197" s="16">
        <v>-3.8130549999999999E-2</v>
      </c>
      <c r="E2197">
        <v>-1.9065275E-2</v>
      </c>
    </row>
    <row r="2198" spans="1:5" x14ac:dyDescent="0.3">
      <c r="A2198" s="8">
        <v>66</v>
      </c>
      <c r="B2198" s="8">
        <v>52</v>
      </c>
      <c r="C2198" s="8">
        <v>3599</v>
      </c>
      <c r="D2198" s="16">
        <v>-2.5516259999999999E-2</v>
      </c>
      <c r="E2198">
        <v>-1.2758129999999999E-2</v>
      </c>
    </row>
    <row r="2199" spans="1:5" x14ac:dyDescent="0.3">
      <c r="A2199" s="8">
        <v>66</v>
      </c>
      <c r="B2199" s="8">
        <v>53</v>
      </c>
      <c r="C2199" s="8">
        <v>3612</v>
      </c>
      <c r="D2199" s="16">
        <v>-1.9465570000000001E-2</v>
      </c>
      <c r="E2199">
        <v>-9.7327850000000007E-3</v>
      </c>
    </row>
    <row r="2200" spans="1:5" x14ac:dyDescent="0.3">
      <c r="A2200" s="8">
        <v>66</v>
      </c>
      <c r="B2200" s="8">
        <v>54</v>
      </c>
      <c r="C2200" s="8">
        <v>3599</v>
      </c>
      <c r="D2200" s="16">
        <v>-7.7432150000000003E-3</v>
      </c>
      <c r="E2200">
        <v>-3.8716075000000002E-3</v>
      </c>
    </row>
    <row r="2201" spans="1:5" x14ac:dyDescent="0.3">
      <c r="A2201" s="8">
        <v>66</v>
      </c>
      <c r="B2201" s="8">
        <v>55</v>
      </c>
      <c r="C2201" s="8">
        <v>3617</v>
      </c>
      <c r="D2201" s="16">
        <v>-1.337237E-2</v>
      </c>
      <c r="E2201">
        <v>-6.6861849999999999E-3</v>
      </c>
    </row>
    <row r="2202" spans="1:5" x14ac:dyDescent="0.3">
      <c r="A2202" s="8">
        <v>66</v>
      </c>
      <c r="B2202" s="8">
        <v>56</v>
      </c>
      <c r="C2202" s="8">
        <v>3625</v>
      </c>
      <c r="D2202" s="16">
        <v>5.5152140000000002E-2</v>
      </c>
      <c r="E2202">
        <v>2.7576070000000001E-2</v>
      </c>
    </row>
    <row r="2203" spans="1:5" x14ac:dyDescent="0.3">
      <c r="A2203" s="8">
        <v>66</v>
      </c>
      <c r="B2203" s="8">
        <v>57</v>
      </c>
      <c r="C2203" s="8">
        <v>3635</v>
      </c>
      <c r="D2203" s="16">
        <v>-1.844347E-2</v>
      </c>
      <c r="E2203">
        <v>-9.221735E-3</v>
      </c>
    </row>
    <row r="2204" spans="1:5" x14ac:dyDescent="0.3">
      <c r="A2204" s="8">
        <v>66</v>
      </c>
      <c r="B2204" s="8">
        <v>58</v>
      </c>
      <c r="C2204" s="8">
        <v>3615</v>
      </c>
      <c r="D2204" s="16">
        <v>6.2768160000000002E-3</v>
      </c>
      <c r="E2204">
        <v>3.1384080000000001E-3</v>
      </c>
    </row>
    <row r="2205" spans="1:5" x14ac:dyDescent="0.3">
      <c r="A2205" s="8">
        <v>66</v>
      </c>
      <c r="B2205" s="8">
        <v>59</v>
      </c>
      <c r="C2205" s="8">
        <v>3648</v>
      </c>
      <c r="D2205" s="16">
        <v>-1.826154E-2</v>
      </c>
      <c r="E2205">
        <v>-9.1307699999999999E-3</v>
      </c>
    </row>
    <row r="2206" spans="1:5" x14ac:dyDescent="0.3">
      <c r="A2206" s="8">
        <v>66</v>
      </c>
      <c r="B2206" s="8">
        <v>60</v>
      </c>
      <c r="C2206" s="8">
        <v>3618</v>
      </c>
      <c r="D2206" s="16">
        <v>-3.1366440000000002E-2</v>
      </c>
      <c r="E2206">
        <v>-1.5683220000000001E-2</v>
      </c>
    </row>
    <row r="2207" spans="1:5" x14ac:dyDescent="0.3">
      <c r="A2207" s="8">
        <v>66</v>
      </c>
      <c r="B2207" s="8">
        <v>61</v>
      </c>
      <c r="C2207" s="8">
        <v>3599</v>
      </c>
      <c r="D2207" s="16">
        <v>-6.0292699999999998E-2</v>
      </c>
      <c r="E2207">
        <v>-3.0146349999999999E-2</v>
      </c>
    </row>
    <row r="2208" spans="1:5" x14ac:dyDescent="0.3">
      <c r="A2208" s="8">
        <v>66</v>
      </c>
      <c r="B2208" s="8">
        <v>62</v>
      </c>
      <c r="C2208" s="8">
        <v>3639</v>
      </c>
      <c r="D2208" s="16">
        <v>1.734861E-2</v>
      </c>
      <c r="E2208">
        <v>8.6743050000000002E-3</v>
      </c>
    </row>
    <row r="2209" spans="1:5" x14ac:dyDescent="0.3">
      <c r="A2209" s="8">
        <v>66</v>
      </c>
      <c r="B2209" s="8">
        <v>63</v>
      </c>
      <c r="C2209" s="8">
        <v>3619</v>
      </c>
      <c r="D2209" s="16">
        <v>-4.1415420000000001E-2</v>
      </c>
      <c r="E2209">
        <v>-2.0707710000000001E-2</v>
      </c>
    </row>
    <row r="2210" spans="1:5" x14ac:dyDescent="0.3">
      <c r="A2210" s="8">
        <v>66</v>
      </c>
      <c r="B2210" s="8">
        <v>64</v>
      </c>
      <c r="C2210" s="8">
        <v>3604</v>
      </c>
      <c r="D2210" s="16">
        <v>-7.7617169999999996E-3</v>
      </c>
      <c r="E2210">
        <v>-3.8808584999999998E-3</v>
      </c>
    </row>
    <row r="2211" spans="1:5" x14ac:dyDescent="0.3">
      <c r="A2211" s="8">
        <v>66</v>
      </c>
      <c r="B2211" s="8">
        <v>65</v>
      </c>
      <c r="C2211" s="8">
        <v>3627</v>
      </c>
      <c r="D2211" s="16">
        <v>-1.5929740000000001E-2</v>
      </c>
      <c r="E2211">
        <v>-7.9648700000000006E-3</v>
      </c>
    </row>
    <row r="2212" spans="1:5" x14ac:dyDescent="0.3">
      <c r="A2212" s="8">
        <v>66</v>
      </c>
      <c r="B2212" s="8">
        <v>66</v>
      </c>
      <c r="C2212" s="8">
        <v>3896</v>
      </c>
      <c r="D2212" s="16">
        <v>1.024041</v>
      </c>
      <c r="E2212"/>
    </row>
    <row r="2213" spans="1:5" x14ac:dyDescent="0.3">
      <c r="A2213" s="8">
        <v>67</v>
      </c>
      <c r="B2213" s="8">
        <v>1</v>
      </c>
      <c r="C2213" s="8">
        <v>3611</v>
      </c>
      <c r="D2213" s="16">
        <v>1.6396290000000001E-2</v>
      </c>
      <c r="E2213">
        <v>8.1981450000000004E-3</v>
      </c>
    </row>
    <row r="2214" spans="1:5" x14ac:dyDescent="0.3">
      <c r="A2214" s="8">
        <v>67</v>
      </c>
      <c r="B2214" s="8">
        <v>2</v>
      </c>
      <c r="C2214" s="8">
        <v>3603</v>
      </c>
      <c r="D2214" s="16">
        <v>-2.3452730000000001E-2</v>
      </c>
      <c r="E2214">
        <v>-1.1726365000000001E-2</v>
      </c>
    </row>
    <row r="2215" spans="1:5" x14ac:dyDescent="0.3">
      <c r="A2215" s="8">
        <v>67</v>
      </c>
      <c r="B2215" s="8">
        <v>3</v>
      </c>
      <c r="C2215" s="8">
        <v>3621</v>
      </c>
      <c r="D2215" s="16">
        <v>-2.3169570000000001E-3</v>
      </c>
      <c r="E2215">
        <v>-1.1584785000000001E-3</v>
      </c>
    </row>
    <row r="2216" spans="1:5" x14ac:dyDescent="0.3">
      <c r="A2216" s="8">
        <v>67</v>
      </c>
      <c r="B2216" s="8">
        <v>4</v>
      </c>
      <c r="C2216" s="8">
        <v>3575</v>
      </c>
      <c r="D2216" s="16">
        <v>-4.4537590000000002E-2</v>
      </c>
      <c r="E2216">
        <v>-2.2268795000000001E-2</v>
      </c>
    </row>
    <row r="2217" spans="1:5" x14ac:dyDescent="0.3">
      <c r="A2217" s="8">
        <v>67</v>
      </c>
      <c r="B2217" s="8">
        <v>5</v>
      </c>
      <c r="C2217" s="8">
        <v>3592</v>
      </c>
      <c r="D2217" s="16">
        <v>-2.3118910000000001E-4</v>
      </c>
      <c r="E2217">
        <v>-1.1559455E-4</v>
      </c>
    </row>
    <row r="2218" spans="1:5" x14ac:dyDescent="0.3">
      <c r="A2218" s="8">
        <v>67</v>
      </c>
      <c r="B2218" s="8">
        <v>6</v>
      </c>
      <c r="C2218" s="8">
        <v>3599</v>
      </c>
      <c r="D2218" s="16">
        <v>-9.2482380000000006E-3</v>
      </c>
      <c r="E2218">
        <v>-4.6241190000000003E-3</v>
      </c>
    </row>
    <row r="2219" spans="1:5" x14ac:dyDescent="0.3">
      <c r="A2219" s="8">
        <v>67</v>
      </c>
      <c r="B2219" s="8">
        <v>7</v>
      </c>
      <c r="C2219" s="8">
        <v>3574</v>
      </c>
      <c r="D2219" s="16">
        <v>-1.49184E-2</v>
      </c>
      <c r="E2219">
        <v>-7.4592E-3</v>
      </c>
    </row>
    <row r="2220" spans="1:5" x14ac:dyDescent="0.3">
      <c r="A2220" s="8">
        <v>67</v>
      </c>
      <c r="B2220" s="8">
        <v>8</v>
      </c>
      <c r="C2220" s="8">
        <v>3614</v>
      </c>
      <c r="D2220" s="16">
        <v>-3.5400849999999998E-2</v>
      </c>
      <c r="E2220">
        <v>-1.7700424999999999E-2</v>
      </c>
    </row>
    <row r="2221" spans="1:5" x14ac:dyDescent="0.3">
      <c r="A2221" s="8">
        <v>67</v>
      </c>
      <c r="B2221" s="8">
        <v>9</v>
      </c>
      <c r="C2221" s="8">
        <v>3606</v>
      </c>
      <c r="D2221" s="16">
        <v>2.4883820000000001E-2</v>
      </c>
      <c r="E2221">
        <v>1.244191E-2</v>
      </c>
    </row>
    <row r="2222" spans="1:5" x14ac:dyDescent="0.3">
      <c r="A2222" s="8">
        <v>67</v>
      </c>
      <c r="B2222" s="8">
        <v>10</v>
      </c>
      <c r="C2222" s="8">
        <v>3600</v>
      </c>
      <c r="D2222" s="16">
        <v>5.7725019999999997E-3</v>
      </c>
      <c r="E2222">
        <v>2.8862509999999998E-3</v>
      </c>
    </row>
    <row r="2223" spans="1:5" x14ac:dyDescent="0.3">
      <c r="A2223" s="8">
        <v>67</v>
      </c>
      <c r="B2223" s="8">
        <v>11</v>
      </c>
      <c r="C2223" s="8">
        <v>3595</v>
      </c>
      <c r="D2223" s="16">
        <v>-3.8306529999999998E-2</v>
      </c>
      <c r="E2223">
        <v>-1.9153264999999999E-2</v>
      </c>
    </row>
    <row r="2224" spans="1:5" x14ac:dyDescent="0.3">
      <c r="A2224" s="8">
        <v>67</v>
      </c>
      <c r="B2224" s="8">
        <v>12</v>
      </c>
      <c r="C2224" s="8">
        <v>3616</v>
      </c>
      <c r="D2224" s="16">
        <v>-2.6408319999999999E-2</v>
      </c>
      <c r="E2224">
        <v>-1.320416E-2</v>
      </c>
    </row>
    <row r="2225" spans="1:5" x14ac:dyDescent="0.3">
      <c r="A2225" s="8">
        <v>67</v>
      </c>
      <c r="B2225" s="8">
        <v>13</v>
      </c>
      <c r="C2225" s="8">
        <v>3590</v>
      </c>
      <c r="D2225" s="16">
        <v>-3.6063789999999998E-2</v>
      </c>
      <c r="E2225">
        <v>-1.8031894999999999E-2</v>
      </c>
    </row>
    <row r="2226" spans="1:5" x14ac:dyDescent="0.3">
      <c r="A2226" s="8">
        <v>67</v>
      </c>
      <c r="B2226" s="8">
        <v>14</v>
      </c>
      <c r="C2226" s="8">
        <v>3585</v>
      </c>
      <c r="D2226" s="16">
        <v>-3.504202E-2</v>
      </c>
      <c r="E2226">
        <v>-1.752101E-2</v>
      </c>
    </row>
    <row r="2227" spans="1:5" x14ac:dyDescent="0.3">
      <c r="A2227" s="8">
        <v>67</v>
      </c>
      <c r="B2227" s="8">
        <v>15</v>
      </c>
      <c r="C2227" s="8">
        <v>3609</v>
      </c>
      <c r="D2227" s="16">
        <v>-5.2365019999999998E-2</v>
      </c>
      <c r="E2227">
        <v>-2.6182509999999999E-2</v>
      </c>
    </row>
    <row r="2228" spans="1:5" x14ac:dyDescent="0.3">
      <c r="A2228" s="8">
        <v>67</v>
      </c>
      <c r="B2228" s="8">
        <v>16</v>
      </c>
      <c r="C2228" s="8">
        <v>3597</v>
      </c>
      <c r="D2228" s="16">
        <v>-3.0633179999999999E-2</v>
      </c>
      <c r="E2228">
        <v>-1.531659E-2</v>
      </c>
    </row>
    <row r="2229" spans="1:5" x14ac:dyDescent="0.3">
      <c r="A2229" s="8">
        <v>67</v>
      </c>
      <c r="B2229" s="8">
        <v>17</v>
      </c>
      <c r="C2229" s="8">
        <v>3610</v>
      </c>
      <c r="D2229" s="16">
        <v>8.3405930000000003E-3</v>
      </c>
      <c r="E2229">
        <v>4.1702965000000002E-3</v>
      </c>
    </row>
    <row r="2230" spans="1:5" x14ac:dyDescent="0.3">
      <c r="A2230" s="8">
        <v>67</v>
      </c>
      <c r="B2230" s="8">
        <v>18</v>
      </c>
      <c r="C2230" s="8">
        <v>3608</v>
      </c>
      <c r="D2230" s="16">
        <v>-5.0570010000000002E-3</v>
      </c>
      <c r="E2230">
        <v>-2.5285005000000001E-3</v>
      </c>
    </row>
    <row r="2231" spans="1:5" x14ac:dyDescent="0.3">
      <c r="A2231" s="8">
        <v>67</v>
      </c>
      <c r="B2231" s="8">
        <v>19</v>
      </c>
      <c r="C2231" s="8">
        <v>3578</v>
      </c>
      <c r="D2231" s="16">
        <v>-4.2989899999999998E-2</v>
      </c>
      <c r="E2231">
        <v>-2.1494949999999999E-2</v>
      </c>
    </row>
    <row r="2232" spans="1:5" x14ac:dyDescent="0.3">
      <c r="A2232" s="8">
        <v>67</v>
      </c>
      <c r="B2232" s="8">
        <v>20</v>
      </c>
      <c r="C2232" s="8">
        <v>3580</v>
      </c>
      <c r="D2232" s="16">
        <v>1.502002E-2</v>
      </c>
      <c r="E2232">
        <v>7.5100100000000001E-3</v>
      </c>
    </row>
    <row r="2233" spans="1:5" x14ac:dyDescent="0.3">
      <c r="A2233" s="8">
        <v>67</v>
      </c>
      <c r="B2233" s="8">
        <v>21</v>
      </c>
      <c r="C2233" s="8">
        <v>3629</v>
      </c>
      <c r="D2233" s="16">
        <v>-3.9449930000000001E-2</v>
      </c>
      <c r="E2233">
        <v>-1.9724965000000001E-2</v>
      </c>
    </row>
    <row r="2234" spans="1:5" x14ac:dyDescent="0.3">
      <c r="A2234" s="8">
        <v>67</v>
      </c>
      <c r="B2234" s="8">
        <v>22</v>
      </c>
      <c r="C2234" s="8">
        <v>3589</v>
      </c>
      <c r="D2234" s="16">
        <v>-8.0722390000000002E-3</v>
      </c>
      <c r="E2234">
        <v>-4.0361195000000001E-3</v>
      </c>
    </row>
    <row r="2235" spans="1:5" x14ac:dyDescent="0.3">
      <c r="A2235" s="8">
        <v>67</v>
      </c>
      <c r="B2235" s="8">
        <v>23</v>
      </c>
      <c r="C2235" s="8">
        <v>3593</v>
      </c>
      <c r="D2235" s="16">
        <v>-6.2715499999999993E-2</v>
      </c>
      <c r="E2235">
        <v>-3.1357749999999997E-2</v>
      </c>
    </row>
    <row r="2236" spans="1:5" x14ac:dyDescent="0.3">
      <c r="A2236" s="8">
        <v>67</v>
      </c>
      <c r="B2236" s="8">
        <v>24</v>
      </c>
      <c r="C2236" s="8">
        <v>3614</v>
      </c>
      <c r="D2236" s="16">
        <v>-2.9906269999999999E-2</v>
      </c>
      <c r="E2236">
        <v>-1.4953134999999999E-2</v>
      </c>
    </row>
    <row r="2237" spans="1:5" x14ac:dyDescent="0.3">
      <c r="A2237" s="8">
        <v>67</v>
      </c>
      <c r="B2237" s="8">
        <v>25</v>
      </c>
      <c r="C2237" s="8">
        <v>3580</v>
      </c>
      <c r="D2237" s="16">
        <v>-3.0559950000000002E-3</v>
      </c>
      <c r="E2237">
        <v>-1.5279975000000001E-3</v>
      </c>
    </row>
    <row r="2238" spans="1:5" x14ac:dyDescent="0.3">
      <c r="A2238" s="8">
        <v>67</v>
      </c>
      <c r="B2238" s="8">
        <v>26</v>
      </c>
      <c r="C2238" s="8">
        <v>3627</v>
      </c>
      <c r="D2238" s="16">
        <v>3.5331559999999998E-2</v>
      </c>
      <c r="E2238">
        <v>1.7665779999999999E-2</v>
      </c>
    </row>
    <row r="2239" spans="1:5" x14ac:dyDescent="0.3">
      <c r="A2239" s="8">
        <v>67</v>
      </c>
      <c r="B2239" s="8">
        <v>27</v>
      </c>
      <c r="C2239" s="8">
        <v>3570</v>
      </c>
      <c r="D2239" s="16">
        <v>-4.009998E-2</v>
      </c>
      <c r="E2239">
        <v>-2.004999E-2</v>
      </c>
    </row>
    <row r="2240" spans="1:5" x14ac:dyDescent="0.3">
      <c r="A2240" s="8">
        <v>67</v>
      </c>
      <c r="B2240" s="8">
        <v>28</v>
      </c>
      <c r="C2240" s="8">
        <v>3540</v>
      </c>
      <c r="D2240" s="16">
        <v>-3.1814919999999997E-2</v>
      </c>
      <c r="E2240">
        <v>-1.5907459999999998E-2</v>
      </c>
    </row>
    <row r="2241" spans="1:5" x14ac:dyDescent="0.3">
      <c r="A2241" s="8">
        <v>67</v>
      </c>
      <c r="B2241" s="8">
        <v>29</v>
      </c>
      <c r="C2241" s="8">
        <v>3566</v>
      </c>
      <c r="D2241" s="16">
        <v>-1.3448160000000001E-2</v>
      </c>
      <c r="E2241">
        <v>-6.7240800000000003E-3</v>
      </c>
    </row>
    <row r="2242" spans="1:5" x14ac:dyDescent="0.3">
      <c r="A2242" s="8">
        <v>67</v>
      </c>
      <c r="B2242" s="8">
        <v>30</v>
      </c>
      <c r="C2242" s="8">
        <v>3581</v>
      </c>
      <c r="D2242" s="16">
        <v>-1.83661E-2</v>
      </c>
      <c r="E2242">
        <v>-9.1830499999999999E-3</v>
      </c>
    </row>
    <row r="2243" spans="1:5" x14ac:dyDescent="0.3">
      <c r="A2243" s="8">
        <v>67</v>
      </c>
      <c r="B2243" s="8">
        <v>31</v>
      </c>
      <c r="C2243" s="8">
        <v>3503</v>
      </c>
      <c r="D2243" s="16">
        <v>1.166118E-2</v>
      </c>
      <c r="E2243">
        <v>5.8305900000000001E-3</v>
      </c>
    </row>
    <row r="2244" spans="1:5" x14ac:dyDescent="0.3">
      <c r="A2244" s="8">
        <v>67</v>
      </c>
      <c r="B2244" s="8">
        <v>32</v>
      </c>
      <c r="C2244" s="8">
        <v>3566</v>
      </c>
      <c r="D2244" s="16">
        <v>2.0535640000000001E-2</v>
      </c>
      <c r="E2244">
        <v>1.026782E-2</v>
      </c>
    </row>
    <row r="2245" spans="1:5" x14ac:dyDescent="0.3">
      <c r="A2245" s="8">
        <v>67</v>
      </c>
      <c r="B2245" s="8">
        <v>33</v>
      </c>
      <c r="C2245" s="8">
        <v>3611</v>
      </c>
      <c r="D2245" s="16">
        <v>-4.6063609999999998E-2</v>
      </c>
      <c r="E2245">
        <v>-2.3031804999999999E-2</v>
      </c>
    </row>
    <row r="2246" spans="1:5" x14ac:dyDescent="0.3">
      <c r="A2246" s="8">
        <v>67</v>
      </c>
      <c r="B2246" s="8">
        <v>34</v>
      </c>
      <c r="C2246" s="8">
        <v>3603</v>
      </c>
      <c r="D2246" s="16">
        <v>-3.1245160000000001E-2</v>
      </c>
      <c r="E2246">
        <v>-1.562258E-2</v>
      </c>
    </row>
    <row r="2247" spans="1:5" x14ac:dyDescent="0.3">
      <c r="A2247" s="8">
        <v>67</v>
      </c>
      <c r="B2247" s="8">
        <v>35</v>
      </c>
      <c r="C2247" s="8">
        <v>3589</v>
      </c>
      <c r="D2247" s="16">
        <v>5.8159719999999998E-2</v>
      </c>
      <c r="E2247">
        <v>2.9079859999999999E-2</v>
      </c>
    </row>
    <row r="2248" spans="1:5" x14ac:dyDescent="0.3">
      <c r="A2248" s="8">
        <v>67</v>
      </c>
      <c r="B2248" s="8">
        <v>36</v>
      </c>
      <c r="C2248" s="8">
        <v>3583</v>
      </c>
      <c r="D2248" s="16">
        <v>-4.661299E-2</v>
      </c>
      <c r="E2248">
        <v>-2.3306495E-2</v>
      </c>
    </row>
    <row r="2249" spans="1:5" x14ac:dyDescent="0.3">
      <c r="A2249" s="8">
        <v>67</v>
      </c>
      <c r="B2249" s="8">
        <v>37</v>
      </c>
      <c r="C2249" s="8">
        <v>3566</v>
      </c>
      <c r="D2249" s="16">
        <v>-2.322967E-3</v>
      </c>
      <c r="E2249">
        <v>-1.1614835E-3</v>
      </c>
    </row>
    <row r="2250" spans="1:5" x14ac:dyDescent="0.3">
      <c r="A2250" s="8">
        <v>67</v>
      </c>
      <c r="B2250" s="8">
        <v>38</v>
      </c>
      <c r="C2250" s="8">
        <v>3610</v>
      </c>
      <c r="D2250" s="16">
        <v>3.1844089999999999E-2</v>
      </c>
      <c r="E2250">
        <v>1.5922044999999999E-2</v>
      </c>
    </row>
    <row r="2251" spans="1:5" x14ac:dyDescent="0.3">
      <c r="A2251" s="8">
        <v>67</v>
      </c>
      <c r="B2251" s="8">
        <v>39</v>
      </c>
      <c r="C2251" s="8">
        <v>3582</v>
      </c>
      <c r="D2251" s="16">
        <v>-5.3783040000000004E-3</v>
      </c>
      <c r="E2251">
        <v>-2.6891520000000002E-3</v>
      </c>
    </row>
    <row r="2252" spans="1:5" x14ac:dyDescent="0.3">
      <c r="A2252" s="8">
        <v>67</v>
      </c>
      <c r="B2252" s="8">
        <v>40</v>
      </c>
      <c r="C2252" s="8">
        <v>3602</v>
      </c>
      <c r="D2252" s="16">
        <v>1.294092E-2</v>
      </c>
      <c r="E2252">
        <v>6.4704599999999999E-3</v>
      </c>
    </row>
    <row r="2253" spans="1:5" x14ac:dyDescent="0.3">
      <c r="A2253" s="8">
        <v>67</v>
      </c>
      <c r="B2253" s="8">
        <v>41</v>
      </c>
      <c r="C2253" s="8">
        <v>3558</v>
      </c>
      <c r="D2253" s="16">
        <v>8.4125810000000006E-3</v>
      </c>
      <c r="E2253">
        <v>4.2062905000000003E-3</v>
      </c>
    </row>
    <row r="2254" spans="1:5" x14ac:dyDescent="0.3">
      <c r="A2254" s="8">
        <v>67</v>
      </c>
      <c r="B2254" s="8">
        <v>42</v>
      </c>
      <c r="C2254" s="8">
        <v>3591</v>
      </c>
      <c r="D2254" s="16">
        <v>-1.822317E-2</v>
      </c>
      <c r="E2254">
        <v>-9.1115850000000002E-3</v>
      </c>
    </row>
    <row r="2255" spans="1:5" x14ac:dyDescent="0.3">
      <c r="A2255" s="8">
        <v>67</v>
      </c>
      <c r="B2255" s="8">
        <v>43</v>
      </c>
      <c r="C2255" s="8">
        <v>3563</v>
      </c>
      <c r="D2255" s="16">
        <v>-1.1303499999999999E-2</v>
      </c>
      <c r="E2255">
        <v>-5.6517499999999997E-3</v>
      </c>
    </row>
    <row r="2256" spans="1:5" x14ac:dyDescent="0.3">
      <c r="A2256" s="8">
        <v>67</v>
      </c>
      <c r="B2256" s="8">
        <v>44</v>
      </c>
      <c r="C2256" s="8">
        <v>3568</v>
      </c>
      <c r="D2256" s="16">
        <v>2.5070120000000001E-2</v>
      </c>
      <c r="E2256">
        <v>1.2535060000000001E-2</v>
      </c>
    </row>
    <row r="2257" spans="1:5" x14ac:dyDescent="0.3">
      <c r="A2257" s="8">
        <v>67</v>
      </c>
      <c r="B2257" s="8">
        <v>45</v>
      </c>
      <c r="C2257" s="8">
        <v>3608</v>
      </c>
      <c r="D2257" s="16">
        <v>1.516896E-2</v>
      </c>
      <c r="E2257">
        <v>7.5844800000000002E-3</v>
      </c>
    </row>
    <row r="2258" spans="1:5" x14ac:dyDescent="0.3">
      <c r="A2258" s="8">
        <v>67</v>
      </c>
      <c r="B2258" s="8">
        <v>46</v>
      </c>
      <c r="C2258" s="8">
        <v>3592</v>
      </c>
      <c r="D2258" s="16">
        <v>1.087454E-2</v>
      </c>
      <c r="E2258">
        <v>5.4372700000000001E-3</v>
      </c>
    </row>
    <row r="2259" spans="1:5" x14ac:dyDescent="0.3">
      <c r="A2259" s="8">
        <v>67</v>
      </c>
      <c r="B2259" s="8">
        <v>47</v>
      </c>
      <c r="C2259" s="8">
        <v>3607</v>
      </c>
      <c r="D2259" s="16">
        <v>1.781765E-5</v>
      </c>
      <c r="E2259">
        <v>8.9088250000000002E-6</v>
      </c>
    </row>
    <row r="2260" spans="1:5" x14ac:dyDescent="0.3">
      <c r="A2260" s="8">
        <v>67</v>
      </c>
      <c r="B2260" s="8">
        <v>48</v>
      </c>
      <c r="C2260" s="8">
        <v>3580</v>
      </c>
      <c r="D2260" s="16">
        <v>-3.2901390000000003E-2</v>
      </c>
      <c r="E2260">
        <v>-1.6450695000000001E-2</v>
      </c>
    </row>
    <row r="2261" spans="1:5" x14ac:dyDescent="0.3">
      <c r="A2261" s="8">
        <v>67</v>
      </c>
      <c r="B2261" s="8">
        <v>49</v>
      </c>
      <c r="C2261" s="8">
        <v>3588</v>
      </c>
      <c r="D2261" s="16">
        <v>-2.8937830000000001E-2</v>
      </c>
      <c r="E2261">
        <v>-1.4468915000000001E-2</v>
      </c>
    </row>
    <row r="2262" spans="1:5" x14ac:dyDescent="0.3">
      <c r="A2262" s="8">
        <v>67</v>
      </c>
      <c r="B2262" s="8">
        <v>50</v>
      </c>
      <c r="C2262" s="8">
        <v>3622</v>
      </c>
      <c r="D2262" s="16">
        <v>2.2046059999999999E-2</v>
      </c>
      <c r="E2262">
        <v>1.102303E-2</v>
      </c>
    </row>
    <row r="2263" spans="1:5" x14ac:dyDescent="0.3">
      <c r="A2263" s="8">
        <v>67</v>
      </c>
      <c r="B2263" s="8">
        <v>51</v>
      </c>
      <c r="C2263" s="8">
        <v>3575</v>
      </c>
      <c r="D2263" s="16">
        <v>-6.2697909999999996E-2</v>
      </c>
      <c r="E2263">
        <v>-3.1348954999999998E-2</v>
      </c>
    </row>
    <row r="2264" spans="1:5" x14ac:dyDescent="0.3">
      <c r="A2264" s="8">
        <v>67</v>
      </c>
      <c r="B2264" s="8">
        <v>52</v>
      </c>
      <c r="C2264" s="8">
        <v>3572</v>
      </c>
      <c r="D2264" s="16">
        <v>-4.0580869999999998E-2</v>
      </c>
      <c r="E2264">
        <v>-2.0290434999999999E-2</v>
      </c>
    </row>
    <row r="2265" spans="1:5" x14ac:dyDescent="0.3">
      <c r="A2265" s="8">
        <v>67</v>
      </c>
      <c r="B2265" s="8">
        <v>53</v>
      </c>
      <c r="C2265" s="8">
        <v>3585</v>
      </c>
      <c r="D2265" s="16">
        <v>4.1278309999999999E-2</v>
      </c>
      <c r="E2265">
        <v>2.0639154999999999E-2</v>
      </c>
    </row>
    <row r="2266" spans="1:5" x14ac:dyDescent="0.3">
      <c r="A2266" s="8">
        <v>67</v>
      </c>
      <c r="B2266" s="8">
        <v>54</v>
      </c>
      <c r="C2266" s="8">
        <v>3569</v>
      </c>
      <c r="D2266" s="16">
        <v>-3.1285500000000001E-2</v>
      </c>
      <c r="E2266">
        <v>-1.564275E-2</v>
      </c>
    </row>
    <row r="2267" spans="1:5" x14ac:dyDescent="0.3">
      <c r="A2267" s="8">
        <v>67</v>
      </c>
      <c r="B2267" s="8">
        <v>55</v>
      </c>
      <c r="C2267" s="8">
        <v>3597</v>
      </c>
      <c r="D2267" s="16">
        <v>-4.6015050000000002E-2</v>
      </c>
      <c r="E2267">
        <v>-2.3007525000000001E-2</v>
      </c>
    </row>
    <row r="2268" spans="1:5" x14ac:dyDescent="0.3">
      <c r="A2268" s="8">
        <v>67</v>
      </c>
      <c r="B2268" s="8">
        <v>56</v>
      </c>
      <c r="C2268" s="8">
        <v>3612</v>
      </c>
      <c r="D2268" s="16">
        <v>8.3031179999999997E-4</v>
      </c>
      <c r="E2268">
        <v>4.1515589999999999E-4</v>
      </c>
    </row>
    <row r="2269" spans="1:5" x14ac:dyDescent="0.3">
      <c r="A2269" s="8">
        <v>67</v>
      </c>
      <c r="B2269" s="8">
        <v>57</v>
      </c>
      <c r="C2269" s="8">
        <v>3617</v>
      </c>
      <c r="D2269" s="16">
        <v>-2.9443210000000001E-2</v>
      </c>
      <c r="E2269">
        <v>-1.4721605E-2</v>
      </c>
    </row>
    <row r="2270" spans="1:5" x14ac:dyDescent="0.3">
      <c r="A2270" s="8">
        <v>67</v>
      </c>
      <c r="B2270" s="8">
        <v>58</v>
      </c>
      <c r="C2270" s="8">
        <v>3591</v>
      </c>
      <c r="D2270" s="16">
        <v>5.2961639999999999E-3</v>
      </c>
      <c r="E2270">
        <v>2.648082E-3</v>
      </c>
    </row>
    <row r="2271" spans="1:5" x14ac:dyDescent="0.3">
      <c r="A2271" s="8">
        <v>67</v>
      </c>
      <c r="B2271" s="8">
        <v>59</v>
      </c>
      <c r="C2271" s="8">
        <v>3624</v>
      </c>
      <c r="D2271" s="16">
        <v>5.1175419999999999E-2</v>
      </c>
      <c r="E2271">
        <v>2.558771E-2</v>
      </c>
    </row>
    <row r="2272" spans="1:5" x14ac:dyDescent="0.3">
      <c r="A2272" s="8">
        <v>67</v>
      </c>
      <c r="B2272" s="8">
        <v>60</v>
      </c>
      <c r="C2272" s="8">
        <v>3599</v>
      </c>
      <c r="D2272" s="16">
        <v>-7.4947100000000003E-2</v>
      </c>
      <c r="E2272">
        <v>-3.7473550000000001E-2</v>
      </c>
    </row>
    <row r="2273" spans="1:5" x14ac:dyDescent="0.3">
      <c r="A2273" s="8">
        <v>67</v>
      </c>
      <c r="B2273" s="8">
        <v>61</v>
      </c>
      <c r="C2273" s="8">
        <v>3590</v>
      </c>
      <c r="D2273" s="16">
        <v>-3.01762E-2</v>
      </c>
      <c r="E2273">
        <v>-1.50881E-2</v>
      </c>
    </row>
    <row r="2274" spans="1:5" x14ac:dyDescent="0.3">
      <c r="A2274" s="8">
        <v>67</v>
      </c>
      <c r="B2274" s="8">
        <v>62</v>
      </c>
      <c r="C2274" s="8">
        <v>3612</v>
      </c>
      <c r="D2274" s="16">
        <v>1.477244E-2</v>
      </c>
      <c r="E2274">
        <v>7.3862199999999998E-3</v>
      </c>
    </row>
    <row r="2275" spans="1:5" x14ac:dyDescent="0.3">
      <c r="A2275" s="8">
        <v>67</v>
      </c>
      <c r="B2275" s="8">
        <v>63</v>
      </c>
      <c r="C2275" s="8">
        <v>3625</v>
      </c>
      <c r="D2275" s="16">
        <v>-1.372866E-2</v>
      </c>
      <c r="E2275">
        <v>-6.8643300000000001E-3</v>
      </c>
    </row>
    <row r="2276" spans="1:5" x14ac:dyDescent="0.3">
      <c r="A2276" s="8">
        <v>67</v>
      </c>
      <c r="B2276" s="8">
        <v>64</v>
      </c>
      <c r="C2276" s="8">
        <v>3587</v>
      </c>
      <c r="D2276" s="16">
        <v>6.9455230000000003E-3</v>
      </c>
      <c r="E2276">
        <v>3.4727615000000002E-3</v>
      </c>
    </row>
    <row r="2277" spans="1:5" x14ac:dyDescent="0.3">
      <c r="A2277" s="8">
        <v>67</v>
      </c>
      <c r="B2277" s="8">
        <v>65</v>
      </c>
      <c r="C2277" s="8">
        <v>3605</v>
      </c>
      <c r="D2277" s="16">
        <v>-3.5700530000000001E-2</v>
      </c>
      <c r="E2277">
        <v>-1.7850265000000001E-2</v>
      </c>
    </row>
    <row r="2278" spans="1:5" x14ac:dyDescent="0.3">
      <c r="A2278" s="8">
        <v>67</v>
      </c>
      <c r="B2278" s="8">
        <v>66</v>
      </c>
      <c r="C2278" s="8">
        <v>3599</v>
      </c>
      <c r="D2278" s="16">
        <v>-1.495058E-2</v>
      </c>
      <c r="E2278">
        <v>-7.4752899999999999E-3</v>
      </c>
    </row>
    <row r="2279" spans="1:5" x14ac:dyDescent="0.3">
      <c r="A2279" s="8">
        <v>67</v>
      </c>
      <c r="B2279" s="8">
        <v>67</v>
      </c>
      <c r="C2279" s="8">
        <v>3876</v>
      </c>
      <c r="D2279" s="16">
        <v>1.043836</v>
      </c>
      <c r="E2279"/>
    </row>
    <row r="2280" spans="1:5" x14ac:dyDescent="0.3">
      <c r="A2280" s="8">
        <v>68</v>
      </c>
      <c r="B2280" s="8">
        <v>1</v>
      </c>
      <c r="C2280" s="8">
        <v>3596</v>
      </c>
      <c r="D2280" s="16">
        <v>-2.0178629999999999E-3</v>
      </c>
      <c r="E2280">
        <v>-1.0089315E-3</v>
      </c>
    </row>
    <row r="2281" spans="1:5" x14ac:dyDescent="0.3">
      <c r="A2281" s="8">
        <v>68</v>
      </c>
      <c r="B2281" s="8">
        <v>2</v>
      </c>
      <c r="C2281" s="8">
        <v>3574</v>
      </c>
      <c r="D2281" s="16">
        <v>-1.13486E-2</v>
      </c>
      <c r="E2281">
        <v>-5.6743000000000002E-3</v>
      </c>
    </row>
    <row r="2282" spans="1:5" x14ac:dyDescent="0.3">
      <c r="A2282" s="8">
        <v>68</v>
      </c>
      <c r="B2282" s="8">
        <v>3</v>
      </c>
      <c r="C2282" s="8">
        <v>3590</v>
      </c>
      <c r="D2282" s="16">
        <v>-2.130671E-2</v>
      </c>
      <c r="E2282">
        <v>-1.0653355E-2</v>
      </c>
    </row>
    <row r="2283" spans="1:5" x14ac:dyDescent="0.3">
      <c r="A2283" s="8">
        <v>68</v>
      </c>
      <c r="B2283" s="8">
        <v>4</v>
      </c>
      <c r="C2283" s="8">
        <v>3553</v>
      </c>
      <c r="D2283" s="16">
        <v>-4.1681019999999999E-2</v>
      </c>
      <c r="E2283">
        <v>-2.084051E-2</v>
      </c>
    </row>
    <row r="2284" spans="1:5" x14ac:dyDescent="0.3">
      <c r="A2284" s="8">
        <v>68</v>
      </c>
      <c r="B2284" s="8">
        <v>5</v>
      </c>
      <c r="C2284" s="8">
        <v>3567</v>
      </c>
      <c r="D2284" s="16">
        <v>-2.3257079999999999E-2</v>
      </c>
      <c r="E2284">
        <v>-1.162854E-2</v>
      </c>
    </row>
    <row r="2285" spans="1:5" x14ac:dyDescent="0.3">
      <c r="A2285" s="8">
        <v>68</v>
      </c>
      <c r="B2285" s="8">
        <v>6</v>
      </c>
      <c r="C2285" s="8">
        <v>3570</v>
      </c>
      <c r="D2285" s="16">
        <v>1.9572230000000001E-3</v>
      </c>
      <c r="E2285">
        <v>9.7861150000000006E-4</v>
      </c>
    </row>
    <row r="2286" spans="1:5" x14ac:dyDescent="0.3">
      <c r="A2286" s="8">
        <v>68</v>
      </c>
      <c r="B2286" s="8">
        <v>7</v>
      </c>
      <c r="C2286" s="8">
        <v>3546</v>
      </c>
      <c r="D2286" s="16">
        <v>-7.5810239999999996E-3</v>
      </c>
      <c r="E2286">
        <v>-3.7905119999999998E-3</v>
      </c>
    </row>
    <row r="2287" spans="1:5" x14ac:dyDescent="0.3">
      <c r="A2287" s="8">
        <v>68</v>
      </c>
      <c r="B2287" s="8">
        <v>8</v>
      </c>
      <c r="C2287" s="8">
        <v>3570</v>
      </c>
      <c r="D2287" s="16">
        <v>-5.8680579999999998E-3</v>
      </c>
      <c r="E2287">
        <v>-2.9340289999999999E-3</v>
      </c>
    </row>
    <row r="2288" spans="1:5" x14ac:dyDescent="0.3">
      <c r="A2288" s="8">
        <v>68</v>
      </c>
      <c r="B2288" s="8">
        <v>9</v>
      </c>
      <c r="C2288" s="8">
        <v>3584</v>
      </c>
      <c r="D2288" s="16">
        <v>-9.2054259999999992E-3</v>
      </c>
      <c r="E2288">
        <v>-4.6027129999999996E-3</v>
      </c>
    </row>
    <row r="2289" spans="1:5" x14ac:dyDescent="0.3">
      <c r="A2289" s="8">
        <v>68</v>
      </c>
      <c r="B2289" s="8">
        <v>10</v>
      </c>
      <c r="C2289" s="8">
        <v>3580</v>
      </c>
      <c r="D2289" s="16">
        <v>-2.3785890000000001E-2</v>
      </c>
      <c r="E2289">
        <v>-1.1892945E-2</v>
      </c>
    </row>
    <row r="2290" spans="1:5" x14ac:dyDescent="0.3">
      <c r="A2290" s="8">
        <v>68</v>
      </c>
      <c r="B2290" s="8">
        <v>11</v>
      </c>
      <c r="C2290" s="8">
        <v>3577</v>
      </c>
      <c r="D2290" s="16">
        <v>2.0341080000000002E-3</v>
      </c>
      <c r="E2290">
        <v>1.0170540000000001E-3</v>
      </c>
    </row>
    <row r="2291" spans="1:5" x14ac:dyDescent="0.3">
      <c r="A2291" s="8">
        <v>68</v>
      </c>
      <c r="B2291" s="8">
        <v>12</v>
      </c>
      <c r="C2291" s="8">
        <v>3587</v>
      </c>
      <c r="D2291" s="16">
        <v>6.5765040000000004E-3</v>
      </c>
      <c r="E2291">
        <v>3.2882520000000002E-3</v>
      </c>
    </row>
    <row r="2292" spans="1:5" x14ac:dyDescent="0.3">
      <c r="A2292" s="8">
        <v>68</v>
      </c>
      <c r="B2292" s="8">
        <v>13</v>
      </c>
      <c r="C2292" s="8">
        <v>3573</v>
      </c>
      <c r="D2292" s="16">
        <v>4.1692630000000003E-3</v>
      </c>
      <c r="E2292">
        <v>2.0846315000000002E-3</v>
      </c>
    </row>
    <row r="2293" spans="1:5" x14ac:dyDescent="0.3">
      <c r="A2293" s="8">
        <v>68</v>
      </c>
      <c r="B2293" s="8">
        <v>14</v>
      </c>
      <c r="C2293" s="8">
        <v>3561</v>
      </c>
      <c r="D2293" s="16">
        <v>6.0346310000000004E-3</v>
      </c>
      <c r="E2293">
        <v>3.0173155000000002E-3</v>
      </c>
    </row>
    <row r="2294" spans="1:5" x14ac:dyDescent="0.3">
      <c r="A2294" s="8">
        <v>68</v>
      </c>
      <c r="B2294" s="8">
        <v>15</v>
      </c>
      <c r="C2294" s="8">
        <v>3581</v>
      </c>
      <c r="D2294" s="16">
        <v>-3.04199E-2</v>
      </c>
      <c r="E2294">
        <v>-1.520995E-2</v>
      </c>
    </row>
    <row r="2295" spans="1:5" x14ac:dyDescent="0.3">
      <c r="A2295" s="8">
        <v>68</v>
      </c>
      <c r="B2295" s="8">
        <v>16</v>
      </c>
      <c r="C2295" s="8">
        <v>3569</v>
      </c>
      <c r="D2295" s="16">
        <v>-1.4635199999999999E-2</v>
      </c>
      <c r="E2295">
        <v>-7.3175999999999996E-3</v>
      </c>
    </row>
    <row r="2296" spans="1:5" x14ac:dyDescent="0.3">
      <c r="A2296" s="8">
        <v>68</v>
      </c>
      <c r="B2296" s="8">
        <v>17</v>
      </c>
      <c r="C2296" s="8">
        <v>3577</v>
      </c>
      <c r="D2296" s="16">
        <v>1.3791630000000001E-3</v>
      </c>
      <c r="E2296">
        <v>6.8958150000000005E-4</v>
      </c>
    </row>
    <row r="2297" spans="1:5" x14ac:dyDescent="0.3">
      <c r="A2297" s="8">
        <v>68</v>
      </c>
      <c r="B2297" s="8">
        <v>18</v>
      </c>
      <c r="C2297" s="8">
        <v>3575</v>
      </c>
      <c r="D2297" s="16">
        <v>-3.2564479999999999E-3</v>
      </c>
      <c r="E2297">
        <v>-1.6282239999999999E-3</v>
      </c>
    </row>
    <row r="2298" spans="1:5" x14ac:dyDescent="0.3">
      <c r="A2298" s="8">
        <v>68</v>
      </c>
      <c r="B2298" s="8">
        <v>19</v>
      </c>
      <c r="C2298" s="8">
        <v>3540</v>
      </c>
      <c r="D2298" s="16">
        <v>-1.8281950000000002E-2</v>
      </c>
      <c r="E2298">
        <v>-9.1409750000000008E-3</v>
      </c>
    </row>
    <row r="2299" spans="1:5" x14ac:dyDescent="0.3">
      <c r="A2299" s="8">
        <v>68</v>
      </c>
      <c r="B2299" s="8">
        <v>20</v>
      </c>
      <c r="C2299" s="8">
        <v>3552</v>
      </c>
      <c r="D2299" s="16">
        <v>-2.6599230000000001E-2</v>
      </c>
      <c r="E2299">
        <v>-1.3299615000000001E-2</v>
      </c>
    </row>
    <row r="2300" spans="1:5" x14ac:dyDescent="0.3">
      <c r="A2300" s="8">
        <v>68</v>
      </c>
      <c r="B2300" s="8">
        <v>21</v>
      </c>
      <c r="C2300" s="8">
        <v>3601</v>
      </c>
      <c r="D2300" s="16">
        <v>2.4570400000000002E-3</v>
      </c>
      <c r="E2300">
        <v>1.2285200000000001E-3</v>
      </c>
    </row>
    <row r="2301" spans="1:5" x14ac:dyDescent="0.3">
      <c r="A2301" s="8">
        <v>68</v>
      </c>
      <c r="B2301" s="8">
        <v>22</v>
      </c>
      <c r="C2301" s="8">
        <v>3556</v>
      </c>
      <c r="D2301" s="16">
        <v>-3.8862859999999999E-2</v>
      </c>
      <c r="E2301">
        <v>-1.943143E-2</v>
      </c>
    </row>
    <row r="2302" spans="1:5" x14ac:dyDescent="0.3">
      <c r="A2302" s="8">
        <v>68</v>
      </c>
      <c r="B2302" s="8">
        <v>23</v>
      </c>
      <c r="C2302" s="8">
        <v>3557</v>
      </c>
      <c r="D2302" s="16">
        <v>-3.6450820000000002E-2</v>
      </c>
      <c r="E2302">
        <v>-1.8225410000000001E-2</v>
      </c>
    </row>
    <row r="2303" spans="1:5" x14ac:dyDescent="0.3">
      <c r="A2303" s="8">
        <v>68</v>
      </c>
      <c r="B2303" s="8">
        <v>24</v>
      </c>
      <c r="C2303" s="8">
        <v>3587</v>
      </c>
      <c r="D2303" s="16">
        <v>-2.2116839999999999E-2</v>
      </c>
      <c r="E2303">
        <v>-1.1058419999999999E-2</v>
      </c>
    </row>
    <row r="2304" spans="1:5" x14ac:dyDescent="0.3">
      <c r="A2304" s="8">
        <v>68</v>
      </c>
      <c r="B2304" s="8">
        <v>25</v>
      </c>
      <c r="C2304" s="8">
        <v>3555</v>
      </c>
      <c r="D2304" s="16">
        <v>-6.8854839999999999E-3</v>
      </c>
      <c r="E2304">
        <v>-3.4427419999999999E-3</v>
      </c>
    </row>
    <row r="2305" spans="1:5" x14ac:dyDescent="0.3">
      <c r="A2305" s="8">
        <v>68</v>
      </c>
      <c r="B2305" s="8">
        <v>26</v>
      </c>
      <c r="C2305" s="8">
        <v>3591</v>
      </c>
      <c r="D2305" s="16">
        <v>-1.63532E-3</v>
      </c>
      <c r="E2305">
        <v>-8.1766E-4</v>
      </c>
    </row>
    <row r="2306" spans="1:5" x14ac:dyDescent="0.3">
      <c r="A2306" s="8">
        <v>68</v>
      </c>
      <c r="B2306" s="8">
        <v>27</v>
      </c>
      <c r="C2306" s="8">
        <v>3555</v>
      </c>
      <c r="D2306" s="16">
        <v>-2.1210880000000001E-2</v>
      </c>
      <c r="E2306">
        <v>-1.0605440000000001E-2</v>
      </c>
    </row>
    <row r="2307" spans="1:5" x14ac:dyDescent="0.3">
      <c r="A2307" s="8">
        <v>68</v>
      </c>
      <c r="B2307" s="8">
        <v>28</v>
      </c>
      <c r="C2307" s="8">
        <v>3543</v>
      </c>
      <c r="D2307" s="16">
        <v>-1.2324420000000001E-2</v>
      </c>
      <c r="E2307">
        <v>-6.1622100000000004E-3</v>
      </c>
    </row>
    <row r="2308" spans="1:5" x14ac:dyDescent="0.3">
      <c r="A2308" s="8">
        <v>68</v>
      </c>
      <c r="B2308" s="8">
        <v>29</v>
      </c>
      <c r="C2308" s="8">
        <v>3539</v>
      </c>
      <c r="D2308" s="16">
        <v>-1.07454E-2</v>
      </c>
      <c r="E2308">
        <v>-5.3727000000000002E-3</v>
      </c>
    </row>
    <row r="2309" spans="1:5" x14ac:dyDescent="0.3">
      <c r="A2309" s="8">
        <v>68</v>
      </c>
      <c r="B2309" s="8">
        <v>30</v>
      </c>
      <c r="C2309" s="8">
        <v>3542</v>
      </c>
      <c r="D2309" s="16">
        <v>-2.9513899999999999E-2</v>
      </c>
      <c r="E2309">
        <v>-1.475695E-2</v>
      </c>
    </row>
    <row r="2310" spans="1:5" x14ac:dyDescent="0.3">
      <c r="A2310" s="8">
        <v>68</v>
      </c>
      <c r="B2310" s="8">
        <v>31</v>
      </c>
      <c r="C2310" s="8">
        <v>3478</v>
      </c>
      <c r="D2310" s="16">
        <v>2.0327729999999999E-2</v>
      </c>
      <c r="E2310">
        <v>1.0163864999999999E-2</v>
      </c>
    </row>
    <row r="2311" spans="1:5" x14ac:dyDescent="0.3">
      <c r="A2311" s="8">
        <v>68</v>
      </c>
      <c r="B2311" s="8">
        <v>32</v>
      </c>
      <c r="C2311" s="8">
        <v>3532</v>
      </c>
      <c r="D2311" s="16">
        <v>-1.187912E-2</v>
      </c>
      <c r="E2311">
        <v>-5.93956E-3</v>
      </c>
    </row>
    <row r="2312" spans="1:5" x14ac:dyDescent="0.3">
      <c r="A2312" s="8">
        <v>68</v>
      </c>
      <c r="B2312" s="8">
        <v>33</v>
      </c>
      <c r="C2312" s="8">
        <v>3575</v>
      </c>
      <c r="D2312" s="16">
        <v>-3.22084E-3</v>
      </c>
      <c r="E2312">
        <v>-1.61042E-3</v>
      </c>
    </row>
    <row r="2313" spans="1:5" x14ac:dyDescent="0.3">
      <c r="A2313" s="8">
        <v>68</v>
      </c>
      <c r="B2313" s="8">
        <v>34</v>
      </c>
      <c r="C2313" s="8">
        <v>3581</v>
      </c>
      <c r="D2313" s="16">
        <v>-4.9346399999999997E-3</v>
      </c>
      <c r="E2313">
        <v>-2.4673199999999998E-3</v>
      </c>
    </row>
    <row r="2314" spans="1:5" x14ac:dyDescent="0.3">
      <c r="A2314" s="8">
        <v>68</v>
      </c>
      <c r="B2314" s="8">
        <v>35</v>
      </c>
      <c r="C2314" s="8">
        <v>3558</v>
      </c>
      <c r="D2314" s="16">
        <v>-2.6617890000000002E-2</v>
      </c>
      <c r="E2314">
        <v>-1.3308945000000001E-2</v>
      </c>
    </row>
    <row r="2315" spans="1:5" x14ac:dyDescent="0.3">
      <c r="A2315" s="8">
        <v>68</v>
      </c>
      <c r="B2315" s="8">
        <v>36</v>
      </c>
      <c r="C2315" s="8">
        <v>3554</v>
      </c>
      <c r="D2315" s="16">
        <v>-4.4951289999999998E-2</v>
      </c>
      <c r="E2315">
        <v>-2.2475644999999999E-2</v>
      </c>
    </row>
    <row r="2316" spans="1:5" x14ac:dyDescent="0.3">
      <c r="A2316" s="8">
        <v>68</v>
      </c>
      <c r="B2316" s="8">
        <v>37</v>
      </c>
      <c r="C2316" s="8">
        <v>3534</v>
      </c>
      <c r="D2316" s="16">
        <v>-2.143393E-2</v>
      </c>
      <c r="E2316">
        <v>-1.0716965E-2</v>
      </c>
    </row>
    <row r="2317" spans="1:5" x14ac:dyDescent="0.3">
      <c r="A2317" s="8">
        <v>68</v>
      </c>
      <c r="B2317" s="8">
        <v>38</v>
      </c>
      <c r="C2317" s="8">
        <v>3578</v>
      </c>
      <c r="D2317" s="16">
        <v>1.251615E-2</v>
      </c>
      <c r="E2317">
        <v>6.2580750000000001E-3</v>
      </c>
    </row>
    <row r="2318" spans="1:5" x14ac:dyDescent="0.3">
      <c r="A2318" s="8">
        <v>68</v>
      </c>
      <c r="B2318" s="8">
        <v>39</v>
      </c>
      <c r="C2318" s="8">
        <v>3567</v>
      </c>
      <c r="D2318" s="16">
        <v>-2.8608040000000001E-2</v>
      </c>
      <c r="E2318">
        <v>-1.4304020000000001E-2</v>
      </c>
    </row>
    <row r="2319" spans="1:5" x14ac:dyDescent="0.3">
      <c r="A2319" s="8">
        <v>68</v>
      </c>
      <c r="B2319" s="8">
        <v>40</v>
      </c>
      <c r="C2319" s="8">
        <v>3580</v>
      </c>
      <c r="D2319" s="16">
        <v>-3.9376469999999997E-2</v>
      </c>
      <c r="E2319">
        <v>-1.9688234999999998E-2</v>
      </c>
    </row>
    <row r="2320" spans="1:5" x14ac:dyDescent="0.3">
      <c r="A2320" s="8">
        <v>68</v>
      </c>
      <c r="B2320" s="8">
        <v>41</v>
      </c>
      <c r="C2320" s="8">
        <v>3521</v>
      </c>
      <c r="D2320" s="16">
        <v>-2.3116169999999998E-2</v>
      </c>
      <c r="E2320">
        <v>-1.1558084999999999E-2</v>
      </c>
    </row>
    <row r="2321" spans="1:5" x14ac:dyDescent="0.3">
      <c r="A2321" s="8">
        <v>68</v>
      </c>
      <c r="B2321" s="8">
        <v>42</v>
      </c>
      <c r="C2321" s="8">
        <v>3574</v>
      </c>
      <c r="D2321" s="16">
        <v>1.9186069999999999E-3</v>
      </c>
      <c r="E2321">
        <v>9.5930349999999995E-4</v>
      </c>
    </row>
    <row r="2322" spans="1:5" x14ac:dyDescent="0.3">
      <c r="A2322" s="8">
        <v>68</v>
      </c>
      <c r="B2322" s="8">
        <v>43</v>
      </c>
      <c r="C2322" s="8">
        <v>3535</v>
      </c>
      <c r="D2322" s="16">
        <v>-1.977193E-2</v>
      </c>
      <c r="E2322">
        <v>-9.885965E-3</v>
      </c>
    </row>
    <row r="2323" spans="1:5" x14ac:dyDescent="0.3">
      <c r="A2323" s="8">
        <v>68</v>
      </c>
      <c r="B2323" s="8">
        <v>44</v>
      </c>
      <c r="C2323" s="8">
        <v>3523</v>
      </c>
      <c r="D2323" s="16">
        <v>1.4931359999999999E-2</v>
      </c>
      <c r="E2323">
        <v>7.4656799999999997E-3</v>
      </c>
    </row>
    <row r="2324" spans="1:5" x14ac:dyDescent="0.3">
      <c r="A2324" s="8">
        <v>68</v>
      </c>
      <c r="B2324" s="8">
        <v>45</v>
      </c>
      <c r="C2324" s="8">
        <v>3576</v>
      </c>
      <c r="D2324" s="16">
        <v>1.097835E-2</v>
      </c>
      <c r="E2324">
        <v>5.4891749999999998E-3</v>
      </c>
    </row>
    <row r="2325" spans="1:5" x14ac:dyDescent="0.3">
      <c r="A2325" s="8">
        <v>68</v>
      </c>
      <c r="B2325" s="8">
        <v>46</v>
      </c>
      <c r="C2325" s="8">
        <v>3565</v>
      </c>
      <c r="D2325" s="16">
        <v>-4.5114550000000003E-2</v>
      </c>
      <c r="E2325">
        <v>-2.2557275000000002E-2</v>
      </c>
    </row>
    <row r="2326" spans="1:5" x14ac:dyDescent="0.3">
      <c r="A2326" s="8">
        <v>68</v>
      </c>
      <c r="B2326" s="8">
        <v>47</v>
      </c>
      <c r="C2326" s="8">
        <v>3580</v>
      </c>
      <c r="D2326" s="16">
        <v>-8.8941939999999994E-3</v>
      </c>
      <c r="E2326">
        <v>-4.4470969999999997E-3</v>
      </c>
    </row>
    <row r="2327" spans="1:5" x14ac:dyDescent="0.3">
      <c r="A2327" s="8">
        <v>68</v>
      </c>
      <c r="B2327" s="8">
        <v>48</v>
      </c>
      <c r="C2327" s="8">
        <v>3544</v>
      </c>
      <c r="D2327" s="16">
        <v>-3.080724E-2</v>
      </c>
      <c r="E2327">
        <v>-1.540362E-2</v>
      </c>
    </row>
    <row r="2328" spans="1:5" x14ac:dyDescent="0.3">
      <c r="A2328" s="8">
        <v>68</v>
      </c>
      <c r="B2328" s="8">
        <v>49</v>
      </c>
      <c r="C2328" s="8">
        <v>3563</v>
      </c>
      <c r="D2328" s="16">
        <v>2.9399850000000002E-2</v>
      </c>
      <c r="E2328">
        <v>1.4699925000000001E-2</v>
      </c>
    </row>
    <row r="2329" spans="1:5" x14ac:dyDescent="0.3">
      <c r="A2329" s="8">
        <v>68</v>
      </c>
      <c r="B2329" s="8">
        <v>50</v>
      </c>
      <c r="C2329" s="8">
        <v>3594</v>
      </c>
      <c r="D2329" s="16">
        <v>-2.465871E-2</v>
      </c>
      <c r="E2329">
        <v>-1.2329355E-2</v>
      </c>
    </row>
    <row r="2330" spans="1:5" x14ac:dyDescent="0.3">
      <c r="A2330" s="8">
        <v>68</v>
      </c>
      <c r="B2330" s="8">
        <v>51</v>
      </c>
      <c r="C2330" s="8">
        <v>3550</v>
      </c>
      <c r="D2330" s="16">
        <v>8.9580500000000004E-3</v>
      </c>
      <c r="E2330">
        <v>4.4790250000000002E-3</v>
      </c>
    </row>
    <row r="2331" spans="1:5" x14ac:dyDescent="0.3">
      <c r="A2331" s="8">
        <v>68</v>
      </c>
      <c r="B2331" s="8">
        <v>52</v>
      </c>
      <c r="C2331" s="8">
        <v>3553</v>
      </c>
      <c r="D2331" s="16">
        <v>-2.343549E-2</v>
      </c>
      <c r="E2331">
        <v>-1.1717745E-2</v>
      </c>
    </row>
    <row r="2332" spans="1:5" x14ac:dyDescent="0.3">
      <c r="A2332" s="8">
        <v>68</v>
      </c>
      <c r="B2332" s="8">
        <v>53</v>
      </c>
      <c r="C2332" s="8">
        <v>3564</v>
      </c>
      <c r="D2332" s="16">
        <v>-5.338626E-3</v>
      </c>
      <c r="E2332">
        <v>-2.669313E-3</v>
      </c>
    </row>
    <row r="2333" spans="1:5" x14ac:dyDescent="0.3">
      <c r="A2333" s="8">
        <v>68</v>
      </c>
      <c r="B2333" s="8">
        <v>54</v>
      </c>
      <c r="C2333" s="8">
        <v>3553</v>
      </c>
      <c r="D2333" s="16">
        <v>-2.500759E-2</v>
      </c>
      <c r="E2333">
        <v>-1.2503795E-2</v>
      </c>
    </row>
    <row r="2334" spans="1:5" x14ac:dyDescent="0.3">
      <c r="A2334" s="8">
        <v>68</v>
      </c>
      <c r="B2334" s="8">
        <v>55</v>
      </c>
      <c r="C2334" s="8">
        <v>3575</v>
      </c>
      <c r="D2334" s="16">
        <v>7.3137339999999997E-3</v>
      </c>
      <c r="E2334">
        <v>3.6568669999999998E-3</v>
      </c>
    </row>
    <row r="2335" spans="1:5" x14ac:dyDescent="0.3">
      <c r="A2335" s="8">
        <v>68</v>
      </c>
      <c r="B2335" s="8">
        <v>56</v>
      </c>
      <c r="C2335" s="8">
        <v>3587</v>
      </c>
      <c r="D2335" s="16">
        <v>-3.8157480000000001E-2</v>
      </c>
      <c r="E2335">
        <v>-1.907874E-2</v>
      </c>
    </row>
    <row r="2336" spans="1:5" x14ac:dyDescent="0.3">
      <c r="A2336" s="8">
        <v>68</v>
      </c>
      <c r="B2336" s="8">
        <v>57</v>
      </c>
      <c r="C2336" s="8">
        <v>3594</v>
      </c>
      <c r="D2336" s="16">
        <v>2.288441E-4</v>
      </c>
      <c r="E2336">
        <v>1.1442205E-4</v>
      </c>
    </row>
    <row r="2337" spans="1:5" x14ac:dyDescent="0.3">
      <c r="A2337" s="8">
        <v>68</v>
      </c>
      <c r="B2337" s="8">
        <v>58</v>
      </c>
      <c r="C2337" s="8">
        <v>3560</v>
      </c>
      <c r="D2337" s="16">
        <v>-2.200916E-2</v>
      </c>
      <c r="E2337">
        <v>-1.100458E-2</v>
      </c>
    </row>
    <row r="2338" spans="1:5" x14ac:dyDescent="0.3">
      <c r="A2338" s="8">
        <v>68</v>
      </c>
      <c r="B2338" s="8">
        <v>59</v>
      </c>
      <c r="C2338" s="8">
        <v>3587</v>
      </c>
      <c r="D2338" s="16">
        <v>-2.1850640000000001E-2</v>
      </c>
      <c r="E2338">
        <v>-1.0925320000000001E-2</v>
      </c>
    </row>
    <row r="2339" spans="1:5" x14ac:dyDescent="0.3">
      <c r="A2339" s="8">
        <v>68</v>
      </c>
      <c r="B2339" s="8">
        <v>60</v>
      </c>
      <c r="C2339" s="8">
        <v>3565</v>
      </c>
      <c r="D2339" s="16">
        <v>-1.3723010000000001E-2</v>
      </c>
      <c r="E2339">
        <v>-6.8615050000000004E-3</v>
      </c>
    </row>
    <row r="2340" spans="1:5" x14ac:dyDescent="0.3">
      <c r="A2340" s="8">
        <v>68</v>
      </c>
      <c r="B2340" s="8">
        <v>61</v>
      </c>
      <c r="C2340" s="8">
        <v>3558</v>
      </c>
      <c r="D2340" s="16">
        <v>-1.125407E-2</v>
      </c>
      <c r="E2340">
        <v>-5.6270349999999998E-3</v>
      </c>
    </row>
    <row r="2341" spans="1:5" x14ac:dyDescent="0.3">
      <c r="A2341" s="8">
        <v>68</v>
      </c>
      <c r="B2341" s="8">
        <v>62</v>
      </c>
      <c r="C2341" s="8">
        <v>3582</v>
      </c>
      <c r="D2341" s="16">
        <v>-1.0439479999999999E-2</v>
      </c>
      <c r="E2341">
        <v>-5.2197399999999996E-3</v>
      </c>
    </row>
    <row r="2342" spans="1:5" x14ac:dyDescent="0.3">
      <c r="A2342" s="8">
        <v>68</v>
      </c>
      <c r="B2342" s="8">
        <v>63</v>
      </c>
      <c r="C2342" s="8">
        <v>3597</v>
      </c>
      <c r="D2342" s="16">
        <v>-1.670779E-2</v>
      </c>
      <c r="E2342">
        <v>-8.3538950000000001E-3</v>
      </c>
    </row>
    <row r="2343" spans="1:5" x14ac:dyDescent="0.3">
      <c r="A2343" s="8">
        <v>68</v>
      </c>
      <c r="B2343" s="8">
        <v>64</v>
      </c>
      <c r="C2343" s="8">
        <v>3553</v>
      </c>
      <c r="D2343" s="16">
        <v>-2.389867E-2</v>
      </c>
      <c r="E2343">
        <v>-1.1949335E-2</v>
      </c>
    </row>
    <row r="2344" spans="1:5" x14ac:dyDescent="0.3">
      <c r="A2344" s="8">
        <v>68</v>
      </c>
      <c r="B2344" s="8">
        <v>65</v>
      </c>
      <c r="C2344" s="8">
        <v>3590</v>
      </c>
      <c r="D2344" s="16">
        <v>-3.3354210000000002E-2</v>
      </c>
      <c r="E2344">
        <v>-1.6677105000000001E-2</v>
      </c>
    </row>
    <row r="2345" spans="1:5" x14ac:dyDescent="0.3">
      <c r="A2345" s="8">
        <v>68</v>
      </c>
      <c r="B2345" s="8">
        <v>66</v>
      </c>
      <c r="C2345" s="8">
        <v>3588</v>
      </c>
      <c r="D2345" s="16">
        <v>1.032811E-2</v>
      </c>
      <c r="E2345">
        <v>5.1640549999999999E-3</v>
      </c>
    </row>
    <row r="2346" spans="1:5" x14ac:dyDescent="0.3">
      <c r="A2346" s="8">
        <v>68</v>
      </c>
      <c r="B2346" s="8">
        <v>67</v>
      </c>
      <c r="C2346" s="8">
        <v>3572</v>
      </c>
      <c r="D2346" s="16">
        <v>-9.9785340000000007E-3</v>
      </c>
      <c r="E2346">
        <v>-4.9892670000000004E-3</v>
      </c>
    </row>
    <row r="2347" spans="1:5" x14ac:dyDescent="0.3">
      <c r="A2347" s="8">
        <v>68</v>
      </c>
      <c r="B2347" s="8">
        <v>68</v>
      </c>
      <c r="C2347" s="8">
        <v>3847</v>
      </c>
      <c r="D2347" s="16">
        <v>0.98687420000000003</v>
      </c>
      <c r="E2347"/>
    </row>
    <row r="2348" spans="1:5" x14ac:dyDescent="0.3">
      <c r="A2348" s="8">
        <v>69</v>
      </c>
      <c r="B2348" s="8">
        <v>1</v>
      </c>
      <c r="C2348" s="8">
        <v>3614</v>
      </c>
      <c r="D2348" s="16">
        <v>-1.198983E-2</v>
      </c>
      <c r="E2348">
        <v>-5.994915E-3</v>
      </c>
    </row>
    <row r="2349" spans="1:5" x14ac:dyDescent="0.3">
      <c r="A2349" s="8">
        <v>69</v>
      </c>
      <c r="B2349" s="8">
        <v>2</v>
      </c>
      <c r="C2349" s="8">
        <v>3609</v>
      </c>
      <c r="D2349" s="16">
        <v>2.0129919999999999E-2</v>
      </c>
      <c r="E2349">
        <v>1.006496E-2</v>
      </c>
    </row>
    <row r="2350" spans="1:5" x14ac:dyDescent="0.3">
      <c r="A2350" s="8">
        <v>69</v>
      </c>
      <c r="B2350" s="8">
        <v>3</v>
      </c>
      <c r="C2350" s="8">
        <v>3612</v>
      </c>
      <c r="D2350" s="16">
        <v>-5.1502609999999997E-3</v>
      </c>
      <c r="E2350">
        <v>-2.5751304999999999E-3</v>
      </c>
    </row>
    <row r="2351" spans="1:5" x14ac:dyDescent="0.3">
      <c r="A2351" s="8">
        <v>69</v>
      </c>
      <c r="B2351" s="8">
        <v>4</v>
      </c>
      <c r="C2351" s="8">
        <v>3574</v>
      </c>
      <c r="D2351" s="16">
        <v>-5.7878080000000002E-3</v>
      </c>
      <c r="E2351">
        <v>-2.8939040000000001E-3</v>
      </c>
    </row>
    <row r="2352" spans="1:5" x14ac:dyDescent="0.3">
      <c r="A2352" s="8">
        <v>69</v>
      </c>
      <c r="B2352" s="8">
        <v>5</v>
      </c>
      <c r="C2352" s="8">
        <v>3601</v>
      </c>
      <c r="D2352" s="16">
        <v>-1.9637450000000001E-2</v>
      </c>
      <c r="E2352">
        <v>-9.8187250000000004E-3</v>
      </c>
    </row>
    <row r="2353" spans="1:5" x14ac:dyDescent="0.3">
      <c r="A2353" s="8">
        <v>69</v>
      </c>
      <c r="B2353" s="8">
        <v>6</v>
      </c>
      <c r="C2353" s="8">
        <v>3591</v>
      </c>
      <c r="D2353" s="16">
        <v>-1.521814E-2</v>
      </c>
      <c r="E2353">
        <v>-7.6090699999999999E-3</v>
      </c>
    </row>
    <row r="2354" spans="1:5" x14ac:dyDescent="0.3">
      <c r="A2354" s="8">
        <v>69</v>
      </c>
      <c r="B2354" s="8">
        <v>7</v>
      </c>
      <c r="C2354" s="8">
        <v>3563</v>
      </c>
      <c r="D2354" s="16">
        <v>-1.212212E-2</v>
      </c>
      <c r="E2354">
        <v>-6.0610600000000001E-3</v>
      </c>
    </row>
    <row r="2355" spans="1:5" x14ac:dyDescent="0.3">
      <c r="A2355" s="8">
        <v>69</v>
      </c>
      <c r="B2355" s="8">
        <v>8</v>
      </c>
      <c r="C2355" s="8">
        <v>3604</v>
      </c>
      <c r="D2355" s="16">
        <v>6.0927150000000003E-3</v>
      </c>
      <c r="E2355">
        <v>3.0463575000000001E-3</v>
      </c>
    </row>
    <row r="2356" spans="1:5" x14ac:dyDescent="0.3">
      <c r="A2356" s="8">
        <v>69</v>
      </c>
      <c r="B2356" s="8">
        <v>9</v>
      </c>
      <c r="C2356" s="8">
        <v>3614</v>
      </c>
      <c r="D2356" s="16">
        <v>-7.674491E-2</v>
      </c>
      <c r="E2356">
        <v>-3.8372455E-2</v>
      </c>
    </row>
    <row r="2357" spans="1:5" x14ac:dyDescent="0.3">
      <c r="A2357" s="8">
        <v>69</v>
      </c>
      <c r="B2357" s="8">
        <v>10</v>
      </c>
      <c r="C2357" s="8">
        <v>3611</v>
      </c>
      <c r="D2357" s="16">
        <v>-2.104201E-2</v>
      </c>
      <c r="E2357">
        <v>-1.0521005E-2</v>
      </c>
    </row>
    <row r="2358" spans="1:5" x14ac:dyDescent="0.3">
      <c r="A2358" s="8">
        <v>69</v>
      </c>
      <c r="B2358" s="8">
        <v>11</v>
      </c>
      <c r="C2358" s="8">
        <v>3591</v>
      </c>
      <c r="D2358" s="16">
        <v>-9.0806570000000007E-3</v>
      </c>
      <c r="E2358">
        <v>-4.5403285000000003E-3</v>
      </c>
    </row>
    <row r="2359" spans="1:5" x14ac:dyDescent="0.3">
      <c r="A2359" s="8">
        <v>69</v>
      </c>
      <c r="B2359" s="8">
        <v>12</v>
      </c>
      <c r="C2359" s="8">
        <v>3608</v>
      </c>
      <c r="D2359" s="16">
        <v>1.09907E-3</v>
      </c>
      <c r="E2359">
        <v>5.4953499999999998E-4</v>
      </c>
    </row>
    <row r="2360" spans="1:5" x14ac:dyDescent="0.3">
      <c r="A2360" s="8">
        <v>69</v>
      </c>
      <c r="B2360" s="8">
        <v>13</v>
      </c>
      <c r="C2360" s="8">
        <v>3594</v>
      </c>
      <c r="D2360" s="16">
        <v>-2.073989E-2</v>
      </c>
      <c r="E2360">
        <v>-1.0369945E-2</v>
      </c>
    </row>
    <row r="2361" spans="1:5" x14ac:dyDescent="0.3">
      <c r="A2361" s="8">
        <v>69</v>
      </c>
      <c r="B2361" s="8">
        <v>14</v>
      </c>
      <c r="C2361" s="8">
        <v>3597</v>
      </c>
      <c r="D2361" s="16">
        <v>-7.1223359999999999E-3</v>
      </c>
      <c r="E2361">
        <v>-3.561168E-3</v>
      </c>
    </row>
    <row r="2362" spans="1:5" x14ac:dyDescent="0.3">
      <c r="A2362" s="8">
        <v>69</v>
      </c>
      <c r="B2362" s="8">
        <v>15</v>
      </c>
      <c r="C2362" s="8">
        <v>3608</v>
      </c>
      <c r="D2362" s="16">
        <v>2.7334959999999998E-2</v>
      </c>
      <c r="E2362">
        <v>1.3667479999999999E-2</v>
      </c>
    </row>
    <row r="2363" spans="1:5" x14ac:dyDescent="0.3">
      <c r="A2363" s="8">
        <v>69</v>
      </c>
      <c r="B2363" s="8">
        <v>16</v>
      </c>
      <c r="C2363" s="8">
        <v>3594</v>
      </c>
      <c r="D2363" s="16">
        <v>5.9764739999999998E-3</v>
      </c>
      <c r="E2363">
        <v>2.9882369999999999E-3</v>
      </c>
    </row>
    <row r="2364" spans="1:5" x14ac:dyDescent="0.3">
      <c r="A2364" s="8">
        <v>69</v>
      </c>
      <c r="B2364" s="8">
        <v>17</v>
      </c>
      <c r="C2364" s="8">
        <v>3600</v>
      </c>
      <c r="D2364" s="16">
        <v>-9.6929389999999994E-3</v>
      </c>
      <c r="E2364">
        <v>-4.8464694999999997E-3</v>
      </c>
    </row>
    <row r="2365" spans="1:5" x14ac:dyDescent="0.3">
      <c r="A2365" s="8">
        <v>69</v>
      </c>
      <c r="B2365" s="8">
        <v>18</v>
      </c>
      <c r="C2365" s="8">
        <v>3610</v>
      </c>
      <c r="D2365" s="16">
        <v>-6.0874409999999997E-2</v>
      </c>
      <c r="E2365">
        <v>-3.0437204999999998E-2</v>
      </c>
    </row>
    <row r="2366" spans="1:5" x14ac:dyDescent="0.3">
      <c r="A2366" s="8">
        <v>69</v>
      </c>
      <c r="B2366" s="8">
        <v>19</v>
      </c>
      <c r="C2366" s="8">
        <v>3577</v>
      </c>
      <c r="D2366" s="16">
        <v>9.3445360000000005E-3</v>
      </c>
      <c r="E2366">
        <v>4.6722680000000003E-3</v>
      </c>
    </row>
    <row r="2367" spans="1:5" x14ac:dyDescent="0.3">
      <c r="A2367" s="8">
        <v>69</v>
      </c>
      <c r="B2367" s="8">
        <v>20</v>
      </c>
      <c r="C2367" s="8">
        <v>3577</v>
      </c>
      <c r="D2367" s="16">
        <v>-6.590215E-3</v>
      </c>
      <c r="E2367">
        <v>-3.2951075E-3</v>
      </c>
    </row>
    <row r="2368" spans="1:5" x14ac:dyDescent="0.3">
      <c r="A2368" s="8">
        <v>69</v>
      </c>
      <c r="B2368" s="8">
        <v>21</v>
      </c>
      <c r="C2368" s="8">
        <v>3635</v>
      </c>
      <c r="D2368" s="16">
        <v>-1.647353E-2</v>
      </c>
      <c r="E2368">
        <v>-8.2367650000000001E-3</v>
      </c>
    </row>
    <row r="2369" spans="1:5" x14ac:dyDescent="0.3">
      <c r="A2369" s="8">
        <v>69</v>
      </c>
      <c r="B2369" s="8">
        <v>22</v>
      </c>
      <c r="C2369" s="8">
        <v>3579</v>
      </c>
      <c r="D2369" s="16">
        <v>1.763195E-2</v>
      </c>
      <c r="E2369">
        <v>8.8159750000000002E-3</v>
      </c>
    </row>
    <row r="2370" spans="1:5" x14ac:dyDescent="0.3">
      <c r="A2370" s="8">
        <v>69</v>
      </c>
      <c r="B2370" s="8">
        <v>23</v>
      </c>
      <c r="C2370" s="8">
        <v>3611</v>
      </c>
      <c r="D2370" s="16">
        <v>-1.631811E-2</v>
      </c>
      <c r="E2370">
        <v>-8.1590550000000001E-3</v>
      </c>
    </row>
    <row r="2371" spans="1:5" x14ac:dyDescent="0.3">
      <c r="A2371" s="8">
        <v>69</v>
      </c>
      <c r="B2371" s="8">
        <v>24</v>
      </c>
      <c r="C2371" s="8">
        <v>3611</v>
      </c>
      <c r="D2371" s="16">
        <v>-1.7086870000000001E-2</v>
      </c>
      <c r="E2371">
        <v>-8.5434350000000003E-3</v>
      </c>
    </row>
    <row r="2372" spans="1:5" x14ac:dyDescent="0.3">
      <c r="A2372" s="8">
        <v>69</v>
      </c>
      <c r="B2372" s="8">
        <v>25</v>
      </c>
      <c r="C2372" s="8">
        <v>3582</v>
      </c>
      <c r="D2372" s="16">
        <v>-1.300286E-2</v>
      </c>
      <c r="E2372">
        <v>-6.5014299999999999E-3</v>
      </c>
    </row>
    <row r="2373" spans="1:5" x14ac:dyDescent="0.3">
      <c r="A2373" s="8">
        <v>69</v>
      </c>
      <c r="B2373" s="8">
        <v>26</v>
      </c>
      <c r="C2373" s="8">
        <v>3620</v>
      </c>
      <c r="D2373" s="16">
        <v>-4.3824459999999999E-3</v>
      </c>
      <c r="E2373">
        <v>-2.191223E-3</v>
      </c>
    </row>
    <row r="2374" spans="1:5" x14ac:dyDescent="0.3">
      <c r="A2374" s="8">
        <v>69</v>
      </c>
      <c r="B2374" s="8">
        <v>27</v>
      </c>
      <c r="C2374" s="8">
        <v>3581</v>
      </c>
      <c r="D2374" s="16">
        <v>-2.9530379999999998E-2</v>
      </c>
      <c r="E2374">
        <v>-1.4765189999999999E-2</v>
      </c>
    </row>
    <row r="2375" spans="1:5" x14ac:dyDescent="0.3">
      <c r="A2375" s="8">
        <v>69</v>
      </c>
      <c r="B2375" s="8">
        <v>28</v>
      </c>
      <c r="C2375" s="8">
        <v>3541</v>
      </c>
      <c r="D2375" s="16">
        <v>-4.1598589999999998E-2</v>
      </c>
      <c r="E2375">
        <v>-2.0799294999999999E-2</v>
      </c>
    </row>
    <row r="2376" spans="1:5" x14ac:dyDescent="0.3">
      <c r="A2376" s="8">
        <v>69</v>
      </c>
      <c r="B2376" s="8">
        <v>29</v>
      </c>
      <c r="C2376" s="8">
        <v>3567</v>
      </c>
      <c r="D2376" s="16">
        <v>-2.1810260000000001E-2</v>
      </c>
      <c r="E2376">
        <v>-1.0905130000000001E-2</v>
      </c>
    </row>
    <row r="2377" spans="1:5" x14ac:dyDescent="0.3">
      <c r="A2377" s="8">
        <v>69</v>
      </c>
      <c r="B2377" s="8">
        <v>30</v>
      </c>
      <c r="C2377" s="8">
        <v>3573</v>
      </c>
      <c r="D2377" s="16">
        <v>-2.5161090000000001E-2</v>
      </c>
      <c r="E2377">
        <v>-1.2580545E-2</v>
      </c>
    </row>
    <row r="2378" spans="1:5" x14ac:dyDescent="0.3">
      <c r="A2378" s="8">
        <v>69</v>
      </c>
      <c r="B2378" s="8">
        <v>31</v>
      </c>
      <c r="C2378" s="8">
        <v>3518</v>
      </c>
      <c r="D2378" s="16">
        <v>-3.0416800000000001E-2</v>
      </c>
      <c r="E2378">
        <v>-1.52084E-2</v>
      </c>
    </row>
    <row r="2379" spans="1:5" x14ac:dyDescent="0.3">
      <c r="A2379" s="8">
        <v>69</v>
      </c>
      <c r="B2379" s="8">
        <v>32</v>
      </c>
      <c r="C2379" s="8">
        <v>3561</v>
      </c>
      <c r="D2379" s="16">
        <v>-2.445638E-2</v>
      </c>
      <c r="E2379">
        <v>-1.222819E-2</v>
      </c>
    </row>
    <row r="2380" spans="1:5" x14ac:dyDescent="0.3">
      <c r="A2380" s="8">
        <v>69</v>
      </c>
      <c r="B2380" s="8">
        <v>33</v>
      </c>
      <c r="C2380" s="8">
        <v>3606</v>
      </c>
      <c r="D2380" s="16">
        <v>-6.4250849999999997E-3</v>
      </c>
      <c r="E2380">
        <v>-3.2125424999999998E-3</v>
      </c>
    </row>
    <row r="2381" spans="1:5" x14ac:dyDescent="0.3">
      <c r="A2381" s="8">
        <v>69</v>
      </c>
      <c r="B2381" s="8">
        <v>34</v>
      </c>
      <c r="C2381" s="8">
        <v>3598</v>
      </c>
      <c r="D2381" s="16">
        <v>2.2626750000000001E-2</v>
      </c>
      <c r="E2381">
        <v>1.1313375000000001E-2</v>
      </c>
    </row>
    <row r="2382" spans="1:5" x14ac:dyDescent="0.3">
      <c r="A2382" s="8">
        <v>69</v>
      </c>
      <c r="B2382" s="8">
        <v>35</v>
      </c>
      <c r="C2382" s="8">
        <v>3594</v>
      </c>
      <c r="D2382" s="16">
        <v>-2.9256839999999999E-2</v>
      </c>
      <c r="E2382">
        <v>-1.462842E-2</v>
      </c>
    </row>
    <row r="2383" spans="1:5" x14ac:dyDescent="0.3">
      <c r="A2383" s="8">
        <v>69</v>
      </c>
      <c r="B2383" s="8">
        <v>36</v>
      </c>
      <c r="C2383" s="8">
        <v>3590</v>
      </c>
      <c r="D2383" s="16">
        <v>-2.3302400000000001E-2</v>
      </c>
      <c r="E2383">
        <v>-1.16512E-2</v>
      </c>
    </row>
    <row r="2384" spans="1:5" x14ac:dyDescent="0.3">
      <c r="A2384" s="8">
        <v>69</v>
      </c>
      <c r="B2384" s="8">
        <v>37</v>
      </c>
      <c r="C2384" s="8">
        <v>3553</v>
      </c>
      <c r="D2384" s="16">
        <v>-2.4154689999999999E-2</v>
      </c>
      <c r="E2384">
        <v>-1.2077345E-2</v>
      </c>
    </row>
    <row r="2385" spans="1:5" x14ac:dyDescent="0.3">
      <c r="A2385" s="8">
        <v>69</v>
      </c>
      <c r="B2385" s="8">
        <v>38</v>
      </c>
      <c r="C2385" s="8">
        <v>3606</v>
      </c>
      <c r="D2385" s="16">
        <v>-4.7522750000000002E-2</v>
      </c>
      <c r="E2385">
        <v>-2.3761375000000001E-2</v>
      </c>
    </row>
    <row r="2386" spans="1:5" x14ac:dyDescent="0.3">
      <c r="A2386" s="8">
        <v>69</v>
      </c>
      <c r="B2386" s="8">
        <v>39</v>
      </c>
      <c r="C2386" s="8">
        <v>3601</v>
      </c>
      <c r="D2386" s="16">
        <v>-2.24256E-2</v>
      </c>
      <c r="E2386">
        <v>-1.12128E-2</v>
      </c>
    </row>
    <row r="2387" spans="1:5" x14ac:dyDescent="0.3">
      <c r="A2387" s="8">
        <v>69</v>
      </c>
      <c r="B2387" s="8">
        <v>40</v>
      </c>
      <c r="C2387" s="8">
        <v>3615</v>
      </c>
      <c r="D2387" s="16">
        <v>-1.129029E-2</v>
      </c>
      <c r="E2387">
        <v>-5.6451449999999999E-3</v>
      </c>
    </row>
    <row r="2388" spans="1:5" x14ac:dyDescent="0.3">
      <c r="A2388" s="8">
        <v>69</v>
      </c>
      <c r="B2388" s="8">
        <v>41</v>
      </c>
      <c r="C2388" s="8">
        <v>3560</v>
      </c>
      <c r="D2388" s="16">
        <v>-3.3189110000000001E-2</v>
      </c>
      <c r="E2388">
        <v>-1.6594555E-2</v>
      </c>
    </row>
    <row r="2389" spans="1:5" x14ac:dyDescent="0.3">
      <c r="A2389" s="8">
        <v>69</v>
      </c>
      <c r="B2389" s="8">
        <v>42</v>
      </c>
      <c r="C2389" s="8">
        <v>3588</v>
      </c>
      <c r="D2389" s="16">
        <v>-1.072416E-2</v>
      </c>
      <c r="E2389">
        <v>-5.36208E-3</v>
      </c>
    </row>
    <row r="2390" spans="1:5" x14ac:dyDescent="0.3">
      <c r="A2390" s="8">
        <v>69</v>
      </c>
      <c r="B2390" s="8">
        <v>43</v>
      </c>
      <c r="C2390" s="8">
        <v>3562</v>
      </c>
      <c r="D2390" s="16">
        <v>-2.3054720000000001E-2</v>
      </c>
      <c r="E2390">
        <v>-1.152736E-2</v>
      </c>
    </row>
    <row r="2391" spans="1:5" x14ac:dyDescent="0.3">
      <c r="A2391" s="8">
        <v>69</v>
      </c>
      <c r="B2391" s="8">
        <v>44</v>
      </c>
      <c r="C2391" s="8">
        <v>3558</v>
      </c>
      <c r="D2391" s="16">
        <v>-3.5325710000000003E-2</v>
      </c>
      <c r="E2391">
        <v>-1.7662855000000002E-2</v>
      </c>
    </row>
    <row r="2392" spans="1:5" x14ac:dyDescent="0.3">
      <c r="A2392" s="8">
        <v>69</v>
      </c>
      <c r="B2392" s="8">
        <v>45</v>
      </c>
      <c r="C2392" s="8">
        <v>3615</v>
      </c>
      <c r="D2392" s="16">
        <v>-2.0555589999999999E-2</v>
      </c>
      <c r="E2392">
        <v>-1.0277794999999999E-2</v>
      </c>
    </row>
    <row r="2393" spans="1:5" x14ac:dyDescent="0.3">
      <c r="A2393" s="8">
        <v>69</v>
      </c>
      <c r="B2393" s="8">
        <v>46</v>
      </c>
      <c r="C2393" s="8">
        <v>3589</v>
      </c>
      <c r="D2393" s="16">
        <v>-2.6700479999999999E-2</v>
      </c>
      <c r="E2393">
        <v>-1.3350239999999999E-2</v>
      </c>
    </row>
    <row r="2394" spans="1:5" x14ac:dyDescent="0.3">
      <c r="A2394" s="8">
        <v>69</v>
      </c>
      <c r="B2394" s="8">
        <v>47</v>
      </c>
      <c r="C2394" s="8">
        <v>3594</v>
      </c>
      <c r="D2394" s="16">
        <v>-3.2785790000000002E-2</v>
      </c>
      <c r="E2394">
        <v>-1.6392895000000001E-2</v>
      </c>
    </row>
    <row r="2395" spans="1:5" x14ac:dyDescent="0.3">
      <c r="A2395" s="8">
        <v>69</v>
      </c>
      <c r="B2395" s="8">
        <v>48</v>
      </c>
      <c r="C2395" s="8">
        <v>3583</v>
      </c>
      <c r="D2395" s="16">
        <v>7.6133559999999999E-3</v>
      </c>
      <c r="E2395">
        <v>3.806678E-3</v>
      </c>
    </row>
    <row r="2396" spans="1:5" x14ac:dyDescent="0.3">
      <c r="A2396" s="8">
        <v>69</v>
      </c>
      <c r="B2396" s="8">
        <v>49</v>
      </c>
      <c r="C2396" s="8">
        <v>3584</v>
      </c>
      <c r="D2396" s="16">
        <v>4.2427070000000001E-3</v>
      </c>
      <c r="E2396">
        <v>2.1213535E-3</v>
      </c>
    </row>
    <row r="2397" spans="1:5" x14ac:dyDescent="0.3">
      <c r="A2397" s="8">
        <v>69</v>
      </c>
      <c r="B2397" s="8">
        <v>50</v>
      </c>
      <c r="C2397" s="8">
        <v>3618</v>
      </c>
      <c r="D2397" s="16">
        <v>4.2267440000000002E-3</v>
      </c>
      <c r="E2397">
        <v>2.1133720000000001E-3</v>
      </c>
    </row>
    <row r="2398" spans="1:5" x14ac:dyDescent="0.3">
      <c r="A2398" s="8">
        <v>69</v>
      </c>
      <c r="B2398" s="8">
        <v>51</v>
      </c>
      <c r="C2398" s="8">
        <v>3579</v>
      </c>
      <c r="D2398" s="16">
        <v>2.6682339999999998E-3</v>
      </c>
      <c r="E2398">
        <v>1.3341169999999999E-3</v>
      </c>
    </row>
    <row r="2399" spans="1:5" x14ac:dyDescent="0.3">
      <c r="A2399" s="8">
        <v>69</v>
      </c>
      <c r="B2399" s="8">
        <v>52</v>
      </c>
      <c r="C2399" s="8">
        <v>3580</v>
      </c>
      <c r="D2399" s="16">
        <v>1.253969E-3</v>
      </c>
      <c r="E2399">
        <v>6.2698449999999998E-4</v>
      </c>
    </row>
    <row r="2400" spans="1:5" x14ac:dyDescent="0.3">
      <c r="A2400" s="8">
        <v>69</v>
      </c>
      <c r="B2400" s="8">
        <v>53</v>
      </c>
      <c r="C2400" s="8">
        <v>3593</v>
      </c>
      <c r="D2400" s="16">
        <v>-4.3062700000000002E-2</v>
      </c>
      <c r="E2400">
        <v>-2.1531350000000001E-2</v>
      </c>
    </row>
    <row r="2401" spans="1:5" x14ac:dyDescent="0.3">
      <c r="A2401" s="8">
        <v>69</v>
      </c>
      <c r="B2401" s="8">
        <v>54</v>
      </c>
      <c r="C2401" s="8">
        <v>3575</v>
      </c>
      <c r="D2401" s="16">
        <v>2.0405909999999999E-2</v>
      </c>
      <c r="E2401">
        <v>1.0202955E-2</v>
      </c>
    </row>
    <row r="2402" spans="1:5" x14ac:dyDescent="0.3">
      <c r="A2402" s="8">
        <v>69</v>
      </c>
      <c r="B2402" s="8">
        <v>55</v>
      </c>
      <c r="C2402" s="8">
        <v>3598</v>
      </c>
      <c r="D2402" s="16">
        <v>-1.3018140000000001E-3</v>
      </c>
      <c r="E2402">
        <v>-6.5090700000000005E-4</v>
      </c>
    </row>
    <row r="2403" spans="1:5" x14ac:dyDescent="0.3">
      <c r="A2403" s="8">
        <v>69</v>
      </c>
      <c r="B2403" s="8">
        <v>56</v>
      </c>
      <c r="C2403" s="8">
        <v>3604</v>
      </c>
      <c r="D2403" s="16">
        <v>-2.2142350000000002E-2</v>
      </c>
      <c r="E2403">
        <v>-1.1071175000000001E-2</v>
      </c>
    </row>
    <row r="2404" spans="1:5" x14ac:dyDescent="0.3">
      <c r="A2404" s="8">
        <v>69</v>
      </c>
      <c r="B2404" s="8">
        <v>57</v>
      </c>
      <c r="C2404" s="8">
        <v>3616</v>
      </c>
      <c r="D2404" s="16">
        <v>-1.1290110000000001E-2</v>
      </c>
      <c r="E2404">
        <v>-5.6450550000000004E-3</v>
      </c>
    </row>
    <row r="2405" spans="1:5" x14ac:dyDescent="0.3">
      <c r="A2405" s="8">
        <v>69</v>
      </c>
      <c r="B2405" s="8">
        <v>58</v>
      </c>
      <c r="C2405" s="8">
        <v>3594</v>
      </c>
      <c r="D2405" s="16">
        <v>-2.462547E-2</v>
      </c>
      <c r="E2405">
        <v>-1.2312735E-2</v>
      </c>
    </row>
    <row r="2406" spans="1:5" x14ac:dyDescent="0.3">
      <c r="A2406" s="8">
        <v>69</v>
      </c>
      <c r="B2406" s="8">
        <v>59</v>
      </c>
      <c r="C2406" s="8">
        <v>3613</v>
      </c>
      <c r="D2406" s="16">
        <v>-5.2028430000000001E-2</v>
      </c>
      <c r="E2406">
        <v>-2.6014215E-2</v>
      </c>
    </row>
    <row r="2407" spans="1:5" x14ac:dyDescent="0.3">
      <c r="A2407" s="8">
        <v>69</v>
      </c>
      <c r="B2407" s="8">
        <v>60</v>
      </c>
      <c r="C2407" s="8">
        <v>3602</v>
      </c>
      <c r="D2407" s="16">
        <v>5.486655E-2</v>
      </c>
      <c r="E2407">
        <v>2.7433275E-2</v>
      </c>
    </row>
    <row r="2408" spans="1:5" x14ac:dyDescent="0.3">
      <c r="A2408" s="8">
        <v>69</v>
      </c>
      <c r="B2408" s="8">
        <v>61</v>
      </c>
      <c r="C2408" s="8">
        <v>3583</v>
      </c>
      <c r="D2408" s="16">
        <v>3.9922199999999998E-2</v>
      </c>
      <c r="E2408">
        <v>1.9961099999999999E-2</v>
      </c>
    </row>
    <row r="2409" spans="1:5" x14ac:dyDescent="0.3">
      <c r="A2409" s="8">
        <v>69</v>
      </c>
      <c r="B2409" s="8">
        <v>62</v>
      </c>
      <c r="C2409" s="8">
        <v>3616</v>
      </c>
      <c r="D2409" s="16">
        <v>-6.472523E-3</v>
      </c>
      <c r="E2409">
        <v>-3.2362615E-3</v>
      </c>
    </row>
    <row r="2410" spans="1:5" x14ac:dyDescent="0.3">
      <c r="A2410" s="8">
        <v>69</v>
      </c>
      <c r="B2410" s="8">
        <v>63</v>
      </c>
      <c r="C2410" s="8">
        <v>3607</v>
      </c>
      <c r="D2410" s="16">
        <v>-2.047508E-2</v>
      </c>
      <c r="E2410">
        <v>-1.023754E-2</v>
      </c>
    </row>
    <row r="2411" spans="1:5" x14ac:dyDescent="0.3">
      <c r="A2411" s="8">
        <v>69</v>
      </c>
      <c r="B2411" s="8">
        <v>64</v>
      </c>
      <c r="C2411" s="8">
        <v>3579</v>
      </c>
      <c r="D2411" s="16">
        <v>-3.6835300000000001E-2</v>
      </c>
      <c r="E2411">
        <v>-1.8417650000000001E-2</v>
      </c>
    </row>
    <row r="2412" spans="1:5" x14ac:dyDescent="0.3">
      <c r="A2412" s="8">
        <v>69</v>
      </c>
      <c r="B2412" s="8">
        <v>65</v>
      </c>
      <c r="C2412" s="8">
        <v>3604</v>
      </c>
      <c r="D2412" s="16">
        <v>2.3806020000000001E-2</v>
      </c>
      <c r="E2412">
        <v>1.190301E-2</v>
      </c>
    </row>
    <row r="2413" spans="1:5" x14ac:dyDescent="0.3">
      <c r="A2413" s="8">
        <v>69</v>
      </c>
      <c r="B2413" s="8">
        <v>66</v>
      </c>
      <c r="C2413" s="8">
        <v>3611</v>
      </c>
      <c r="D2413" s="16">
        <v>-3.7088719999999999E-2</v>
      </c>
      <c r="E2413">
        <v>-1.8544359999999999E-2</v>
      </c>
    </row>
    <row r="2414" spans="1:5" x14ac:dyDescent="0.3">
      <c r="A2414" s="8">
        <v>69</v>
      </c>
      <c r="B2414" s="8">
        <v>67</v>
      </c>
      <c r="C2414" s="8">
        <v>3594</v>
      </c>
      <c r="D2414" s="16">
        <v>-6.5692310000000004E-2</v>
      </c>
      <c r="E2414">
        <v>-3.2846155000000002E-2</v>
      </c>
    </row>
    <row r="2415" spans="1:5" x14ac:dyDescent="0.3">
      <c r="A2415" s="8">
        <v>69</v>
      </c>
      <c r="B2415" s="8">
        <v>68</v>
      </c>
      <c r="C2415" s="8">
        <v>3566</v>
      </c>
      <c r="D2415" s="16">
        <v>9.003792E-3</v>
      </c>
      <c r="E2415">
        <v>4.501896E-3</v>
      </c>
    </row>
    <row r="2416" spans="1:5" x14ac:dyDescent="0.3">
      <c r="A2416" s="8">
        <v>69</v>
      </c>
      <c r="B2416" s="8">
        <v>69</v>
      </c>
      <c r="C2416" s="8">
        <v>3876</v>
      </c>
      <c r="D2416" s="16">
        <v>1.0329980000000001</v>
      </c>
      <c r="E2416"/>
    </row>
    <row r="2417" spans="1:5" x14ac:dyDescent="0.3">
      <c r="A2417" s="8">
        <v>70</v>
      </c>
      <c r="B2417" s="8">
        <v>1</v>
      </c>
      <c r="C2417" s="8">
        <v>3609</v>
      </c>
      <c r="D2417" s="16">
        <v>-6.2839259999999994E-2</v>
      </c>
      <c r="E2417">
        <v>-3.1419629999999997E-2</v>
      </c>
    </row>
    <row r="2418" spans="1:5" x14ac:dyDescent="0.3">
      <c r="A2418" s="8">
        <v>70</v>
      </c>
      <c r="B2418" s="8">
        <v>2</v>
      </c>
      <c r="C2418" s="8">
        <v>3601</v>
      </c>
      <c r="D2418" s="16">
        <v>-7.2889900000000004E-3</v>
      </c>
      <c r="E2418">
        <v>-3.6444950000000002E-3</v>
      </c>
    </row>
    <row r="2419" spans="1:5" x14ac:dyDescent="0.3">
      <c r="A2419" s="8">
        <v>70</v>
      </c>
      <c r="B2419" s="8">
        <v>3</v>
      </c>
      <c r="C2419" s="8">
        <v>3608</v>
      </c>
      <c r="D2419" s="16">
        <v>-6.9725889999999999E-2</v>
      </c>
      <c r="E2419">
        <v>-3.4862944999999999E-2</v>
      </c>
    </row>
    <row r="2420" spans="1:5" x14ac:dyDescent="0.3">
      <c r="A2420" s="8">
        <v>70</v>
      </c>
      <c r="B2420" s="8">
        <v>4</v>
      </c>
      <c r="C2420" s="8">
        <v>3574</v>
      </c>
      <c r="D2420" s="16">
        <v>-1.1107850000000001E-2</v>
      </c>
      <c r="E2420">
        <v>-5.5539250000000004E-3</v>
      </c>
    </row>
    <row r="2421" spans="1:5" x14ac:dyDescent="0.3">
      <c r="A2421" s="8">
        <v>70</v>
      </c>
      <c r="B2421" s="8">
        <v>5</v>
      </c>
      <c r="C2421" s="8">
        <v>3596</v>
      </c>
      <c r="D2421" s="16">
        <v>-7.6904219999999997E-3</v>
      </c>
      <c r="E2421">
        <v>-3.8452109999999999E-3</v>
      </c>
    </row>
    <row r="2422" spans="1:5" x14ac:dyDescent="0.3">
      <c r="A2422" s="8">
        <v>70</v>
      </c>
      <c r="B2422" s="8">
        <v>6</v>
      </c>
      <c r="C2422" s="8">
        <v>3586</v>
      </c>
      <c r="D2422" s="16">
        <v>-2.358406E-2</v>
      </c>
      <c r="E2422">
        <v>-1.179203E-2</v>
      </c>
    </row>
    <row r="2423" spans="1:5" x14ac:dyDescent="0.3">
      <c r="A2423" s="8">
        <v>70</v>
      </c>
      <c r="B2423" s="8">
        <v>7</v>
      </c>
      <c r="C2423" s="8">
        <v>3546</v>
      </c>
      <c r="D2423" s="16">
        <v>-3.0574650000000001E-3</v>
      </c>
      <c r="E2423">
        <v>-1.5287325E-3</v>
      </c>
    </row>
    <row r="2424" spans="1:5" x14ac:dyDescent="0.3">
      <c r="A2424" s="8">
        <v>70</v>
      </c>
      <c r="B2424" s="8">
        <v>8</v>
      </c>
      <c r="C2424" s="8">
        <v>3599</v>
      </c>
      <c r="D2424" s="16">
        <v>-5.5467679999999997E-3</v>
      </c>
      <c r="E2424">
        <v>-2.7733839999999998E-3</v>
      </c>
    </row>
    <row r="2425" spans="1:5" x14ac:dyDescent="0.3">
      <c r="A2425" s="8">
        <v>70</v>
      </c>
      <c r="B2425" s="8">
        <v>9</v>
      </c>
      <c r="C2425" s="8">
        <v>3607</v>
      </c>
      <c r="D2425" s="16">
        <v>-5.7601869999999999E-2</v>
      </c>
      <c r="E2425">
        <v>-2.8800935E-2</v>
      </c>
    </row>
    <row r="2426" spans="1:5" x14ac:dyDescent="0.3">
      <c r="A2426" s="8">
        <v>70</v>
      </c>
      <c r="B2426" s="8">
        <v>10</v>
      </c>
      <c r="C2426" s="8">
        <v>3597</v>
      </c>
      <c r="D2426" s="16">
        <v>-6.5457429999999997E-3</v>
      </c>
      <c r="E2426">
        <v>-3.2728714999999999E-3</v>
      </c>
    </row>
    <row r="2427" spans="1:5" x14ac:dyDescent="0.3">
      <c r="A2427" s="8">
        <v>70</v>
      </c>
      <c r="B2427" s="8">
        <v>11</v>
      </c>
      <c r="C2427" s="8">
        <v>3593</v>
      </c>
      <c r="D2427" s="16">
        <v>9.7523569999999997E-3</v>
      </c>
      <c r="E2427">
        <v>4.8761784999999998E-3</v>
      </c>
    </row>
    <row r="2428" spans="1:5" x14ac:dyDescent="0.3">
      <c r="A2428" s="8">
        <v>70</v>
      </c>
      <c r="B2428" s="8">
        <v>12</v>
      </c>
      <c r="C2428" s="8">
        <v>3598</v>
      </c>
      <c r="D2428" s="16">
        <v>-3.2076220000000003E-2</v>
      </c>
      <c r="E2428">
        <v>-1.6038110000000001E-2</v>
      </c>
    </row>
    <row r="2429" spans="1:5" x14ac:dyDescent="0.3">
      <c r="A2429" s="8">
        <v>70</v>
      </c>
      <c r="B2429" s="8">
        <v>13</v>
      </c>
      <c r="C2429" s="8">
        <v>3598</v>
      </c>
      <c r="D2429" s="16">
        <v>-2.5848110000000001E-2</v>
      </c>
      <c r="E2429">
        <v>-1.2924055E-2</v>
      </c>
    </row>
    <row r="2430" spans="1:5" x14ac:dyDescent="0.3">
      <c r="A2430" s="8">
        <v>70</v>
      </c>
      <c r="B2430" s="8">
        <v>14</v>
      </c>
      <c r="C2430" s="8">
        <v>3586</v>
      </c>
      <c r="D2430" s="16">
        <v>-1.580076E-2</v>
      </c>
      <c r="E2430">
        <v>-7.9003800000000002E-3</v>
      </c>
    </row>
    <row r="2431" spans="1:5" x14ac:dyDescent="0.3">
      <c r="A2431" s="8">
        <v>70</v>
      </c>
      <c r="B2431" s="8">
        <v>15</v>
      </c>
      <c r="C2431" s="8">
        <v>3602</v>
      </c>
      <c r="D2431" s="16">
        <v>-7.6878809999999997E-3</v>
      </c>
      <c r="E2431">
        <v>-3.8439404999999999E-3</v>
      </c>
    </row>
    <row r="2432" spans="1:5" x14ac:dyDescent="0.3">
      <c r="A2432" s="8">
        <v>70</v>
      </c>
      <c r="B2432" s="8">
        <v>16</v>
      </c>
      <c r="C2432" s="8">
        <v>3590</v>
      </c>
      <c r="D2432" s="16">
        <v>1.503532E-2</v>
      </c>
      <c r="E2432">
        <v>7.5176599999999998E-3</v>
      </c>
    </row>
    <row r="2433" spans="1:5" x14ac:dyDescent="0.3">
      <c r="A2433" s="8">
        <v>70</v>
      </c>
      <c r="B2433" s="8">
        <v>17</v>
      </c>
      <c r="C2433" s="8">
        <v>3585</v>
      </c>
      <c r="D2433" s="16">
        <v>-5.1245100000000002E-2</v>
      </c>
      <c r="E2433">
        <v>-2.5622550000000001E-2</v>
      </c>
    </row>
    <row r="2434" spans="1:5" x14ac:dyDescent="0.3">
      <c r="A2434" s="8">
        <v>70</v>
      </c>
      <c r="B2434" s="8">
        <v>18</v>
      </c>
      <c r="C2434" s="8">
        <v>3602</v>
      </c>
      <c r="D2434" s="16">
        <v>1.16857E-2</v>
      </c>
      <c r="E2434">
        <v>5.8428500000000001E-3</v>
      </c>
    </row>
    <row r="2435" spans="1:5" x14ac:dyDescent="0.3">
      <c r="A2435" s="8">
        <v>70</v>
      </c>
      <c r="B2435" s="8">
        <v>19</v>
      </c>
      <c r="C2435" s="8">
        <v>3575</v>
      </c>
      <c r="D2435" s="16">
        <v>7.3789199999999998E-3</v>
      </c>
      <c r="E2435">
        <v>3.6894599999999999E-3</v>
      </c>
    </row>
    <row r="2436" spans="1:5" x14ac:dyDescent="0.3">
      <c r="A2436" s="8">
        <v>70</v>
      </c>
      <c r="B2436" s="8">
        <v>20</v>
      </c>
      <c r="C2436" s="8">
        <v>3575</v>
      </c>
      <c r="D2436" s="16">
        <v>-1.9812159999999999E-2</v>
      </c>
      <c r="E2436">
        <v>-9.9060799999999994E-3</v>
      </c>
    </row>
    <row r="2437" spans="1:5" x14ac:dyDescent="0.3">
      <c r="A2437" s="8">
        <v>70</v>
      </c>
      <c r="B2437" s="8">
        <v>21</v>
      </c>
      <c r="C2437" s="8">
        <v>3614</v>
      </c>
      <c r="D2437" s="16">
        <v>2.0922960000000001E-2</v>
      </c>
      <c r="E2437">
        <v>1.046148E-2</v>
      </c>
    </row>
    <row r="2438" spans="1:5" x14ac:dyDescent="0.3">
      <c r="A2438" s="8">
        <v>70</v>
      </c>
      <c r="B2438" s="8">
        <v>22</v>
      </c>
      <c r="C2438" s="8">
        <v>3582</v>
      </c>
      <c r="D2438" s="16">
        <v>-3.4824000000000001E-2</v>
      </c>
      <c r="E2438">
        <v>-1.7412E-2</v>
      </c>
    </row>
    <row r="2439" spans="1:5" x14ac:dyDescent="0.3">
      <c r="A2439" s="8">
        <v>70</v>
      </c>
      <c r="B2439" s="8">
        <v>23</v>
      </c>
      <c r="C2439" s="8">
        <v>3588</v>
      </c>
      <c r="D2439" s="16">
        <v>1.6672599999999999E-2</v>
      </c>
      <c r="E2439">
        <v>8.3362999999999996E-3</v>
      </c>
    </row>
    <row r="2440" spans="1:5" x14ac:dyDescent="0.3">
      <c r="A2440" s="8">
        <v>70</v>
      </c>
      <c r="B2440" s="8">
        <v>24</v>
      </c>
      <c r="C2440" s="8">
        <v>3611</v>
      </c>
      <c r="D2440" s="16">
        <v>2.1531379999999999E-2</v>
      </c>
      <c r="E2440">
        <v>1.076569E-2</v>
      </c>
    </row>
    <row r="2441" spans="1:5" x14ac:dyDescent="0.3">
      <c r="A2441" s="8">
        <v>70</v>
      </c>
      <c r="B2441" s="8">
        <v>25</v>
      </c>
      <c r="C2441" s="8">
        <v>3581</v>
      </c>
      <c r="D2441" s="16">
        <v>-9.55925E-3</v>
      </c>
      <c r="E2441">
        <v>-4.779625E-3</v>
      </c>
    </row>
    <row r="2442" spans="1:5" x14ac:dyDescent="0.3">
      <c r="A2442" s="8">
        <v>70</v>
      </c>
      <c r="B2442" s="8">
        <v>26</v>
      </c>
      <c r="C2442" s="8">
        <v>3605</v>
      </c>
      <c r="D2442" s="16">
        <v>8.6382890000000004E-3</v>
      </c>
      <c r="E2442">
        <v>4.3191445000000002E-3</v>
      </c>
    </row>
    <row r="2443" spans="1:5" x14ac:dyDescent="0.3">
      <c r="A2443" s="8">
        <v>70</v>
      </c>
      <c r="B2443" s="8">
        <v>27</v>
      </c>
      <c r="C2443" s="8">
        <v>3582</v>
      </c>
      <c r="D2443" s="16">
        <v>6.8601139999999996E-3</v>
      </c>
      <c r="E2443">
        <v>3.4300569999999998E-3</v>
      </c>
    </row>
    <row r="2444" spans="1:5" x14ac:dyDescent="0.3">
      <c r="A2444" s="8">
        <v>70</v>
      </c>
      <c r="B2444" s="8">
        <v>28</v>
      </c>
      <c r="C2444" s="8">
        <v>3538</v>
      </c>
      <c r="D2444" s="16">
        <v>-2.5382399999999999E-2</v>
      </c>
      <c r="E2444">
        <v>-1.26912E-2</v>
      </c>
    </row>
    <row r="2445" spans="1:5" x14ac:dyDescent="0.3">
      <c r="A2445" s="8">
        <v>70</v>
      </c>
      <c r="B2445" s="8">
        <v>29</v>
      </c>
      <c r="C2445" s="8">
        <v>3569</v>
      </c>
      <c r="D2445" s="16">
        <v>-2.8897519999999999E-2</v>
      </c>
      <c r="E2445">
        <v>-1.444876E-2</v>
      </c>
    </row>
    <row r="2446" spans="1:5" x14ac:dyDescent="0.3">
      <c r="A2446" s="8">
        <v>70</v>
      </c>
      <c r="B2446" s="8">
        <v>30</v>
      </c>
      <c r="C2446" s="8">
        <v>3568</v>
      </c>
      <c r="D2446" s="16">
        <v>-1.1917830000000001E-2</v>
      </c>
      <c r="E2446">
        <v>-5.9589150000000004E-3</v>
      </c>
    </row>
    <row r="2447" spans="1:5" x14ac:dyDescent="0.3">
      <c r="A2447" s="8">
        <v>70</v>
      </c>
      <c r="B2447" s="8">
        <v>31</v>
      </c>
      <c r="C2447" s="8">
        <v>3505</v>
      </c>
      <c r="D2447" s="16">
        <v>-1.8165049999999999E-3</v>
      </c>
      <c r="E2447">
        <v>-9.0825249999999997E-4</v>
      </c>
    </row>
    <row r="2448" spans="1:5" x14ac:dyDescent="0.3">
      <c r="A2448" s="8">
        <v>70</v>
      </c>
      <c r="B2448" s="8">
        <v>32</v>
      </c>
      <c r="C2448" s="8">
        <v>3542</v>
      </c>
      <c r="D2448" s="16">
        <v>-1.463394E-2</v>
      </c>
      <c r="E2448">
        <v>-7.3169699999999999E-3</v>
      </c>
    </row>
    <row r="2449" spans="1:5" x14ac:dyDescent="0.3">
      <c r="A2449" s="8">
        <v>70</v>
      </c>
      <c r="B2449" s="8">
        <v>33</v>
      </c>
      <c r="C2449" s="8">
        <v>3599</v>
      </c>
      <c r="D2449" s="16">
        <v>-1.371522E-2</v>
      </c>
      <c r="E2449">
        <v>-6.8576100000000001E-3</v>
      </c>
    </row>
    <row r="2450" spans="1:5" x14ac:dyDescent="0.3">
      <c r="A2450" s="8">
        <v>70</v>
      </c>
      <c r="B2450" s="8">
        <v>34</v>
      </c>
      <c r="C2450" s="8">
        <v>3604</v>
      </c>
      <c r="D2450" s="16">
        <v>1.044924E-2</v>
      </c>
      <c r="E2450">
        <v>5.2246200000000001E-3</v>
      </c>
    </row>
    <row r="2451" spans="1:5" x14ac:dyDescent="0.3">
      <c r="A2451" s="8">
        <v>70</v>
      </c>
      <c r="B2451" s="8">
        <v>35</v>
      </c>
      <c r="C2451" s="8">
        <v>3581</v>
      </c>
      <c r="D2451" s="16">
        <v>-7.1092050000000004E-3</v>
      </c>
      <c r="E2451">
        <v>-3.5546025000000002E-3</v>
      </c>
    </row>
    <row r="2452" spans="1:5" x14ac:dyDescent="0.3">
      <c r="A2452" s="8">
        <v>70</v>
      </c>
      <c r="B2452" s="8">
        <v>36</v>
      </c>
      <c r="C2452" s="8">
        <v>3587</v>
      </c>
      <c r="D2452" s="16">
        <v>-2.9161969999999999E-2</v>
      </c>
      <c r="E2452">
        <v>-1.4580984999999999E-2</v>
      </c>
    </row>
    <row r="2453" spans="1:5" x14ac:dyDescent="0.3">
      <c r="A2453" s="8">
        <v>70</v>
      </c>
      <c r="B2453" s="8">
        <v>37</v>
      </c>
      <c r="C2453" s="8">
        <v>3562</v>
      </c>
      <c r="D2453" s="16">
        <v>-9.6036960000000001E-3</v>
      </c>
      <c r="E2453">
        <v>-4.8018480000000001E-3</v>
      </c>
    </row>
    <row r="2454" spans="1:5" x14ac:dyDescent="0.3">
      <c r="A2454" s="8">
        <v>70</v>
      </c>
      <c r="B2454" s="8">
        <v>38</v>
      </c>
      <c r="C2454" s="8">
        <v>3601</v>
      </c>
      <c r="D2454" s="16">
        <v>1.544385E-2</v>
      </c>
      <c r="E2454">
        <v>7.7219250000000001E-3</v>
      </c>
    </row>
    <row r="2455" spans="1:5" x14ac:dyDescent="0.3">
      <c r="A2455" s="8">
        <v>70</v>
      </c>
      <c r="B2455" s="8">
        <v>39</v>
      </c>
      <c r="C2455" s="8">
        <v>3587</v>
      </c>
      <c r="D2455" s="16">
        <v>-2.4102189999999999E-2</v>
      </c>
      <c r="E2455">
        <v>-1.2051095E-2</v>
      </c>
    </row>
    <row r="2456" spans="1:5" x14ac:dyDescent="0.3">
      <c r="A2456" s="8">
        <v>70</v>
      </c>
      <c r="B2456" s="8">
        <v>40</v>
      </c>
      <c r="C2456" s="8">
        <v>3604</v>
      </c>
      <c r="D2456" s="16">
        <v>-1.550136E-2</v>
      </c>
      <c r="E2456">
        <v>-7.7506800000000002E-3</v>
      </c>
    </row>
    <row r="2457" spans="1:5" x14ac:dyDescent="0.3">
      <c r="A2457" s="8">
        <v>70</v>
      </c>
      <c r="B2457" s="8">
        <v>41</v>
      </c>
      <c r="C2457" s="8">
        <v>3557</v>
      </c>
      <c r="D2457" s="16">
        <v>-2.944461E-2</v>
      </c>
      <c r="E2457">
        <v>-1.4722305E-2</v>
      </c>
    </row>
    <row r="2458" spans="1:5" x14ac:dyDescent="0.3">
      <c r="A2458" s="8">
        <v>70</v>
      </c>
      <c r="B2458" s="8">
        <v>42</v>
      </c>
      <c r="C2458" s="8">
        <v>3589</v>
      </c>
      <c r="D2458" s="16">
        <v>-4.8490310000000002E-2</v>
      </c>
      <c r="E2458">
        <v>-2.4245155000000001E-2</v>
      </c>
    </row>
    <row r="2459" spans="1:5" x14ac:dyDescent="0.3">
      <c r="A2459" s="8">
        <v>70</v>
      </c>
      <c r="B2459" s="8">
        <v>43</v>
      </c>
      <c r="C2459" s="8">
        <v>3573</v>
      </c>
      <c r="D2459" s="16">
        <v>-3.1664919999999999E-2</v>
      </c>
      <c r="E2459">
        <v>-1.583246E-2</v>
      </c>
    </row>
    <row r="2460" spans="1:5" x14ac:dyDescent="0.3">
      <c r="A2460" s="8">
        <v>70</v>
      </c>
      <c r="B2460" s="8">
        <v>44</v>
      </c>
      <c r="C2460" s="8">
        <v>3550</v>
      </c>
      <c r="D2460" s="16">
        <v>-3.8841750000000001E-2</v>
      </c>
      <c r="E2460">
        <v>-1.9420875000000001E-2</v>
      </c>
    </row>
    <row r="2461" spans="1:5" x14ac:dyDescent="0.3">
      <c r="A2461" s="8">
        <v>70</v>
      </c>
      <c r="B2461" s="8">
        <v>45</v>
      </c>
      <c r="C2461" s="8">
        <v>3614</v>
      </c>
      <c r="D2461" s="16">
        <v>-3.4542740000000002E-2</v>
      </c>
      <c r="E2461">
        <v>-1.7271370000000001E-2</v>
      </c>
    </row>
    <row r="2462" spans="1:5" x14ac:dyDescent="0.3">
      <c r="A2462" s="8">
        <v>70</v>
      </c>
      <c r="B2462" s="8">
        <v>46</v>
      </c>
      <c r="C2462" s="8">
        <v>3592</v>
      </c>
      <c r="D2462" s="16">
        <v>-2.756217E-2</v>
      </c>
      <c r="E2462">
        <v>-1.3781085E-2</v>
      </c>
    </row>
    <row r="2463" spans="1:5" x14ac:dyDescent="0.3">
      <c r="A2463" s="8">
        <v>70</v>
      </c>
      <c r="B2463" s="8">
        <v>47</v>
      </c>
      <c r="C2463" s="8">
        <v>3591</v>
      </c>
      <c r="D2463" s="16">
        <v>-2.1291899999999999E-2</v>
      </c>
      <c r="E2463">
        <v>-1.064595E-2</v>
      </c>
    </row>
    <row r="2464" spans="1:5" x14ac:dyDescent="0.3">
      <c r="A2464" s="8">
        <v>70</v>
      </c>
      <c r="B2464" s="8">
        <v>48</v>
      </c>
      <c r="C2464" s="8">
        <v>3576</v>
      </c>
      <c r="D2464" s="16">
        <v>-3.861829E-2</v>
      </c>
      <c r="E2464">
        <v>-1.9309145E-2</v>
      </c>
    </row>
    <row r="2465" spans="1:5" x14ac:dyDescent="0.3">
      <c r="A2465" s="8">
        <v>70</v>
      </c>
      <c r="B2465" s="8">
        <v>49</v>
      </c>
      <c r="C2465" s="8">
        <v>3587</v>
      </c>
      <c r="D2465" s="16">
        <v>-4.859815E-3</v>
      </c>
      <c r="E2465">
        <v>-2.4299075E-3</v>
      </c>
    </row>
    <row r="2466" spans="1:5" x14ac:dyDescent="0.3">
      <c r="A2466" s="8">
        <v>70</v>
      </c>
      <c r="B2466" s="8">
        <v>50</v>
      </c>
      <c r="C2466" s="8">
        <v>3609</v>
      </c>
      <c r="D2466" s="16">
        <v>-2.769947E-2</v>
      </c>
      <c r="E2466">
        <v>-1.3849735E-2</v>
      </c>
    </row>
    <row r="2467" spans="1:5" x14ac:dyDescent="0.3">
      <c r="A2467" s="8">
        <v>70</v>
      </c>
      <c r="B2467" s="8">
        <v>51</v>
      </c>
      <c r="C2467" s="8">
        <v>3573</v>
      </c>
      <c r="D2467" s="16">
        <v>9.0973689999999992E-3</v>
      </c>
      <c r="E2467">
        <v>4.5486844999999996E-3</v>
      </c>
    </row>
    <row r="2468" spans="1:5" x14ac:dyDescent="0.3">
      <c r="A2468" s="8">
        <v>70</v>
      </c>
      <c r="B2468" s="8">
        <v>52</v>
      </c>
      <c r="C2468" s="8">
        <v>3570</v>
      </c>
      <c r="D2468" s="16">
        <v>-3.4428269999999997E-2</v>
      </c>
      <c r="E2468">
        <v>-1.7214134999999998E-2</v>
      </c>
    </row>
    <row r="2469" spans="1:5" x14ac:dyDescent="0.3">
      <c r="A2469" s="8">
        <v>70</v>
      </c>
      <c r="B2469" s="8">
        <v>53</v>
      </c>
      <c r="C2469" s="8">
        <v>3589</v>
      </c>
      <c r="D2469" s="16">
        <v>-1.114567E-2</v>
      </c>
      <c r="E2469">
        <v>-5.5728349999999999E-3</v>
      </c>
    </row>
    <row r="2470" spans="1:5" x14ac:dyDescent="0.3">
      <c r="A2470" s="8">
        <v>70</v>
      </c>
      <c r="B2470" s="8">
        <v>54</v>
      </c>
      <c r="C2470" s="8">
        <v>3571</v>
      </c>
      <c r="D2470" s="16">
        <v>-1.057727E-2</v>
      </c>
      <c r="E2470">
        <v>-5.2886349999999999E-3</v>
      </c>
    </row>
    <row r="2471" spans="1:5" x14ac:dyDescent="0.3">
      <c r="A2471" s="8">
        <v>70</v>
      </c>
      <c r="B2471" s="8">
        <v>55</v>
      </c>
      <c r="C2471" s="8">
        <v>3590</v>
      </c>
      <c r="D2471" s="16">
        <v>-1.902216E-2</v>
      </c>
      <c r="E2471">
        <v>-9.5110799999999999E-3</v>
      </c>
    </row>
    <row r="2472" spans="1:5" x14ac:dyDescent="0.3">
      <c r="A2472" s="8">
        <v>70</v>
      </c>
      <c r="B2472" s="8">
        <v>56</v>
      </c>
      <c r="C2472" s="8">
        <v>3612</v>
      </c>
      <c r="D2472" s="16">
        <v>6.4724179999999997E-3</v>
      </c>
      <c r="E2472">
        <v>3.2362089999999999E-3</v>
      </c>
    </row>
    <row r="2473" spans="1:5" x14ac:dyDescent="0.3">
      <c r="A2473" s="8">
        <v>70</v>
      </c>
      <c r="B2473" s="8">
        <v>57</v>
      </c>
      <c r="C2473" s="8">
        <v>3628</v>
      </c>
      <c r="D2473" s="16">
        <v>4.3271999999999998E-2</v>
      </c>
      <c r="E2473">
        <v>2.1635999999999999E-2</v>
      </c>
    </row>
    <row r="2474" spans="1:5" x14ac:dyDescent="0.3">
      <c r="A2474" s="8">
        <v>70</v>
      </c>
      <c r="B2474" s="8">
        <v>58</v>
      </c>
      <c r="C2474" s="8">
        <v>3574</v>
      </c>
      <c r="D2474" s="16">
        <v>-3.531136E-2</v>
      </c>
      <c r="E2474">
        <v>-1.765568E-2</v>
      </c>
    </row>
    <row r="2475" spans="1:5" x14ac:dyDescent="0.3">
      <c r="A2475" s="8">
        <v>70</v>
      </c>
      <c r="B2475" s="8">
        <v>59</v>
      </c>
      <c r="C2475" s="8">
        <v>3608</v>
      </c>
      <c r="D2475" s="16">
        <v>-4.653591E-2</v>
      </c>
      <c r="E2475">
        <v>-2.3267955E-2</v>
      </c>
    </row>
    <row r="2476" spans="1:5" x14ac:dyDescent="0.3">
      <c r="A2476" s="8">
        <v>70</v>
      </c>
      <c r="B2476" s="8">
        <v>60</v>
      </c>
      <c r="C2476" s="8">
        <v>3590</v>
      </c>
      <c r="D2476" s="16">
        <v>2.0415369999999999E-2</v>
      </c>
      <c r="E2476">
        <v>1.0207684999999999E-2</v>
      </c>
    </row>
    <row r="2477" spans="1:5" x14ac:dyDescent="0.3">
      <c r="A2477" s="8">
        <v>70</v>
      </c>
      <c r="B2477" s="8">
        <v>61</v>
      </c>
      <c r="C2477" s="8">
        <v>3586</v>
      </c>
      <c r="D2477" s="16">
        <v>2.821566E-2</v>
      </c>
      <c r="E2477">
        <v>1.410783E-2</v>
      </c>
    </row>
    <row r="2478" spans="1:5" x14ac:dyDescent="0.3">
      <c r="A2478" s="8">
        <v>70</v>
      </c>
      <c r="B2478" s="8">
        <v>62</v>
      </c>
      <c r="C2478" s="8">
        <v>3606</v>
      </c>
      <c r="D2478" s="16">
        <v>-1.10151E-2</v>
      </c>
      <c r="E2478">
        <v>-5.5075499999999999E-3</v>
      </c>
    </row>
    <row r="2479" spans="1:5" x14ac:dyDescent="0.3">
      <c r="A2479" s="8">
        <v>70</v>
      </c>
      <c r="B2479" s="8">
        <v>63</v>
      </c>
      <c r="C2479" s="8">
        <v>3616</v>
      </c>
      <c r="D2479" s="16">
        <v>-1.179702E-2</v>
      </c>
      <c r="E2479">
        <v>-5.89851E-3</v>
      </c>
    </row>
    <row r="2480" spans="1:5" x14ac:dyDescent="0.3">
      <c r="A2480" s="8">
        <v>70</v>
      </c>
      <c r="B2480" s="8">
        <v>64</v>
      </c>
      <c r="C2480" s="8">
        <v>3575</v>
      </c>
      <c r="D2480" s="16">
        <v>-2.553035E-2</v>
      </c>
      <c r="E2480">
        <v>-1.2765175E-2</v>
      </c>
    </row>
    <row r="2481" spans="1:5" x14ac:dyDescent="0.3">
      <c r="A2481" s="8">
        <v>70</v>
      </c>
      <c r="B2481" s="8">
        <v>65</v>
      </c>
      <c r="C2481" s="8">
        <v>3594</v>
      </c>
      <c r="D2481" s="16">
        <v>-4.0916709999999998E-3</v>
      </c>
      <c r="E2481">
        <v>-2.0458354999999999E-3</v>
      </c>
    </row>
    <row r="2482" spans="1:5" x14ac:dyDescent="0.3">
      <c r="A2482" s="8">
        <v>70</v>
      </c>
      <c r="B2482" s="8">
        <v>66</v>
      </c>
      <c r="C2482" s="8">
        <v>3603</v>
      </c>
      <c r="D2482" s="16">
        <v>1.7152400000000002E-2</v>
      </c>
      <c r="E2482">
        <v>8.5762000000000008E-3</v>
      </c>
    </row>
    <row r="2483" spans="1:5" x14ac:dyDescent="0.3">
      <c r="A2483" s="8">
        <v>70</v>
      </c>
      <c r="B2483" s="8">
        <v>67</v>
      </c>
      <c r="C2483" s="8">
        <v>3584</v>
      </c>
      <c r="D2483" s="16">
        <v>-3.4956000000000001E-2</v>
      </c>
      <c r="E2483">
        <v>-1.7478E-2</v>
      </c>
    </row>
    <row r="2484" spans="1:5" x14ac:dyDescent="0.3">
      <c r="A2484" s="8">
        <v>70</v>
      </c>
      <c r="B2484" s="8">
        <v>68</v>
      </c>
      <c r="C2484" s="8">
        <v>3570</v>
      </c>
      <c r="D2484" s="16">
        <v>-4.4307239999999998E-2</v>
      </c>
      <c r="E2484">
        <v>-2.2153619999999999E-2</v>
      </c>
    </row>
    <row r="2485" spans="1:5" x14ac:dyDescent="0.3">
      <c r="A2485" s="8">
        <v>70</v>
      </c>
      <c r="B2485" s="8">
        <v>69</v>
      </c>
      <c r="C2485" s="8">
        <v>3594</v>
      </c>
      <c r="D2485" s="16">
        <v>6.785297E-3</v>
      </c>
      <c r="E2485">
        <v>3.3926485E-3</v>
      </c>
    </row>
    <row r="2486" spans="1:5" x14ac:dyDescent="0.3">
      <c r="A2486" s="8">
        <v>70</v>
      </c>
      <c r="B2486" s="8">
        <v>70</v>
      </c>
      <c r="C2486" s="8">
        <v>3868</v>
      </c>
      <c r="D2486" s="16">
        <v>1.0429660000000001</v>
      </c>
      <c r="E2486"/>
    </row>
    <row r="2487" spans="1:5" x14ac:dyDescent="0.3">
      <c r="A2487" s="8">
        <v>71</v>
      </c>
      <c r="B2487" s="8">
        <v>1</v>
      </c>
      <c r="C2487" s="8">
        <v>3605</v>
      </c>
      <c r="D2487" s="16">
        <v>-4.4124770000000001E-2</v>
      </c>
      <c r="E2487">
        <v>-2.2062385E-2</v>
      </c>
    </row>
    <row r="2488" spans="1:5" x14ac:dyDescent="0.3">
      <c r="A2488" s="8">
        <v>71</v>
      </c>
      <c r="B2488" s="8">
        <v>2</v>
      </c>
      <c r="C2488" s="8">
        <v>3582</v>
      </c>
      <c r="D2488" s="16">
        <v>-3.1265069999999999E-2</v>
      </c>
      <c r="E2488">
        <v>-1.5632534999999999E-2</v>
      </c>
    </row>
    <row r="2489" spans="1:5" x14ac:dyDescent="0.3">
      <c r="A2489" s="8">
        <v>71</v>
      </c>
      <c r="B2489" s="8">
        <v>3</v>
      </c>
      <c r="C2489" s="8">
        <v>3603</v>
      </c>
      <c r="D2489" s="16">
        <v>1.2846079999999999E-2</v>
      </c>
      <c r="E2489">
        <v>6.4230399999999997E-3</v>
      </c>
    </row>
    <row r="2490" spans="1:5" x14ac:dyDescent="0.3">
      <c r="A2490" s="8">
        <v>71</v>
      </c>
      <c r="B2490" s="8">
        <v>4</v>
      </c>
      <c r="C2490" s="8">
        <v>3558</v>
      </c>
      <c r="D2490" s="16">
        <v>-2.660653E-2</v>
      </c>
      <c r="E2490">
        <v>-1.3303265E-2</v>
      </c>
    </row>
    <row r="2491" spans="1:5" x14ac:dyDescent="0.3">
      <c r="A2491" s="8">
        <v>71</v>
      </c>
      <c r="B2491" s="8">
        <v>5</v>
      </c>
      <c r="C2491" s="8">
        <v>3574</v>
      </c>
      <c r="D2491" s="16">
        <v>-1.3490429999999999E-2</v>
      </c>
      <c r="E2491">
        <v>-6.7452149999999997E-3</v>
      </c>
    </row>
    <row r="2492" spans="1:5" x14ac:dyDescent="0.3">
      <c r="A2492" s="8">
        <v>71</v>
      </c>
      <c r="B2492" s="8">
        <v>6</v>
      </c>
      <c r="C2492" s="8">
        <v>3574</v>
      </c>
      <c r="D2492" s="16">
        <v>-3.0168779999999999E-2</v>
      </c>
      <c r="E2492">
        <v>-1.508439E-2</v>
      </c>
    </row>
    <row r="2493" spans="1:5" x14ac:dyDescent="0.3">
      <c r="A2493" s="8">
        <v>71</v>
      </c>
      <c r="B2493" s="8">
        <v>7</v>
      </c>
      <c r="C2493" s="8">
        <v>3547</v>
      </c>
      <c r="D2493" s="16">
        <v>-1.2951570000000001E-2</v>
      </c>
      <c r="E2493">
        <v>-6.4757850000000004E-3</v>
      </c>
    </row>
    <row r="2494" spans="1:5" x14ac:dyDescent="0.3">
      <c r="A2494" s="8">
        <v>71</v>
      </c>
      <c r="B2494" s="8">
        <v>8</v>
      </c>
      <c r="C2494" s="8">
        <v>3576</v>
      </c>
      <c r="D2494" s="16">
        <v>-2.900407E-2</v>
      </c>
      <c r="E2494">
        <v>-1.4502035E-2</v>
      </c>
    </row>
    <row r="2495" spans="1:5" x14ac:dyDescent="0.3">
      <c r="A2495" s="8">
        <v>71</v>
      </c>
      <c r="B2495" s="8">
        <v>9</v>
      </c>
      <c r="C2495" s="8">
        <v>3584</v>
      </c>
      <c r="D2495" s="16">
        <v>-1.552454E-2</v>
      </c>
      <c r="E2495">
        <v>-7.7622699999999999E-3</v>
      </c>
    </row>
    <row r="2496" spans="1:5" x14ac:dyDescent="0.3">
      <c r="A2496" s="8">
        <v>71</v>
      </c>
      <c r="B2496" s="8">
        <v>10</v>
      </c>
      <c r="C2496" s="8">
        <v>3586</v>
      </c>
      <c r="D2496" s="16">
        <v>1.67607E-2</v>
      </c>
      <c r="E2496">
        <v>8.38035E-3</v>
      </c>
    </row>
    <row r="2497" spans="1:5" x14ac:dyDescent="0.3">
      <c r="A2497" s="8">
        <v>71</v>
      </c>
      <c r="B2497" s="8">
        <v>11</v>
      </c>
      <c r="C2497" s="8">
        <v>3578</v>
      </c>
      <c r="D2497" s="16">
        <v>-2.404127E-2</v>
      </c>
      <c r="E2497">
        <v>-1.2020635E-2</v>
      </c>
    </row>
    <row r="2498" spans="1:5" x14ac:dyDescent="0.3">
      <c r="A2498" s="8">
        <v>71</v>
      </c>
      <c r="B2498" s="8">
        <v>12</v>
      </c>
      <c r="C2498" s="8">
        <v>3581</v>
      </c>
      <c r="D2498" s="16">
        <v>-7.5012800000000004E-2</v>
      </c>
      <c r="E2498">
        <v>-3.7506400000000002E-2</v>
      </c>
    </row>
    <row r="2499" spans="1:5" x14ac:dyDescent="0.3">
      <c r="A2499" s="8">
        <v>71</v>
      </c>
      <c r="B2499" s="8">
        <v>13</v>
      </c>
      <c r="C2499" s="8">
        <v>3580</v>
      </c>
      <c r="D2499" s="16">
        <v>-4.4528770000000002E-2</v>
      </c>
      <c r="E2499">
        <v>-2.2264385000000001E-2</v>
      </c>
    </row>
    <row r="2500" spans="1:5" x14ac:dyDescent="0.3">
      <c r="A2500" s="8">
        <v>71</v>
      </c>
      <c r="B2500" s="8">
        <v>14</v>
      </c>
      <c r="C2500" s="8">
        <v>3576</v>
      </c>
      <c r="D2500" s="16">
        <v>5.9356909999999999E-3</v>
      </c>
      <c r="E2500">
        <v>2.9678454999999999E-3</v>
      </c>
    </row>
    <row r="2501" spans="1:5" x14ac:dyDescent="0.3">
      <c r="A2501" s="8">
        <v>71</v>
      </c>
      <c r="B2501" s="8">
        <v>15</v>
      </c>
      <c r="C2501" s="8">
        <v>3597</v>
      </c>
      <c r="D2501" s="16">
        <v>-1.440523E-2</v>
      </c>
      <c r="E2501">
        <v>-7.2026149999999999E-3</v>
      </c>
    </row>
    <row r="2502" spans="1:5" x14ac:dyDescent="0.3">
      <c r="A2502" s="8">
        <v>71</v>
      </c>
      <c r="B2502" s="8">
        <v>16</v>
      </c>
      <c r="C2502" s="8">
        <v>3570</v>
      </c>
      <c r="D2502" s="16">
        <v>-2.3950119999999998E-2</v>
      </c>
      <c r="E2502">
        <v>-1.1975059999999999E-2</v>
      </c>
    </row>
    <row r="2503" spans="1:5" x14ac:dyDescent="0.3">
      <c r="A2503" s="8">
        <v>71</v>
      </c>
      <c r="B2503" s="8">
        <v>17</v>
      </c>
      <c r="C2503" s="8">
        <v>3582</v>
      </c>
      <c r="D2503" s="16">
        <v>-8.6471050000000004E-3</v>
      </c>
      <c r="E2503">
        <v>-4.3235525000000002E-3</v>
      </c>
    </row>
    <row r="2504" spans="1:5" x14ac:dyDescent="0.3">
      <c r="A2504" s="8">
        <v>71</v>
      </c>
      <c r="B2504" s="8">
        <v>18</v>
      </c>
      <c r="C2504" s="8">
        <v>3589</v>
      </c>
      <c r="D2504" s="16">
        <v>4.3412190000000003E-3</v>
      </c>
      <c r="E2504">
        <v>2.1706095000000002E-3</v>
      </c>
    </row>
    <row r="2505" spans="1:5" x14ac:dyDescent="0.3">
      <c r="A2505" s="8">
        <v>71</v>
      </c>
      <c r="B2505" s="8">
        <v>19</v>
      </c>
      <c r="C2505" s="8">
        <v>3542</v>
      </c>
      <c r="D2505" s="16">
        <v>2.1123719999999999E-2</v>
      </c>
      <c r="E2505">
        <v>1.0561859999999999E-2</v>
      </c>
    </row>
    <row r="2506" spans="1:5" x14ac:dyDescent="0.3">
      <c r="A2506" s="8">
        <v>71</v>
      </c>
      <c r="B2506" s="8">
        <v>20</v>
      </c>
      <c r="C2506" s="8">
        <v>3552</v>
      </c>
      <c r="D2506" s="16">
        <v>1.2888159999999999E-2</v>
      </c>
      <c r="E2506">
        <v>6.4440799999999996E-3</v>
      </c>
    </row>
    <row r="2507" spans="1:5" x14ac:dyDescent="0.3">
      <c r="A2507" s="8">
        <v>71</v>
      </c>
      <c r="B2507" s="8">
        <v>21</v>
      </c>
      <c r="C2507" s="8">
        <v>3604</v>
      </c>
      <c r="D2507" s="16">
        <v>-3.9475730000000001E-2</v>
      </c>
      <c r="E2507">
        <v>-1.9737865E-2</v>
      </c>
    </row>
    <row r="2508" spans="1:5" x14ac:dyDescent="0.3">
      <c r="A2508" s="8">
        <v>71</v>
      </c>
      <c r="B2508" s="8">
        <v>22</v>
      </c>
      <c r="C2508" s="8">
        <v>3572</v>
      </c>
      <c r="D2508" s="16">
        <v>-3.4361650000000001E-2</v>
      </c>
      <c r="E2508">
        <v>-1.7180825E-2</v>
      </c>
    </row>
    <row r="2509" spans="1:5" x14ac:dyDescent="0.3">
      <c r="A2509" s="8">
        <v>71</v>
      </c>
      <c r="B2509" s="8">
        <v>23</v>
      </c>
      <c r="C2509" s="8">
        <v>3576</v>
      </c>
      <c r="D2509" s="16">
        <v>1.4335280000000001E-2</v>
      </c>
      <c r="E2509">
        <v>7.1676400000000003E-3</v>
      </c>
    </row>
    <row r="2510" spans="1:5" x14ac:dyDescent="0.3">
      <c r="A2510" s="8">
        <v>71</v>
      </c>
      <c r="B2510" s="8">
        <v>24</v>
      </c>
      <c r="C2510" s="8">
        <v>3604</v>
      </c>
      <c r="D2510" s="16">
        <v>4.0415019999999998E-3</v>
      </c>
      <c r="E2510">
        <v>2.0207509999999999E-3</v>
      </c>
    </row>
    <row r="2511" spans="1:5" x14ac:dyDescent="0.3">
      <c r="A2511" s="8">
        <v>71</v>
      </c>
      <c r="B2511" s="8">
        <v>25</v>
      </c>
      <c r="C2511" s="8">
        <v>3559</v>
      </c>
      <c r="D2511" s="16">
        <v>-4.0078450000000002E-2</v>
      </c>
      <c r="E2511">
        <v>-2.0039225000000001E-2</v>
      </c>
    </row>
    <row r="2512" spans="1:5" x14ac:dyDescent="0.3">
      <c r="A2512" s="8">
        <v>71</v>
      </c>
      <c r="B2512" s="8">
        <v>26</v>
      </c>
      <c r="C2512" s="8">
        <v>3604</v>
      </c>
      <c r="D2512" s="16">
        <v>-3.8859770000000002E-2</v>
      </c>
      <c r="E2512">
        <v>-1.9429885000000001E-2</v>
      </c>
    </row>
    <row r="2513" spans="1:5" x14ac:dyDescent="0.3">
      <c r="A2513" s="8">
        <v>71</v>
      </c>
      <c r="B2513" s="8">
        <v>27</v>
      </c>
      <c r="C2513" s="8">
        <v>3560</v>
      </c>
      <c r="D2513" s="16">
        <v>-1.6909739999999999E-2</v>
      </c>
      <c r="E2513">
        <v>-8.4548699999999997E-3</v>
      </c>
    </row>
    <row r="2514" spans="1:5" x14ac:dyDescent="0.3">
      <c r="A2514" s="8">
        <v>71</v>
      </c>
      <c r="B2514" s="8">
        <v>28</v>
      </c>
      <c r="C2514" s="8">
        <v>3513</v>
      </c>
      <c r="D2514" s="16">
        <v>-6.720836E-3</v>
      </c>
      <c r="E2514">
        <v>-3.360418E-3</v>
      </c>
    </row>
    <row r="2515" spans="1:5" x14ac:dyDescent="0.3">
      <c r="A2515" s="8">
        <v>71</v>
      </c>
      <c r="B2515" s="8">
        <v>29</v>
      </c>
      <c r="C2515" s="8">
        <v>3540</v>
      </c>
      <c r="D2515" s="16">
        <v>2.9251099999999999E-2</v>
      </c>
      <c r="E2515">
        <v>1.4625549999999999E-2</v>
      </c>
    </row>
    <row r="2516" spans="1:5" x14ac:dyDescent="0.3">
      <c r="A2516" s="8">
        <v>71</v>
      </c>
      <c r="B2516" s="8">
        <v>30</v>
      </c>
      <c r="C2516" s="8">
        <v>3553</v>
      </c>
      <c r="D2516" s="16">
        <v>-1.16337E-2</v>
      </c>
      <c r="E2516">
        <v>-5.8168500000000001E-3</v>
      </c>
    </row>
    <row r="2517" spans="1:5" x14ac:dyDescent="0.3">
      <c r="A2517" s="8">
        <v>71</v>
      </c>
      <c r="B2517" s="8">
        <v>31</v>
      </c>
      <c r="C2517" s="8">
        <v>3482</v>
      </c>
      <c r="D2517" s="16">
        <v>-1.9854480000000001E-2</v>
      </c>
      <c r="E2517">
        <v>-9.9272400000000004E-3</v>
      </c>
    </row>
    <row r="2518" spans="1:5" x14ac:dyDescent="0.3">
      <c r="A2518" s="8">
        <v>71</v>
      </c>
      <c r="B2518" s="8">
        <v>32</v>
      </c>
      <c r="C2518" s="8">
        <v>3560</v>
      </c>
      <c r="D2518" s="16">
        <v>3.2627919999999998E-2</v>
      </c>
      <c r="E2518">
        <v>1.6313959999999999E-2</v>
      </c>
    </row>
    <row r="2519" spans="1:5" x14ac:dyDescent="0.3">
      <c r="A2519" s="8">
        <v>71</v>
      </c>
      <c r="B2519" s="8">
        <v>33</v>
      </c>
      <c r="C2519" s="8">
        <v>3588</v>
      </c>
      <c r="D2519" s="16">
        <v>2.037788E-3</v>
      </c>
      <c r="E2519">
        <v>1.018894E-3</v>
      </c>
    </row>
    <row r="2520" spans="1:5" x14ac:dyDescent="0.3">
      <c r="A2520" s="8">
        <v>71</v>
      </c>
      <c r="B2520" s="8">
        <v>34</v>
      </c>
      <c r="C2520" s="8">
        <v>3586</v>
      </c>
      <c r="D2520" s="16">
        <v>-9.0638549999999991E-3</v>
      </c>
      <c r="E2520">
        <v>-4.5319274999999996E-3</v>
      </c>
    </row>
    <row r="2521" spans="1:5" x14ac:dyDescent="0.3">
      <c r="A2521" s="8">
        <v>71</v>
      </c>
      <c r="B2521" s="8">
        <v>35</v>
      </c>
      <c r="C2521" s="8">
        <v>3568</v>
      </c>
      <c r="D2521" s="16">
        <v>-1.616658E-2</v>
      </c>
      <c r="E2521">
        <v>-8.0832899999999999E-3</v>
      </c>
    </row>
    <row r="2522" spans="1:5" x14ac:dyDescent="0.3">
      <c r="A2522" s="8">
        <v>71</v>
      </c>
      <c r="B2522" s="8">
        <v>36</v>
      </c>
      <c r="C2522" s="8">
        <v>3568</v>
      </c>
      <c r="D2522" s="16">
        <v>-3.3342700000000003E-2</v>
      </c>
      <c r="E2522">
        <v>-1.6671350000000001E-2</v>
      </c>
    </row>
    <row r="2523" spans="1:5" x14ac:dyDescent="0.3">
      <c r="A2523" s="8">
        <v>71</v>
      </c>
      <c r="B2523" s="8">
        <v>37</v>
      </c>
      <c r="C2523" s="8">
        <v>3543</v>
      </c>
      <c r="D2523" s="16">
        <v>-3.1630520000000002E-2</v>
      </c>
      <c r="E2523">
        <v>-1.5815260000000001E-2</v>
      </c>
    </row>
    <row r="2524" spans="1:5" x14ac:dyDescent="0.3">
      <c r="A2524" s="8">
        <v>71</v>
      </c>
      <c r="B2524" s="8">
        <v>38</v>
      </c>
      <c r="C2524" s="8">
        <v>3603</v>
      </c>
      <c r="D2524" s="16">
        <v>-1.6080069999999998E-2</v>
      </c>
      <c r="E2524">
        <v>-8.0400349999999992E-3</v>
      </c>
    </row>
    <row r="2525" spans="1:5" x14ac:dyDescent="0.3">
      <c r="A2525" s="8">
        <v>71</v>
      </c>
      <c r="B2525" s="8">
        <v>39</v>
      </c>
      <c r="C2525" s="8">
        <v>3570</v>
      </c>
      <c r="D2525" s="16">
        <v>-5.6749299999999999E-3</v>
      </c>
      <c r="E2525">
        <v>-2.837465E-3</v>
      </c>
    </row>
    <row r="2526" spans="1:5" x14ac:dyDescent="0.3">
      <c r="A2526" s="8">
        <v>71</v>
      </c>
      <c r="B2526" s="8">
        <v>40</v>
      </c>
      <c r="C2526" s="8">
        <v>3584</v>
      </c>
      <c r="D2526" s="16">
        <v>-6.2703309999999998E-2</v>
      </c>
      <c r="E2526">
        <v>-3.1351654999999999E-2</v>
      </c>
    </row>
    <row r="2527" spans="1:5" x14ac:dyDescent="0.3">
      <c r="A2527" s="8">
        <v>71</v>
      </c>
      <c r="B2527" s="8">
        <v>41</v>
      </c>
      <c r="C2527" s="8">
        <v>3534</v>
      </c>
      <c r="D2527" s="16">
        <v>6.8472539999999997E-3</v>
      </c>
      <c r="E2527">
        <v>3.4236269999999998E-3</v>
      </c>
    </row>
    <row r="2528" spans="1:5" x14ac:dyDescent="0.3">
      <c r="A2528" s="8">
        <v>71</v>
      </c>
      <c r="B2528" s="8">
        <v>42</v>
      </c>
      <c r="C2528" s="8">
        <v>3568</v>
      </c>
      <c r="D2528" s="16">
        <v>-1.2331699999999999E-2</v>
      </c>
      <c r="E2528">
        <v>-6.1658499999999996E-3</v>
      </c>
    </row>
    <row r="2529" spans="1:5" x14ac:dyDescent="0.3">
      <c r="A2529" s="8">
        <v>71</v>
      </c>
      <c r="B2529" s="8">
        <v>43</v>
      </c>
      <c r="C2529" s="8">
        <v>3556</v>
      </c>
      <c r="D2529" s="16">
        <v>-1.4012500000000001E-2</v>
      </c>
      <c r="E2529">
        <v>-7.0062500000000003E-3</v>
      </c>
    </row>
    <row r="2530" spans="1:5" x14ac:dyDescent="0.3">
      <c r="A2530" s="8">
        <v>71</v>
      </c>
      <c r="B2530" s="8">
        <v>44</v>
      </c>
      <c r="C2530" s="8">
        <v>3531</v>
      </c>
      <c r="D2530" s="16">
        <v>-1.3507969999999999E-2</v>
      </c>
      <c r="E2530">
        <v>-6.7539849999999997E-3</v>
      </c>
    </row>
    <row r="2531" spans="1:5" x14ac:dyDescent="0.3">
      <c r="A2531" s="8">
        <v>71</v>
      </c>
      <c r="B2531" s="8">
        <v>45</v>
      </c>
      <c r="C2531" s="8">
        <v>3586</v>
      </c>
      <c r="D2531" s="16">
        <v>4.9526020000000004E-3</v>
      </c>
      <c r="E2531">
        <v>2.4763010000000002E-3</v>
      </c>
    </row>
    <row r="2532" spans="1:5" x14ac:dyDescent="0.3">
      <c r="A2532" s="8">
        <v>71</v>
      </c>
      <c r="B2532" s="8">
        <v>46</v>
      </c>
      <c r="C2532" s="8">
        <v>3569</v>
      </c>
      <c r="D2532" s="16">
        <v>-2.7498809999999999E-2</v>
      </c>
      <c r="E2532">
        <v>-1.3749404999999999E-2</v>
      </c>
    </row>
    <row r="2533" spans="1:5" x14ac:dyDescent="0.3">
      <c r="A2533" s="8">
        <v>71</v>
      </c>
      <c r="B2533" s="8">
        <v>47</v>
      </c>
      <c r="C2533" s="8">
        <v>3583</v>
      </c>
      <c r="D2533" s="16">
        <v>-9.4770480000000001E-3</v>
      </c>
      <c r="E2533">
        <v>-4.738524E-3</v>
      </c>
    </row>
    <row r="2534" spans="1:5" x14ac:dyDescent="0.3">
      <c r="A2534" s="8">
        <v>71</v>
      </c>
      <c r="B2534" s="8">
        <v>48</v>
      </c>
      <c r="C2534" s="8">
        <v>3552</v>
      </c>
      <c r="D2534" s="16">
        <v>3.3984840000000002E-2</v>
      </c>
      <c r="E2534">
        <v>1.6992420000000001E-2</v>
      </c>
    </row>
    <row r="2535" spans="1:5" x14ac:dyDescent="0.3">
      <c r="A2535" s="8">
        <v>71</v>
      </c>
      <c r="B2535" s="8">
        <v>49</v>
      </c>
      <c r="C2535" s="8">
        <v>3557</v>
      </c>
      <c r="D2535" s="16">
        <v>-7.3252239999999996E-2</v>
      </c>
      <c r="E2535">
        <v>-3.6626119999999998E-2</v>
      </c>
    </row>
    <row r="2536" spans="1:5" x14ac:dyDescent="0.3">
      <c r="A2536" s="8">
        <v>71</v>
      </c>
      <c r="B2536" s="8">
        <v>50</v>
      </c>
      <c r="C2536" s="8">
        <v>3596</v>
      </c>
      <c r="D2536" s="16">
        <v>1.552592E-3</v>
      </c>
      <c r="E2536">
        <v>7.76296E-4</v>
      </c>
    </row>
    <row r="2537" spans="1:5" x14ac:dyDescent="0.3">
      <c r="A2537" s="8">
        <v>71</v>
      </c>
      <c r="B2537" s="8">
        <v>51</v>
      </c>
      <c r="C2537" s="8">
        <v>3557</v>
      </c>
      <c r="D2537" s="16">
        <v>-3.4821100000000001E-2</v>
      </c>
      <c r="E2537">
        <v>-1.741055E-2</v>
      </c>
    </row>
    <row r="2538" spans="1:5" x14ac:dyDescent="0.3">
      <c r="A2538" s="8">
        <v>71</v>
      </c>
      <c r="B2538" s="8">
        <v>52</v>
      </c>
      <c r="C2538" s="8">
        <v>3567</v>
      </c>
      <c r="D2538" s="16">
        <v>-5.6175360000000001E-2</v>
      </c>
      <c r="E2538">
        <v>-2.808768E-2</v>
      </c>
    </row>
    <row r="2539" spans="1:5" x14ac:dyDescent="0.3">
      <c r="A2539" s="8">
        <v>71</v>
      </c>
      <c r="B2539" s="8">
        <v>53</v>
      </c>
      <c r="C2539" s="8">
        <v>3564</v>
      </c>
      <c r="D2539" s="16">
        <v>5.9387010000000002E-3</v>
      </c>
      <c r="E2539">
        <v>2.9693505000000001E-3</v>
      </c>
    </row>
    <row r="2540" spans="1:5" x14ac:dyDescent="0.3">
      <c r="A2540" s="8">
        <v>71</v>
      </c>
      <c r="B2540" s="8">
        <v>54</v>
      </c>
      <c r="C2540" s="8">
        <v>3551</v>
      </c>
      <c r="D2540" s="16">
        <v>-1.6132110000000002E-2</v>
      </c>
      <c r="E2540">
        <v>-8.0660550000000008E-3</v>
      </c>
    </row>
    <row r="2541" spans="1:5" x14ac:dyDescent="0.3">
      <c r="A2541" s="8">
        <v>71</v>
      </c>
      <c r="B2541" s="8">
        <v>55</v>
      </c>
      <c r="C2541" s="8">
        <v>3568</v>
      </c>
      <c r="D2541" s="16">
        <v>-3.281208E-2</v>
      </c>
      <c r="E2541">
        <v>-1.640604E-2</v>
      </c>
    </row>
    <row r="2542" spans="1:5" x14ac:dyDescent="0.3">
      <c r="A2542" s="8">
        <v>71</v>
      </c>
      <c r="B2542" s="8">
        <v>56</v>
      </c>
      <c r="C2542" s="8">
        <v>3591</v>
      </c>
      <c r="D2542" s="16">
        <v>-2.379121E-2</v>
      </c>
      <c r="E2542">
        <v>-1.1895605E-2</v>
      </c>
    </row>
    <row r="2543" spans="1:5" x14ac:dyDescent="0.3">
      <c r="A2543" s="8">
        <v>71</v>
      </c>
      <c r="B2543" s="8">
        <v>57</v>
      </c>
      <c r="C2543" s="8">
        <v>3597</v>
      </c>
      <c r="D2543" s="16">
        <v>-2.0047780000000001E-2</v>
      </c>
      <c r="E2543">
        <v>-1.0023890000000001E-2</v>
      </c>
    </row>
    <row r="2544" spans="1:5" x14ac:dyDescent="0.3">
      <c r="A2544" s="8">
        <v>71</v>
      </c>
      <c r="B2544" s="8">
        <v>58</v>
      </c>
      <c r="C2544" s="8">
        <v>3557</v>
      </c>
      <c r="D2544" s="16">
        <v>-2.0240060000000001E-2</v>
      </c>
      <c r="E2544">
        <v>-1.012003E-2</v>
      </c>
    </row>
    <row r="2545" spans="1:5" x14ac:dyDescent="0.3">
      <c r="A2545" s="8">
        <v>71</v>
      </c>
      <c r="B2545" s="8">
        <v>59</v>
      </c>
      <c r="C2545" s="8">
        <v>3599</v>
      </c>
      <c r="D2545" s="16">
        <v>-6.2076529999999996E-3</v>
      </c>
      <c r="E2545">
        <v>-3.1038264999999998E-3</v>
      </c>
    </row>
    <row r="2546" spans="1:5" x14ac:dyDescent="0.3">
      <c r="A2546" s="8">
        <v>71</v>
      </c>
      <c r="B2546" s="8">
        <v>60</v>
      </c>
      <c r="C2546" s="8">
        <v>3582</v>
      </c>
      <c r="D2546" s="16">
        <v>9.6038340000000001E-4</v>
      </c>
      <c r="E2546">
        <v>4.8019170000000001E-4</v>
      </c>
    </row>
    <row r="2547" spans="1:5" x14ac:dyDescent="0.3">
      <c r="A2547" s="8">
        <v>71</v>
      </c>
      <c r="B2547" s="8">
        <v>61</v>
      </c>
      <c r="C2547" s="8">
        <v>3580</v>
      </c>
      <c r="D2547" s="16">
        <v>-6.9480660000000001E-3</v>
      </c>
      <c r="E2547">
        <v>-3.4740330000000001E-3</v>
      </c>
    </row>
    <row r="2548" spans="1:5" x14ac:dyDescent="0.3">
      <c r="A2548" s="8">
        <v>71</v>
      </c>
      <c r="B2548" s="8">
        <v>62</v>
      </c>
      <c r="C2548" s="8">
        <v>3596</v>
      </c>
      <c r="D2548" s="16">
        <v>-9.9433720000000007E-3</v>
      </c>
      <c r="E2548">
        <v>-4.9716860000000003E-3</v>
      </c>
    </row>
    <row r="2549" spans="1:5" x14ac:dyDescent="0.3">
      <c r="A2549" s="8">
        <v>71</v>
      </c>
      <c r="B2549" s="8">
        <v>63</v>
      </c>
      <c r="C2549" s="8">
        <v>3593</v>
      </c>
      <c r="D2549" s="16">
        <v>-3.110885E-2</v>
      </c>
      <c r="E2549">
        <v>-1.5554425E-2</v>
      </c>
    </row>
    <row r="2550" spans="1:5" x14ac:dyDescent="0.3">
      <c r="A2550" s="8">
        <v>71</v>
      </c>
      <c r="B2550" s="8">
        <v>64</v>
      </c>
      <c r="C2550" s="8">
        <v>3562</v>
      </c>
      <c r="D2550" s="16">
        <v>-1.927769E-2</v>
      </c>
      <c r="E2550">
        <v>-9.6388450000000001E-3</v>
      </c>
    </row>
    <row r="2551" spans="1:5" x14ac:dyDescent="0.3">
      <c r="A2551" s="8">
        <v>71</v>
      </c>
      <c r="B2551" s="8">
        <v>65</v>
      </c>
      <c r="C2551" s="8">
        <v>3600</v>
      </c>
      <c r="D2551" s="16">
        <v>-4.1887580000000001E-2</v>
      </c>
      <c r="E2551">
        <v>-2.094379E-2</v>
      </c>
    </row>
    <row r="2552" spans="1:5" x14ac:dyDescent="0.3">
      <c r="A2552" s="8">
        <v>71</v>
      </c>
      <c r="B2552" s="8">
        <v>66</v>
      </c>
      <c r="C2552" s="8">
        <v>3601</v>
      </c>
      <c r="D2552" s="16">
        <v>1.725057E-2</v>
      </c>
      <c r="E2552">
        <v>8.6252849999999999E-3</v>
      </c>
    </row>
    <row r="2553" spans="1:5" x14ac:dyDescent="0.3">
      <c r="A2553" s="8">
        <v>71</v>
      </c>
      <c r="B2553" s="8">
        <v>67</v>
      </c>
      <c r="C2553" s="8">
        <v>3565</v>
      </c>
      <c r="D2553" s="16">
        <v>2.5644690000000002E-3</v>
      </c>
      <c r="E2553">
        <v>1.2822345000000001E-3</v>
      </c>
    </row>
    <row r="2554" spans="1:5" x14ac:dyDescent="0.3">
      <c r="A2554" s="8">
        <v>71</v>
      </c>
      <c r="B2554" s="8">
        <v>68</v>
      </c>
      <c r="C2554" s="8">
        <v>3541</v>
      </c>
      <c r="D2554" s="16">
        <v>-5.5996890000000001E-2</v>
      </c>
      <c r="E2554">
        <v>-2.7998445E-2</v>
      </c>
    </row>
    <row r="2555" spans="1:5" x14ac:dyDescent="0.3">
      <c r="A2555" s="8">
        <v>71</v>
      </c>
      <c r="B2555" s="8">
        <v>69</v>
      </c>
      <c r="C2555" s="8">
        <v>3577</v>
      </c>
      <c r="D2555" s="16">
        <v>-4.4022339999999997E-3</v>
      </c>
      <c r="E2555">
        <v>-2.2011169999999998E-3</v>
      </c>
    </row>
    <row r="2556" spans="1:5" x14ac:dyDescent="0.3">
      <c r="A2556" s="8">
        <v>71</v>
      </c>
      <c r="B2556" s="8">
        <v>70</v>
      </c>
      <c r="C2556" s="8">
        <v>3566</v>
      </c>
      <c r="D2556" s="16">
        <v>-1.0459420000000001E-2</v>
      </c>
      <c r="E2556">
        <v>-5.2297100000000003E-3</v>
      </c>
    </row>
    <row r="2557" spans="1:5" x14ac:dyDescent="0.3">
      <c r="A2557" s="8">
        <v>71</v>
      </c>
      <c r="B2557" s="8">
        <v>71</v>
      </c>
      <c r="C2557" s="8">
        <v>3854</v>
      </c>
      <c r="D2557" s="16">
        <v>1.003735</v>
      </c>
      <c r="E2557"/>
    </row>
    <row r="2558" spans="1:5" x14ac:dyDescent="0.3">
      <c r="A2558" s="8">
        <v>72</v>
      </c>
      <c r="B2558" s="8">
        <v>1</v>
      </c>
      <c r="C2558" s="8">
        <v>3593</v>
      </c>
      <c r="D2558" s="16">
        <v>-4.834652E-3</v>
      </c>
      <c r="E2558">
        <v>-2.417326E-3</v>
      </c>
    </row>
    <row r="2559" spans="1:5" x14ac:dyDescent="0.3">
      <c r="A2559" s="8">
        <v>72</v>
      </c>
      <c r="B2559" s="8">
        <v>2</v>
      </c>
      <c r="C2559" s="8">
        <v>3576</v>
      </c>
      <c r="D2559" s="16">
        <v>-1.1810070000000001E-2</v>
      </c>
      <c r="E2559">
        <v>-5.9050350000000003E-3</v>
      </c>
    </row>
    <row r="2560" spans="1:5" x14ac:dyDescent="0.3">
      <c r="A2560" s="8">
        <v>72</v>
      </c>
      <c r="B2560" s="8">
        <v>3</v>
      </c>
      <c r="C2560" s="8">
        <v>3601</v>
      </c>
      <c r="D2560" s="16">
        <v>-5.9561340000000001E-3</v>
      </c>
      <c r="E2560">
        <v>-2.978067E-3</v>
      </c>
    </row>
    <row r="2561" spans="1:5" x14ac:dyDescent="0.3">
      <c r="A2561" s="8">
        <v>72</v>
      </c>
      <c r="B2561" s="8">
        <v>4</v>
      </c>
      <c r="C2561" s="8">
        <v>3546</v>
      </c>
      <c r="D2561" s="16">
        <v>-7.9357149999999994E-3</v>
      </c>
      <c r="E2561">
        <v>-3.9678574999999997E-3</v>
      </c>
    </row>
    <row r="2562" spans="1:5" x14ac:dyDescent="0.3">
      <c r="A2562" s="8">
        <v>72</v>
      </c>
      <c r="B2562" s="8">
        <v>5</v>
      </c>
      <c r="C2562" s="8">
        <v>3569</v>
      </c>
      <c r="D2562" s="16">
        <v>2.3364670000000001E-2</v>
      </c>
      <c r="E2562">
        <v>1.1682335E-2</v>
      </c>
    </row>
    <row r="2563" spans="1:5" x14ac:dyDescent="0.3">
      <c r="A2563" s="8">
        <v>72</v>
      </c>
      <c r="B2563" s="8">
        <v>6</v>
      </c>
      <c r="C2563" s="8">
        <v>3576</v>
      </c>
      <c r="D2563" s="16">
        <v>1.2789150000000001E-2</v>
      </c>
      <c r="E2563">
        <v>6.3945750000000004E-3</v>
      </c>
    </row>
    <row r="2564" spans="1:5" x14ac:dyDescent="0.3">
      <c r="A2564" s="8">
        <v>72</v>
      </c>
      <c r="B2564" s="8">
        <v>7</v>
      </c>
      <c r="C2564" s="8">
        <v>3549</v>
      </c>
      <c r="D2564" s="16">
        <v>-1.566702E-2</v>
      </c>
      <c r="E2564">
        <v>-7.8335100000000001E-3</v>
      </c>
    </row>
    <row r="2565" spans="1:5" x14ac:dyDescent="0.3">
      <c r="A2565" s="8">
        <v>72</v>
      </c>
      <c r="B2565" s="8">
        <v>8</v>
      </c>
      <c r="C2565" s="8">
        <v>3581</v>
      </c>
      <c r="D2565" s="16">
        <v>-4.364494E-2</v>
      </c>
      <c r="E2565">
        <v>-2.182247E-2</v>
      </c>
    </row>
    <row r="2566" spans="1:5" x14ac:dyDescent="0.3">
      <c r="A2566" s="8">
        <v>72</v>
      </c>
      <c r="B2566" s="8">
        <v>9</v>
      </c>
      <c r="C2566" s="8">
        <v>3579</v>
      </c>
      <c r="D2566" s="16">
        <v>1.772849E-2</v>
      </c>
      <c r="E2566">
        <v>8.8642449999999998E-3</v>
      </c>
    </row>
    <row r="2567" spans="1:5" x14ac:dyDescent="0.3">
      <c r="A2567" s="8">
        <v>72</v>
      </c>
      <c r="B2567" s="8">
        <v>10</v>
      </c>
      <c r="C2567" s="8">
        <v>3575</v>
      </c>
      <c r="D2567" s="16">
        <v>2.177786E-2</v>
      </c>
      <c r="E2567">
        <v>1.088893E-2</v>
      </c>
    </row>
    <row r="2568" spans="1:5" x14ac:dyDescent="0.3">
      <c r="A2568" s="8">
        <v>72</v>
      </c>
      <c r="B2568" s="8">
        <v>11</v>
      </c>
      <c r="C2568" s="8">
        <v>3572</v>
      </c>
      <c r="D2568" s="16">
        <v>-2.4257569999999999E-2</v>
      </c>
      <c r="E2568">
        <v>-1.2128785E-2</v>
      </c>
    </row>
    <row r="2569" spans="1:5" x14ac:dyDescent="0.3">
      <c r="A2569" s="8">
        <v>72</v>
      </c>
      <c r="B2569" s="8">
        <v>12</v>
      </c>
      <c r="C2569" s="8">
        <v>3591</v>
      </c>
      <c r="D2569" s="16">
        <v>-9.961536E-3</v>
      </c>
      <c r="E2569">
        <v>-4.980768E-3</v>
      </c>
    </row>
    <row r="2570" spans="1:5" x14ac:dyDescent="0.3">
      <c r="A2570" s="8">
        <v>72</v>
      </c>
      <c r="B2570" s="8">
        <v>13</v>
      </c>
      <c r="C2570" s="8">
        <v>3570</v>
      </c>
      <c r="D2570" s="16">
        <v>-3.0095710000000001E-2</v>
      </c>
      <c r="E2570">
        <v>-1.5047855000000001E-2</v>
      </c>
    </row>
    <row r="2571" spans="1:5" x14ac:dyDescent="0.3">
      <c r="A2571" s="8">
        <v>72</v>
      </c>
      <c r="B2571" s="8">
        <v>14</v>
      </c>
      <c r="C2571" s="8">
        <v>3560</v>
      </c>
      <c r="D2571" s="16">
        <v>-5.162829E-2</v>
      </c>
      <c r="E2571">
        <v>-2.5814145E-2</v>
      </c>
    </row>
    <row r="2572" spans="1:5" x14ac:dyDescent="0.3">
      <c r="A2572" s="8">
        <v>72</v>
      </c>
      <c r="B2572" s="8">
        <v>15</v>
      </c>
      <c r="C2572" s="8">
        <v>3583</v>
      </c>
      <c r="D2572" s="16">
        <v>-2.8064740000000001E-2</v>
      </c>
      <c r="E2572">
        <v>-1.4032370000000001E-2</v>
      </c>
    </row>
    <row r="2573" spans="1:5" x14ac:dyDescent="0.3">
      <c r="A2573" s="8">
        <v>72</v>
      </c>
      <c r="B2573" s="8">
        <v>16</v>
      </c>
      <c r="C2573" s="8">
        <v>3564</v>
      </c>
      <c r="D2573" s="16">
        <v>-8.292347E-4</v>
      </c>
      <c r="E2573">
        <v>-4.1461735E-4</v>
      </c>
    </row>
    <row r="2574" spans="1:5" x14ac:dyDescent="0.3">
      <c r="A2574" s="8">
        <v>72</v>
      </c>
      <c r="B2574" s="8">
        <v>17</v>
      </c>
      <c r="C2574" s="8">
        <v>3568</v>
      </c>
      <c r="D2574" s="16">
        <v>3.3742250000000001E-2</v>
      </c>
      <c r="E2574">
        <v>1.6871125000000001E-2</v>
      </c>
    </row>
    <row r="2575" spans="1:5" x14ac:dyDescent="0.3">
      <c r="A2575" s="8">
        <v>72</v>
      </c>
      <c r="B2575" s="8">
        <v>18</v>
      </c>
      <c r="C2575" s="8">
        <v>3580</v>
      </c>
      <c r="D2575" s="16">
        <v>1.6196059999999999E-4</v>
      </c>
      <c r="E2575">
        <v>8.0980299999999994E-5</v>
      </c>
    </row>
    <row r="2576" spans="1:5" x14ac:dyDescent="0.3">
      <c r="A2576" s="8">
        <v>72</v>
      </c>
      <c r="B2576" s="8">
        <v>19</v>
      </c>
      <c r="C2576" s="8">
        <v>3544</v>
      </c>
      <c r="D2576" s="16">
        <v>1.7470699999999999E-2</v>
      </c>
      <c r="E2576">
        <v>8.7353499999999994E-3</v>
      </c>
    </row>
    <row r="2577" spans="1:5" x14ac:dyDescent="0.3">
      <c r="A2577" s="8">
        <v>72</v>
      </c>
      <c r="B2577" s="8">
        <v>20</v>
      </c>
      <c r="C2577" s="8">
        <v>3552</v>
      </c>
      <c r="D2577" s="16">
        <v>-1.324784E-2</v>
      </c>
      <c r="E2577">
        <v>-6.6239200000000002E-3</v>
      </c>
    </row>
    <row r="2578" spans="1:5" x14ac:dyDescent="0.3">
      <c r="A2578" s="8">
        <v>72</v>
      </c>
      <c r="B2578" s="8">
        <v>21</v>
      </c>
      <c r="C2578" s="8">
        <v>3605</v>
      </c>
      <c r="D2578" s="16">
        <v>-2.213E-2</v>
      </c>
      <c r="E2578">
        <v>-1.1065E-2</v>
      </c>
    </row>
    <row r="2579" spans="1:5" x14ac:dyDescent="0.3">
      <c r="A2579" s="8">
        <v>72</v>
      </c>
      <c r="B2579" s="8">
        <v>22</v>
      </c>
      <c r="C2579" s="8">
        <v>3565</v>
      </c>
      <c r="D2579" s="16">
        <v>-2.9597999999999999E-2</v>
      </c>
      <c r="E2579">
        <v>-1.4799E-2</v>
      </c>
    </row>
    <row r="2580" spans="1:5" x14ac:dyDescent="0.3">
      <c r="A2580" s="8">
        <v>72</v>
      </c>
      <c r="B2580" s="8">
        <v>23</v>
      </c>
      <c r="C2580" s="8">
        <v>3563</v>
      </c>
      <c r="D2580" s="16">
        <v>-4.2668119999999997E-2</v>
      </c>
      <c r="E2580">
        <v>-2.1334059999999998E-2</v>
      </c>
    </row>
    <row r="2581" spans="1:5" x14ac:dyDescent="0.3">
      <c r="A2581" s="8">
        <v>72</v>
      </c>
      <c r="B2581" s="8">
        <v>24</v>
      </c>
      <c r="C2581" s="8">
        <v>3595</v>
      </c>
      <c r="D2581" s="16">
        <v>-3.1657650000000002E-2</v>
      </c>
      <c r="E2581">
        <v>-1.5828825000000001E-2</v>
      </c>
    </row>
    <row r="2582" spans="1:5" x14ac:dyDescent="0.3">
      <c r="A2582" s="8">
        <v>72</v>
      </c>
      <c r="B2582" s="8">
        <v>25</v>
      </c>
      <c r="C2582" s="8">
        <v>3549</v>
      </c>
      <c r="D2582" s="16">
        <v>-9.6430460000000006E-3</v>
      </c>
      <c r="E2582">
        <v>-4.8215230000000003E-3</v>
      </c>
    </row>
    <row r="2583" spans="1:5" x14ac:dyDescent="0.3">
      <c r="A2583" s="8">
        <v>72</v>
      </c>
      <c r="B2583" s="8">
        <v>26</v>
      </c>
      <c r="C2583" s="8">
        <v>3597</v>
      </c>
      <c r="D2583" s="16">
        <v>-2.2537539999999998E-2</v>
      </c>
      <c r="E2583">
        <v>-1.1268769999999999E-2</v>
      </c>
    </row>
    <row r="2584" spans="1:5" x14ac:dyDescent="0.3">
      <c r="A2584" s="8">
        <v>72</v>
      </c>
      <c r="B2584" s="8">
        <v>27</v>
      </c>
      <c r="C2584" s="8">
        <v>3551</v>
      </c>
      <c r="D2584" s="16">
        <v>-3.0297459999999998E-2</v>
      </c>
      <c r="E2584">
        <v>-1.5148729999999999E-2</v>
      </c>
    </row>
    <row r="2585" spans="1:5" x14ac:dyDescent="0.3">
      <c r="A2585" s="8">
        <v>72</v>
      </c>
      <c r="B2585" s="8">
        <v>28</v>
      </c>
      <c r="C2585" s="8">
        <v>3524</v>
      </c>
      <c r="D2585" s="16">
        <v>1.6783289999999999E-2</v>
      </c>
      <c r="E2585">
        <v>8.3916449999999997E-3</v>
      </c>
    </row>
    <row r="2586" spans="1:5" x14ac:dyDescent="0.3">
      <c r="A2586" s="8">
        <v>72</v>
      </c>
      <c r="B2586" s="8">
        <v>29</v>
      </c>
      <c r="C2586" s="8">
        <v>3539</v>
      </c>
      <c r="D2586" s="16">
        <v>3.0788050000000001E-2</v>
      </c>
      <c r="E2586">
        <v>1.5394025E-2</v>
      </c>
    </row>
    <row r="2587" spans="1:5" x14ac:dyDescent="0.3">
      <c r="A2587" s="8">
        <v>72</v>
      </c>
      <c r="B2587" s="8">
        <v>30</v>
      </c>
      <c r="C2587" s="8">
        <v>3545</v>
      </c>
      <c r="D2587" s="16">
        <v>3.8244930000000003E-2</v>
      </c>
      <c r="E2587">
        <v>1.9122465000000002E-2</v>
      </c>
    </row>
    <row r="2588" spans="1:5" x14ac:dyDescent="0.3">
      <c r="A2588" s="8">
        <v>72</v>
      </c>
      <c r="B2588" s="8">
        <v>31</v>
      </c>
      <c r="C2588" s="8">
        <v>3491</v>
      </c>
      <c r="D2588" s="16">
        <v>3.0930879999999999E-3</v>
      </c>
      <c r="E2588">
        <v>1.546544E-3</v>
      </c>
    </row>
    <row r="2589" spans="1:5" x14ac:dyDescent="0.3">
      <c r="A2589" s="8">
        <v>72</v>
      </c>
      <c r="B2589" s="8">
        <v>32</v>
      </c>
      <c r="C2589" s="8">
        <v>3545</v>
      </c>
      <c r="D2589" s="16">
        <v>-6.3215340000000002E-3</v>
      </c>
      <c r="E2589">
        <v>-3.1607670000000001E-3</v>
      </c>
    </row>
    <row r="2590" spans="1:5" x14ac:dyDescent="0.3">
      <c r="A2590" s="8">
        <v>72</v>
      </c>
      <c r="B2590" s="8">
        <v>33</v>
      </c>
      <c r="C2590" s="8">
        <v>3591</v>
      </c>
      <c r="D2590" s="16">
        <v>-1.914298E-2</v>
      </c>
      <c r="E2590">
        <v>-9.5714900000000002E-3</v>
      </c>
    </row>
    <row r="2591" spans="1:5" x14ac:dyDescent="0.3">
      <c r="A2591" s="8">
        <v>72</v>
      </c>
      <c r="B2591" s="8">
        <v>34</v>
      </c>
      <c r="C2591" s="8">
        <v>3587</v>
      </c>
      <c r="D2591" s="16">
        <v>-1.4898E-2</v>
      </c>
      <c r="E2591">
        <v>-7.4489999999999999E-3</v>
      </c>
    </row>
    <row r="2592" spans="1:5" x14ac:dyDescent="0.3">
      <c r="A2592" s="8">
        <v>72</v>
      </c>
      <c r="B2592" s="8">
        <v>35</v>
      </c>
      <c r="C2592" s="8">
        <v>3566</v>
      </c>
      <c r="D2592" s="16">
        <v>-9.8078120000000008E-3</v>
      </c>
      <c r="E2592">
        <v>-4.9039060000000004E-3</v>
      </c>
    </row>
    <row r="2593" spans="1:5" x14ac:dyDescent="0.3">
      <c r="A2593" s="8">
        <v>72</v>
      </c>
      <c r="B2593" s="8">
        <v>36</v>
      </c>
      <c r="C2593" s="8">
        <v>3565</v>
      </c>
      <c r="D2593" s="16">
        <v>-1.340733E-2</v>
      </c>
      <c r="E2593">
        <v>-6.7036650000000001E-3</v>
      </c>
    </row>
    <row r="2594" spans="1:5" x14ac:dyDescent="0.3">
      <c r="A2594" s="8">
        <v>72</v>
      </c>
      <c r="B2594" s="8">
        <v>37</v>
      </c>
      <c r="C2594" s="8">
        <v>3521</v>
      </c>
      <c r="D2594" s="16">
        <v>-2.6985459999999999E-2</v>
      </c>
      <c r="E2594">
        <v>-1.349273E-2</v>
      </c>
    </row>
    <row r="2595" spans="1:5" x14ac:dyDescent="0.3">
      <c r="A2595" s="8">
        <v>72</v>
      </c>
      <c r="B2595" s="8">
        <v>38</v>
      </c>
      <c r="C2595" s="8">
        <v>3593</v>
      </c>
      <c r="D2595" s="16">
        <v>4.9044240000000001E-3</v>
      </c>
      <c r="E2595">
        <v>2.4522120000000001E-3</v>
      </c>
    </row>
    <row r="2596" spans="1:5" x14ac:dyDescent="0.3">
      <c r="A2596" s="8">
        <v>72</v>
      </c>
      <c r="B2596" s="8">
        <v>39</v>
      </c>
      <c r="C2596" s="8">
        <v>3569</v>
      </c>
      <c r="D2596" s="16">
        <v>-3.9269409999999998E-2</v>
      </c>
      <c r="E2596">
        <v>-1.9634704999999999E-2</v>
      </c>
    </row>
    <row r="2597" spans="1:5" x14ac:dyDescent="0.3">
      <c r="A2597" s="8">
        <v>72</v>
      </c>
      <c r="B2597" s="8">
        <v>40</v>
      </c>
      <c r="C2597" s="8">
        <v>3582</v>
      </c>
      <c r="D2597" s="16">
        <v>1.284647E-2</v>
      </c>
      <c r="E2597">
        <v>6.4232350000000002E-3</v>
      </c>
    </row>
    <row r="2598" spans="1:5" x14ac:dyDescent="0.3">
      <c r="A2598" s="8">
        <v>72</v>
      </c>
      <c r="B2598" s="8">
        <v>41</v>
      </c>
      <c r="C2598" s="8">
        <v>3534</v>
      </c>
      <c r="D2598" s="16">
        <v>-1.082581E-2</v>
      </c>
      <c r="E2598">
        <v>-5.412905E-3</v>
      </c>
    </row>
    <row r="2599" spans="1:5" x14ac:dyDescent="0.3">
      <c r="A2599" s="8">
        <v>72</v>
      </c>
      <c r="B2599" s="8">
        <v>42</v>
      </c>
      <c r="C2599" s="8">
        <v>3575</v>
      </c>
      <c r="D2599" s="16">
        <v>-1.6193220000000001E-2</v>
      </c>
      <c r="E2599">
        <v>-8.0966100000000006E-3</v>
      </c>
    </row>
    <row r="2600" spans="1:5" x14ac:dyDescent="0.3">
      <c r="A2600" s="8">
        <v>72</v>
      </c>
      <c r="B2600" s="8">
        <v>43</v>
      </c>
      <c r="C2600" s="8">
        <v>3543</v>
      </c>
      <c r="D2600" s="16">
        <v>1.636164E-2</v>
      </c>
      <c r="E2600">
        <v>8.1808200000000001E-3</v>
      </c>
    </row>
    <row r="2601" spans="1:5" x14ac:dyDescent="0.3">
      <c r="A2601" s="8">
        <v>72</v>
      </c>
      <c r="B2601" s="8">
        <v>44</v>
      </c>
      <c r="C2601" s="8">
        <v>3533</v>
      </c>
      <c r="D2601" s="16">
        <v>2.8169309999999999E-2</v>
      </c>
      <c r="E2601">
        <v>1.4084655E-2</v>
      </c>
    </row>
    <row r="2602" spans="1:5" x14ac:dyDescent="0.3">
      <c r="A2602" s="8">
        <v>72</v>
      </c>
      <c r="B2602" s="8">
        <v>45</v>
      </c>
      <c r="C2602" s="8">
        <v>3579</v>
      </c>
      <c r="D2602" s="16">
        <v>-1.7454480000000001E-2</v>
      </c>
      <c r="E2602">
        <v>-8.7272400000000007E-3</v>
      </c>
    </row>
    <row r="2603" spans="1:5" x14ac:dyDescent="0.3">
      <c r="A2603" s="8">
        <v>72</v>
      </c>
      <c r="B2603" s="8">
        <v>46</v>
      </c>
      <c r="C2603" s="8">
        <v>3577</v>
      </c>
      <c r="D2603" s="16">
        <v>-3.201992E-2</v>
      </c>
      <c r="E2603">
        <v>-1.600996E-2</v>
      </c>
    </row>
    <row r="2604" spans="1:5" x14ac:dyDescent="0.3">
      <c r="A2604" s="8">
        <v>72</v>
      </c>
      <c r="B2604" s="8">
        <v>47</v>
      </c>
      <c r="C2604" s="8">
        <v>3580</v>
      </c>
      <c r="D2604" s="16">
        <v>-4.4708600000000001E-2</v>
      </c>
      <c r="E2604">
        <v>-2.2354300000000001E-2</v>
      </c>
    </row>
    <row r="2605" spans="1:5" x14ac:dyDescent="0.3">
      <c r="A2605" s="8">
        <v>72</v>
      </c>
      <c r="B2605" s="8">
        <v>48</v>
      </c>
      <c r="C2605" s="8">
        <v>3550</v>
      </c>
      <c r="D2605" s="16">
        <v>-2.202819E-2</v>
      </c>
      <c r="E2605">
        <v>-1.1014095E-2</v>
      </c>
    </row>
    <row r="2606" spans="1:5" x14ac:dyDescent="0.3">
      <c r="A2606" s="8">
        <v>72</v>
      </c>
      <c r="B2606" s="8">
        <v>49</v>
      </c>
      <c r="C2606" s="8">
        <v>3561</v>
      </c>
      <c r="D2606" s="16">
        <v>-3.1726799999999999E-2</v>
      </c>
      <c r="E2606">
        <v>-1.58634E-2</v>
      </c>
    </row>
    <row r="2607" spans="1:5" x14ac:dyDescent="0.3">
      <c r="A2607" s="8">
        <v>72</v>
      </c>
      <c r="B2607" s="8">
        <v>50</v>
      </c>
      <c r="C2607" s="8">
        <v>3579</v>
      </c>
      <c r="D2607" s="16">
        <v>-1.7687950000000001E-2</v>
      </c>
      <c r="E2607">
        <v>-8.8439750000000004E-3</v>
      </c>
    </row>
    <row r="2608" spans="1:5" x14ac:dyDescent="0.3">
      <c r="A2608" s="8">
        <v>72</v>
      </c>
      <c r="B2608" s="8">
        <v>51</v>
      </c>
      <c r="C2608" s="8">
        <v>3553</v>
      </c>
      <c r="D2608" s="16">
        <v>2.600877E-2</v>
      </c>
      <c r="E2608">
        <v>1.3004385E-2</v>
      </c>
    </row>
    <row r="2609" spans="1:5" x14ac:dyDescent="0.3">
      <c r="A2609" s="8">
        <v>72</v>
      </c>
      <c r="B2609" s="8">
        <v>52</v>
      </c>
      <c r="C2609" s="8">
        <v>3552</v>
      </c>
      <c r="D2609" s="16">
        <v>-4.7461700000000002E-2</v>
      </c>
      <c r="E2609">
        <v>-2.3730850000000001E-2</v>
      </c>
    </row>
    <row r="2610" spans="1:5" x14ac:dyDescent="0.3">
      <c r="A2610" s="8">
        <v>72</v>
      </c>
      <c r="B2610" s="8">
        <v>53</v>
      </c>
      <c r="C2610" s="8">
        <v>3573</v>
      </c>
      <c r="D2610" s="16">
        <v>7.2063659999999996E-3</v>
      </c>
      <c r="E2610">
        <v>3.6031829999999998E-3</v>
      </c>
    </row>
    <row r="2611" spans="1:5" x14ac:dyDescent="0.3">
      <c r="A2611" s="8">
        <v>72</v>
      </c>
      <c r="B2611" s="8">
        <v>54</v>
      </c>
      <c r="C2611" s="8">
        <v>3543</v>
      </c>
      <c r="D2611" s="16">
        <v>-2.7680409999999999E-2</v>
      </c>
      <c r="E2611">
        <v>-1.3840205E-2</v>
      </c>
    </row>
    <row r="2612" spans="1:5" x14ac:dyDescent="0.3">
      <c r="A2612" s="8">
        <v>72</v>
      </c>
      <c r="B2612" s="8">
        <v>55</v>
      </c>
      <c r="C2612" s="8">
        <v>3568</v>
      </c>
      <c r="D2612" s="16">
        <v>-6.4122780000000004E-3</v>
      </c>
      <c r="E2612">
        <v>-3.2061390000000002E-3</v>
      </c>
    </row>
    <row r="2613" spans="1:5" x14ac:dyDescent="0.3">
      <c r="A2613" s="8">
        <v>72</v>
      </c>
      <c r="B2613" s="8">
        <v>56</v>
      </c>
      <c r="C2613" s="8">
        <v>3586</v>
      </c>
      <c r="D2613" s="16">
        <v>-1.6370880000000001E-2</v>
      </c>
      <c r="E2613">
        <v>-8.1854400000000004E-3</v>
      </c>
    </row>
    <row r="2614" spans="1:5" x14ac:dyDescent="0.3">
      <c r="A2614" s="8">
        <v>72</v>
      </c>
      <c r="B2614" s="8">
        <v>57</v>
      </c>
      <c r="C2614" s="8">
        <v>3599</v>
      </c>
      <c r="D2614" s="16">
        <v>-5.3915690000000002E-2</v>
      </c>
      <c r="E2614">
        <v>-2.6957845000000001E-2</v>
      </c>
    </row>
    <row r="2615" spans="1:5" x14ac:dyDescent="0.3">
      <c r="A2615" s="8">
        <v>72</v>
      </c>
      <c r="B2615" s="8">
        <v>58</v>
      </c>
      <c r="C2615" s="8">
        <v>3579</v>
      </c>
      <c r="D2615" s="16">
        <v>-2.7400440000000002E-2</v>
      </c>
      <c r="E2615">
        <v>-1.3700220000000001E-2</v>
      </c>
    </row>
    <row r="2616" spans="1:5" x14ac:dyDescent="0.3">
      <c r="A2616" s="8">
        <v>72</v>
      </c>
      <c r="B2616" s="8">
        <v>59</v>
      </c>
      <c r="C2616" s="8">
        <v>3592</v>
      </c>
      <c r="D2616" s="16">
        <v>-1.575325E-2</v>
      </c>
      <c r="E2616">
        <v>-7.8766249999999999E-3</v>
      </c>
    </row>
    <row r="2617" spans="1:5" x14ac:dyDescent="0.3">
      <c r="A2617" s="8">
        <v>72</v>
      </c>
      <c r="B2617" s="8">
        <v>60</v>
      </c>
      <c r="C2617" s="8">
        <v>3567</v>
      </c>
      <c r="D2617" s="16">
        <v>-1.7540219999999999E-2</v>
      </c>
      <c r="E2617">
        <v>-8.7701099999999994E-3</v>
      </c>
    </row>
    <row r="2618" spans="1:5" x14ac:dyDescent="0.3">
      <c r="A2618" s="8">
        <v>72</v>
      </c>
      <c r="B2618" s="8">
        <v>61</v>
      </c>
      <c r="C2618" s="8">
        <v>3572</v>
      </c>
      <c r="D2618" s="16">
        <v>-1.5972E-2</v>
      </c>
      <c r="E2618">
        <v>-7.986E-3</v>
      </c>
    </row>
    <row r="2619" spans="1:5" x14ac:dyDescent="0.3">
      <c r="A2619" s="8">
        <v>72</v>
      </c>
      <c r="B2619" s="8">
        <v>62</v>
      </c>
      <c r="C2619" s="8">
        <v>3591</v>
      </c>
      <c r="D2619" s="16">
        <v>-2.9784970000000001E-2</v>
      </c>
      <c r="E2619">
        <v>-1.4892485E-2</v>
      </c>
    </row>
    <row r="2620" spans="1:5" x14ac:dyDescent="0.3">
      <c r="A2620" s="8">
        <v>72</v>
      </c>
      <c r="B2620" s="8">
        <v>63</v>
      </c>
      <c r="C2620" s="8">
        <v>3598</v>
      </c>
      <c r="D2620" s="16">
        <v>-3.4999929999999999E-2</v>
      </c>
      <c r="E2620">
        <v>-1.7499964999999999E-2</v>
      </c>
    </row>
    <row r="2621" spans="1:5" x14ac:dyDescent="0.3">
      <c r="A2621" s="8">
        <v>72</v>
      </c>
      <c r="B2621" s="8">
        <v>64</v>
      </c>
      <c r="C2621" s="8">
        <v>3560</v>
      </c>
      <c r="D2621" s="16">
        <v>-5.5883620000000002E-2</v>
      </c>
      <c r="E2621">
        <v>-2.7941810000000001E-2</v>
      </c>
    </row>
    <row r="2622" spans="1:5" x14ac:dyDescent="0.3">
      <c r="A2622" s="8">
        <v>72</v>
      </c>
      <c r="B2622" s="8">
        <v>65</v>
      </c>
      <c r="C2622" s="8">
        <v>3595</v>
      </c>
      <c r="D2622" s="16">
        <v>-4.490417E-2</v>
      </c>
      <c r="E2622">
        <v>-2.2452085E-2</v>
      </c>
    </row>
    <row r="2623" spans="1:5" x14ac:dyDescent="0.3">
      <c r="A2623" s="8">
        <v>72</v>
      </c>
      <c r="B2623" s="8">
        <v>66</v>
      </c>
      <c r="C2623" s="8">
        <v>3579</v>
      </c>
      <c r="D2623" s="16">
        <v>-1.9511279999999999E-2</v>
      </c>
      <c r="E2623">
        <v>-9.7556399999999995E-3</v>
      </c>
    </row>
    <row r="2624" spans="1:5" x14ac:dyDescent="0.3">
      <c r="A2624" s="8">
        <v>72</v>
      </c>
      <c r="B2624" s="8">
        <v>67</v>
      </c>
      <c r="C2624" s="8">
        <v>3562</v>
      </c>
      <c r="D2624" s="16">
        <v>-1.5579330000000001E-3</v>
      </c>
      <c r="E2624">
        <v>-7.7896650000000003E-4</v>
      </c>
    </row>
    <row r="2625" spans="1:5" x14ac:dyDescent="0.3">
      <c r="A2625" s="8">
        <v>72</v>
      </c>
      <c r="B2625" s="8">
        <v>68</v>
      </c>
      <c r="C2625" s="8">
        <v>3546</v>
      </c>
      <c r="D2625" s="16">
        <v>1.883462E-2</v>
      </c>
      <c r="E2625">
        <v>9.4173099999999999E-3</v>
      </c>
    </row>
    <row r="2626" spans="1:5" x14ac:dyDescent="0.3">
      <c r="A2626" s="8">
        <v>72</v>
      </c>
      <c r="B2626" s="8">
        <v>69</v>
      </c>
      <c r="C2626" s="8">
        <v>3574</v>
      </c>
      <c r="D2626" s="16">
        <v>-2.7205969999999999E-2</v>
      </c>
      <c r="E2626">
        <v>-1.3602985E-2</v>
      </c>
    </row>
    <row r="2627" spans="1:5" x14ac:dyDescent="0.3">
      <c r="A2627" s="8">
        <v>72</v>
      </c>
      <c r="B2627" s="8">
        <v>70</v>
      </c>
      <c r="C2627" s="8">
        <v>3554</v>
      </c>
      <c r="D2627" s="16">
        <v>-1.299712E-3</v>
      </c>
      <c r="E2627">
        <v>-6.4985599999999998E-4</v>
      </c>
    </row>
    <row r="2628" spans="1:5" x14ac:dyDescent="0.3">
      <c r="A2628" s="8">
        <v>72</v>
      </c>
      <c r="B2628" s="8">
        <v>71</v>
      </c>
      <c r="C2628" s="8">
        <v>3551</v>
      </c>
      <c r="D2628" s="16">
        <v>6.3970179999999998E-5</v>
      </c>
      <c r="E2628">
        <v>3.1985089999999999E-5</v>
      </c>
    </row>
    <row r="2629" spans="1:5" x14ac:dyDescent="0.3">
      <c r="A2629" s="8">
        <v>72</v>
      </c>
      <c r="B2629" s="8">
        <v>72</v>
      </c>
      <c r="C2629" s="8">
        <v>3848</v>
      </c>
      <c r="D2629" s="16">
        <v>1.0498909999999999</v>
      </c>
      <c r="E2629"/>
    </row>
    <row r="2630" spans="1:5" x14ac:dyDescent="0.3">
      <c r="A2630" s="8">
        <v>73</v>
      </c>
      <c r="B2630" s="8">
        <v>1</v>
      </c>
      <c r="C2630" s="8">
        <v>3629</v>
      </c>
      <c r="D2630" s="16">
        <v>-1.5485840000000001E-2</v>
      </c>
      <c r="E2630">
        <v>-7.7429200000000004E-3</v>
      </c>
    </row>
    <row r="2631" spans="1:5" x14ac:dyDescent="0.3">
      <c r="A2631" s="8">
        <v>73</v>
      </c>
      <c r="B2631" s="8">
        <v>2</v>
      </c>
      <c r="C2631" s="8">
        <v>3608</v>
      </c>
      <c r="D2631" s="16">
        <v>-1.939575E-3</v>
      </c>
      <c r="E2631">
        <v>-9.6978750000000001E-4</v>
      </c>
    </row>
    <row r="2632" spans="1:5" x14ac:dyDescent="0.3">
      <c r="A2632" s="8">
        <v>73</v>
      </c>
      <c r="B2632" s="8">
        <v>3</v>
      </c>
      <c r="C2632" s="8">
        <v>3637</v>
      </c>
      <c r="D2632" s="16">
        <v>7.8782369999999997E-3</v>
      </c>
      <c r="E2632">
        <v>3.9391184999999999E-3</v>
      </c>
    </row>
    <row r="2633" spans="1:5" x14ac:dyDescent="0.3">
      <c r="A2633" s="8">
        <v>73</v>
      </c>
      <c r="B2633" s="8">
        <v>4</v>
      </c>
      <c r="C2633" s="8">
        <v>3578</v>
      </c>
      <c r="D2633" s="16">
        <v>-4.0538770000000002E-2</v>
      </c>
      <c r="E2633">
        <v>-2.0269385000000001E-2</v>
      </c>
    </row>
    <row r="2634" spans="1:5" x14ac:dyDescent="0.3">
      <c r="A2634" s="8">
        <v>73</v>
      </c>
      <c r="B2634" s="8">
        <v>5</v>
      </c>
      <c r="C2634" s="8">
        <v>3605</v>
      </c>
      <c r="D2634" s="16">
        <v>-3.893961E-2</v>
      </c>
      <c r="E2634">
        <v>-1.9469805E-2</v>
      </c>
    </row>
    <row r="2635" spans="1:5" x14ac:dyDescent="0.3">
      <c r="A2635" s="8">
        <v>73</v>
      </c>
      <c r="B2635" s="8">
        <v>6</v>
      </c>
      <c r="C2635" s="8">
        <v>3614</v>
      </c>
      <c r="D2635" s="16">
        <v>2.702806E-2</v>
      </c>
      <c r="E2635">
        <v>1.351403E-2</v>
      </c>
    </row>
    <row r="2636" spans="1:5" x14ac:dyDescent="0.3">
      <c r="A2636" s="8">
        <v>73</v>
      </c>
      <c r="B2636" s="8">
        <v>7</v>
      </c>
      <c r="C2636" s="8">
        <v>3586</v>
      </c>
      <c r="D2636" s="16">
        <v>2.222464E-2</v>
      </c>
      <c r="E2636">
        <v>1.111232E-2</v>
      </c>
    </row>
    <row r="2637" spans="1:5" x14ac:dyDescent="0.3">
      <c r="A2637" s="8">
        <v>73</v>
      </c>
      <c r="B2637" s="8">
        <v>8</v>
      </c>
      <c r="C2637" s="8">
        <v>3608</v>
      </c>
      <c r="D2637" s="16">
        <v>-4.3695600000000001E-2</v>
      </c>
      <c r="E2637">
        <v>-2.1847800000000001E-2</v>
      </c>
    </row>
    <row r="2638" spans="1:5" x14ac:dyDescent="0.3">
      <c r="A2638" s="8">
        <v>73</v>
      </c>
      <c r="B2638" s="8">
        <v>9</v>
      </c>
      <c r="C2638" s="8">
        <v>3619</v>
      </c>
      <c r="D2638" s="16">
        <v>4.7446929999999998E-2</v>
      </c>
      <c r="E2638">
        <v>2.3723464999999999E-2</v>
      </c>
    </row>
    <row r="2639" spans="1:5" x14ac:dyDescent="0.3">
      <c r="A2639" s="8">
        <v>73</v>
      </c>
      <c r="B2639" s="8">
        <v>10</v>
      </c>
      <c r="C2639" s="8">
        <v>3615</v>
      </c>
      <c r="D2639" s="16">
        <v>2.5561479999999998E-3</v>
      </c>
      <c r="E2639">
        <v>1.2780739999999999E-3</v>
      </c>
    </row>
    <row r="2640" spans="1:5" x14ac:dyDescent="0.3">
      <c r="A2640" s="8">
        <v>73</v>
      </c>
      <c r="B2640" s="8">
        <v>11</v>
      </c>
      <c r="C2640" s="8">
        <v>3606</v>
      </c>
      <c r="D2640" s="16">
        <v>-6.6394610000000001E-3</v>
      </c>
      <c r="E2640">
        <v>-3.3197305000000001E-3</v>
      </c>
    </row>
    <row r="2641" spans="1:5" x14ac:dyDescent="0.3">
      <c r="A2641" s="8">
        <v>73</v>
      </c>
      <c r="B2641" s="8">
        <v>12</v>
      </c>
      <c r="C2641" s="8">
        <v>3616</v>
      </c>
      <c r="D2641" s="16">
        <v>-2.7768710000000002E-3</v>
      </c>
      <c r="E2641">
        <v>-1.3884355000000001E-3</v>
      </c>
    </row>
    <row r="2642" spans="1:5" x14ac:dyDescent="0.3">
      <c r="A2642" s="8">
        <v>73</v>
      </c>
      <c r="B2642" s="8">
        <v>13</v>
      </c>
      <c r="C2642" s="8">
        <v>3617</v>
      </c>
      <c r="D2642" s="16">
        <v>-2.7065829999999999E-2</v>
      </c>
      <c r="E2642">
        <v>-1.3532915E-2</v>
      </c>
    </row>
    <row r="2643" spans="1:5" x14ac:dyDescent="0.3">
      <c r="A2643" s="8">
        <v>73</v>
      </c>
      <c r="B2643" s="8">
        <v>14</v>
      </c>
      <c r="C2643" s="8">
        <v>3609</v>
      </c>
      <c r="D2643" s="16">
        <v>-2.663478E-2</v>
      </c>
      <c r="E2643">
        <v>-1.331739E-2</v>
      </c>
    </row>
    <row r="2644" spans="1:5" x14ac:dyDescent="0.3">
      <c r="A2644" s="8">
        <v>73</v>
      </c>
      <c r="B2644" s="8">
        <v>15</v>
      </c>
      <c r="C2644" s="8">
        <v>3623</v>
      </c>
      <c r="D2644" s="16">
        <v>-1.611166E-2</v>
      </c>
      <c r="E2644">
        <v>-8.0558299999999999E-3</v>
      </c>
    </row>
    <row r="2645" spans="1:5" x14ac:dyDescent="0.3">
      <c r="A2645" s="8">
        <v>73</v>
      </c>
      <c r="B2645" s="8">
        <v>16</v>
      </c>
      <c r="C2645" s="8">
        <v>3601</v>
      </c>
      <c r="D2645" s="16">
        <v>-8.0205629999999997E-3</v>
      </c>
      <c r="E2645">
        <v>-4.0102814999999998E-3</v>
      </c>
    </row>
    <row r="2646" spans="1:5" x14ac:dyDescent="0.3">
      <c r="A2646" s="8">
        <v>73</v>
      </c>
      <c r="B2646" s="8">
        <v>17</v>
      </c>
      <c r="C2646" s="8">
        <v>3616</v>
      </c>
      <c r="D2646" s="16">
        <v>2.1985520000000001E-2</v>
      </c>
      <c r="E2646">
        <v>1.0992760000000001E-2</v>
      </c>
    </row>
    <row r="2647" spans="1:5" x14ac:dyDescent="0.3">
      <c r="A2647" s="8">
        <v>73</v>
      </c>
      <c r="B2647" s="8">
        <v>18</v>
      </c>
      <c r="C2647" s="8">
        <v>3614</v>
      </c>
      <c r="D2647" s="16">
        <v>-2.1706449999999999E-2</v>
      </c>
      <c r="E2647">
        <v>-1.0853224999999999E-2</v>
      </c>
    </row>
    <row r="2648" spans="1:5" x14ac:dyDescent="0.3">
      <c r="A2648" s="8">
        <v>73</v>
      </c>
      <c r="B2648" s="8">
        <v>19</v>
      </c>
      <c r="C2648" s="8">
        <v>3572</v>
      </c>
      <c r="D2648" s="16">
        <v>-3.4766930000000001E-2</v>
      </c>
      <c r="E2648">
        <v>-1.7383465000000001E-2</v>
      </c>
    </row>
    <row r="2649" spans="1:5" x14ac:dyDescent="0.3">
      <c r="A2649" s="8">
        <v>73</v>
      </c>
      <c r="B2649" s="8">
        <v>20</v>
      </c>
      <c r="C2649" s="8">
        <v>3583</v>
      </c>
      <c r="D2649" s="16">
        <v>1.5788699999999999E-2</v>
      </c>
      <c r="E2649">
        <v>7.8943499999999996E-3</v>
      </c>
    </row>
    <row r="2650" spans="1:5" x14ac:dyDescent="0.3">
      <c r="A2650" s="8">
        <v>73</v>
      </c>
      <c r="B2650" s="8">
        <v>21</v>
      </c>
      <c r="C2650" s="8">
        <v>3639</v>
      </c>
      <c r="D2650" s="16">
        <v>2.9021519999999999E-3</v>
      </c>
      <c r="E2650">
        <v>1.4510759999999999E-3</v>
      </c>
    </row>
    <row r="2651" spans="1:5" x14ac:dyDescent="0.3">
      <c r="A2651" s="8">
        <v>73</v>
      </c>
      <c r="B2651" s="8">
        <v>22</v>
      </c>
      <c r="C2651" s="8">
        <v>3597</v>
      </c>
      <c r="D2651" s="16">
        <v>-1.1643300000000001E-2</v>
      </c>
      <c r="E2651">
        <v>-5.8216500000000003E-3</v>
      </c>
    </row>
    <row r="2652" spans="1:5" x14ac:dyDescent="0.3">
      <c r="A2652" s="8">
        <v>73</v>
      </c>
      <c r="B2652" s="8">
        <v>23</v>
      </c>
      <c r="C2652" s="8">
        <v>3603</v>
      </c>
      <c r="D2652" s="16">
        <v>-1.318192E-2</v>
      </c>
      <c r="E2652">
        <v>-6.5909599999999999E-3</v>
      </c>
    </row>
    <row r="2653" spans="1:5" x14ac:dyDescent="0.3">
      <c r="A2653" s="8">
        <v>73</v>
      </c>
      <c r="B2653" s="8">
        <v>24</v>
      </c>
      <c r="C2653" s="8">
        <v>3629</v>
      </c>
      <c r="D2653" s="16">
        <v>4.9776710000000001E-4</v>
      </c>
      <c r="E2653">
        <v>2.4888355000000001E-4</v>
      </c>
    </row>
    <row r="2654" spans="1:5" x14ac:dyDescent="0.3">
      <c r="A2654" s="8">
        <v>73</v>
      </c>
      <c r="B2654" s="8">
        <v>25</v>
      </c>
      <c r="C2654" s="8">
        <v>3598</v>
      </c>
      <c r="D2654" s="16">
        <v>2.8431769999999999E-2</v>
      </c>
      <c r="E2654">
        <v>1.4215884999999999E-2</v>
      </c>
    </row>
    <row r="2655" spans="1:5" x14ac:dyDescent="0.3">
      <c r="A2655" s="8">
        <v>73</v>
      </c>
      <c r="B2655" s="8">
        <v>26</v>
      </c>
      <c r="C2655" s="8">
        <v>3622</v>
      </c>
      <c r="D2655" s="16">
        <v>-8.1468089999999996E-3</v>
      </c>
      <c r="E2655">
        <v>-4.0734044999999998E-3</v>
      </c>
    </row>
    <row r="2656" spans="1:5" x14ac:dyDescent="0.3">
      <c r="A2656" s="8">
        <v>73</v>
      </c>
      <c r="B2656" s="8">
        <v>27</v>
      </c>
      <c r="C2656" s="8">
        <v>3588</v>
      </c>
      <c r="D2656" s="16">
        <v>-7.8884509999999994E-3</v>
      </c>
      <c r="E2656">
        <v>-3.9442254999999997E-3</v>
      </c>
    </row>
    <row r="2657" spans="1:5" x14ac:dyDescent="0.3">
      <c r="A2657" s="8">
        <v>73</v>
      </c>
      <c r="B2657" s="8">
        <v>28</v>
      </c>
      <c r="C2657" s="8">
        <v>3552</v>
      </c>
      <c r="D2657" s="16">
        <v>-1.131237E-2</v>
      </c>
      <c r="E2657">
        <v>-5.6561850000000002E-3</v>
      </c>
    </row>
    <row r="2658" spans="1:5" x14ac:dyDescent="0.3">
      <c r="A2658" s="8">
        <v>73</v>
      </c>
      <c r="B2658" s="8">
        <v>29</v>
      </c>
      <c r="C2658" s="8">
        <v>3577</v>
      </c>
      <c r="D2658" s="16">
        <v>7.0148820000000001E-3</v>
      </c>
      <c r="E2658">
        <v>3.507441E-3</v>
      </c>
    </row>
    <row r="2659" spans="1:5" x14ac:dyDescent="0.3">
      <c r="A2659" s="8">
        <v>73</v>
      </c>
      <c r="B2659" s="8">
        <v>30</v>
      </c>
      <c r="C2659" s="8">
        <v>3571</v>
      </c>
      <c r="D2659" s="16">
        <v>-1.068502E-2</v>
      </c>
      <c r="E2659">
        <v>-5.34251E-3</v>
      </c>
    </row>
    <row r="2660" spans="1:5" x14ac:dyDescent="0.3">
      <c r="A2660" s="8">
        <v>73</v>
      </c>
      <c r="B2660" s="8">
        <v>31</v>
      </c>
      <c r="C2660" s="8">
        <v>3517</v>
      </c>
      <c r="D2660" s="16">
        <v>-7.5290729999999998E-3</v>
      </c>
      <c r="E2660">
        <v>-3.7645364999999999E-3</v>
      </c>
    </row>
    <row r="2661" spans="1:5" x14ac:dyDescent="0.3">
      <c r="A2661" s="8">
        <v>73</v>
      </c>
      <c r="B2661" s="8">
        <v>32</v>
      </c>
      <c r="C2661" s="8">
        <v>3573</v>
      </c>
      <c r="D2661" s="16">
        <v>7.1846219999999997E-4</v>
      </c>
      <c r="E2661">
        <v>3.5923109999999998E-4</v>
      </c>
    </row>
    <row r="2662" spans="1:5" x14ac:dyDescent="0.3">
      <c r="A2662" s="8">
        <v>73</v>
      </c>
      <c r="B2662" s="8">
        <v>33</v>
      </c>
      <c r="C2662" s="8">
        <v>3627</v>
      </c>
      <c r="D2662" s="16">
        <v>-1.271628E-2</v>
      </c>
      <c r="E2662">
        <v>-6.35814E-3</v>
      </c>
    </row>
    <row r="2663" spans="1:5" x14ac:dyDescent="0.3">
      <c r="A2663" s="8">
        <v>73</v>
      </c>
      <c r="B2663" s="8">
        <v>34</v>
      </c>
      <c r="C2663" s="8">
        <v>3621</v>
      </c>
      <c r="D2663" s="16">
        <v>-2.016577E-2</v>
      </c>
      <c r="E2663">
        <v>-1.0082885E-2</v>
      </c>
    </row>
    <row r="2664" spans="1:5" x14ac:dyDescent="0.3">
      <c r="A2664" s="8">
        <v>73</v>
      </c>
      <c r="B2664" s="8">
        <v>35</v>
      </c>
      <c r="C2664" s="8">
        <v>3598</v>
      </c>
      <c r="D2664" s="16">
        <v>1.196387E-2</v>
      </c>
      <c r="E2664">
        <v>5.9819349999999999E-3</v>
      </c>
    </row>
    <row r="2665" spans="1:5" x14ac:dyDescent="0.3">
      <c r="A2665" s="8">
        <v>73</v>
      </c>
      <c r="B2665" s="8">
        <v>36</v>
      </c>
      <c r="C2665" s="8">
        <v>3596</v>
      </c>
      <c r="D2665" s="16">
        <v>-2.459124E-2</v>
      </c>
      <c r="E2665">
        <v>-1.229562E-2</v>
      </c>
    </row>
    <row r="2666" spans="1:5" x14ac:dyDescent="0.3">
      <c r="A2666" s="8">
        <v>73</v>
      </c>
      <c r="B2666" s="8">
        <v>37</v>
      </c>
      <c r="C2666" s="8">
        <v>3561</v>
      </c>
      <c r="D2666" s="16">
        <v>-4.9835570000000003E-2</v>
      </c>
      <c r="E2666">
        <v>-2.4917785000000001E-2</v>
      </c>
    </row>
    <row r="2667" spans="1:5" x14ac:dyDescent="0.3">
      <c r="A2667" s="8">
        <v>73</v>
      </c>
      <c r="B2667" s="8">
        <v>38</v>
      </c>
      <c r="C2667" s="8">
        <v>3615</v>
      </c>
      <c r="D2667" s="16">
        <v>-2.9028780000000001E-2</v>
      </c>
      <c r="E2667">
        <v>-1.451439E-2</v>
      </c>
    </row>
    <row r="2668" spans="1:5" x14ac:dyDescent="0.3">
      <c r="A2668" s="8">
        <v>73</v>
      </c>
      <c r="B2668" s="8">
        <v>39</v>
      </c>
      <c r="C2668" s="8">
        <v>3605</v>
      </c>
      <c r="D2668" s="16">
        <v>2.6828790000000002E-2</v>
      </c>
      <c r="E2668">
        <v>1.3414395000000001E-2</v>
      </c>
    </row>
    <row r="2669" spans="1:5" x14ac:dyDescent="0.3">
      <c r="A2669" s="8">
        <v>73</v>
      </c>
      <c r="B2669" s="8">
        <v>40</v>
      </c>
      <c r="C2669" s="8">
        <v>3622</v>
      </c>
      <c r="D2669" s="16">
        <v>7.4221820000000003E-3</v>
      </c>
      <c r="E2669">
        <v>3.7110910000000001E-3</v>
      </c>
    </row>
    <row r="2670" spans="1:5" x14ac:dyDescent="0.3">
      <c r="A2670" s="8">
        <v>73</v>
      </c>
      <c r="B2670" s="8">
        <v>41</v>
      </c>
      <c r="C2670" s="8">
        <v>3576</v>
      </c>
      <c r="D2670" s="16">
        <v>4.0317410000000001E-3</v>
      </c>
      <c r="E2670">
        <v>2.0158705000000001E-3</v>
      </c>
    </row>
    <row r="2671" spans="1:5" x14ac:dyDescent="0.3">
      <c r="A2671" s="8">
        <v>73</v>
      </c>
      <c r="B2671" s="8">
        <v>42</v>
      </c>
      <c r="C2671" s="8">
        <v>3595</v>
      </c>
      <c r="D2671" s="16">
        <v>-1.7431200000000001E-2</v>
      </c>
      <c r="E2671">
        <v>-8.7156000000000004E-3</v>
      </c>
    </row>
    <row r="2672" spans="1:5" x14ac:dyDescent="0.3">
      <c r="A2672" s="8">
        <v>73</v>
      </c>
      <c r="B2672" s="8">
        <v>43</v>
      </c>
      <c r="C2672" s="8">
        <v>3588</v>
      </c>
      <c r="D2672" s="16">
        <v>-2.4653359999999999E-2</v>
      </c>
      <c r="E2672">
        <v>-1.232668E-2</v>
      </c>
    </row>
    <row r="2673" spans="1:5" x14ac:dyDescent="0.3">
      <c r="A2673" s="8">
        <v>73</v>
      </c>
      <c r="B2673" s="8">
        <v>44</v>
      </c>
      <c r="C2673" s="8">
        <v>3567</v>
      </c>
      <c r="D2673" s="16">
        <v>-1.4529650000000001E-3</v>
      </c>
      <c r="E2673">
        <v>-7.2648250000000004E-4</v>
      </c>
    </row>
    <row r="2674" spans="1:5" x14ac:dyDescent="0.3">
      <c r="A2674" s="8">
        <v>73</v>
      </c>
      <c r="B2674" s="8">
        <v>45</v>
      </c>
      <c r="C2674" s="8">
        <v>3630</v>
      </c>
      <c r="D2674" s="16">
        <v>-2.4390419999999999E-4</v>
      </c>
      <c r="E2674">
        <v>-1.2195209999999999E-4</v>
      </c>
    </row>
    <row r="2675" spans="1:5" x14ac:dyDescent="0.3">
      <c r="A2675" s="8">
        <v>73</v>
      </c>
      <c r="B2675" s="8">
        <v>46</v>
      </c>
      <c r="C2675" s="8">
        <v>3603</v>
      </c>
      <c r="D2675" s="16">
        <v>1.883628E-2</v>
      </c>
      <c r="E2675">
        <v>9.4181400000000002E-3</v>
      </c>
    </row>
    <row r="2676" spans="1:5" x14ac:dyDescent="0.3">
      <c r="A2676" s="8">
        <v>73</v>
      </c>
      <c r="B2676" s="8">
        <v>47</v>
      </c>
      <c r="C2676" s="8">
        <v>3615</v>
      </c>
      <c r="D2676" s="16">
        <v>-3.8079689999999999E-2</v>
      </c>
      <c r="E2676">
        <v>-1.9039845E-2</v>
      </c>
    </row>
    <row r="2677" spans="1:5" x14ac:dyDescent="0.3">
      <c r="A2677" s="8">
        <v>73</v>
      </c>
      <c r="B2677" s="8">
        <v>48</v>
      </c>
      <c r="C2677" s="8">
        <v>3584</v>
      </c>
      <c r="D2677" s="16">
        <v>5.0712480000000004E-3</v>
      </c>
      <c r="E2677">
        <v>2.5356240000000002E-3</v>
      </c>
    </row>
    <row r="2678" spans="1:5" x14ac:dyDescent="0.3">
      <c r="A2678" s="8">
        <v>73</v>
      </c>
      <c r="B2678" s="8">
        <v>49</v>
      </c>
      <c r="C2678" s="8">
        <v>3602</v>
      </c>
      <c r="D2678" s="16">
        <v>-1.0870070000000001E-2</v>
      </c>
      <c r="E2678">
        <v>-5.4350350000000004E-3</v>
      </c>
    </row>
    <row r="2679" spans="1:5" x14ac:dyDescent="0.3">
      <c r="A2679" s="8">
        <v>73</v>
      </c>
      <c r="B2679" s="8">
        <v>50</v>
      </c>
      <c r="C2679" s="8">
        <v>3630</v>
      </c>
      <c r="D2679" s="16">
        <v>-5.0882480000000001E-2</v>
      </c>
      <c r="E2679">
        <v>-2.544124E-2</v>
      </c>
    </row>
    <row r="2680" spans="1:5" x14ac:dyDescent="0.3">
      <c r="A2680" s="8">
        <v>73</v>
      </c>
      <c r="B2680" s="8">
        <v>51</v>
      </c>
      <c r="C2680" s="8">
        <v>3583</v>
      </c>
      <c r="D2680" s="16">
        <v>-4.2087819999999998E-2</v>
      </c>
      <c r="E2680">
        <v>-2.1043909999999999E-2</v>
      </c>
    </row>
    <row r="2681" spans="1:5" x14ac:dyDescent="0.3">
      <c r="A2681" s="8">
        <v>73</v>
      </c>
      <c r="B2681" s="8">
        <v>52</v>
      </c>
      <c r="C2681" s="8">
        <v>3598</v>
      </c>
      <c r="D2681" s="16">
        <v>-1.271503E-2</v>
      </c>
      <c r="E2681">
        <v>-6.3575150000000002E-3</v>
      </c>
    </row>
    <row r="2682" spans="1:5" x14ac:dyDescent="0.3">
      <c r="A2682" s="8">
        <v>73</v>
      </c>
      <c r="B2682" s="8">
        <v>53</v>
      </c>
      <c r="C2682" s="8">
        <v>3606</v>
      </c>
      <c r="D2682" s="16">
        <v>-2.582709E-2</v>
      </c>
      <c r="E2682">
        <v>-1.2913545E-2</v>
      </c>
    </row>
    <row r="2683" spans="1:5" x14ac:dyDescent="0.3">
      <c r="A2683" s="8">
        <v>73</v>
      </c>
      <c r="B2683" s="8">
        <v>54</v>
      </c>
      <c r="C2683" s="8">
        <v>3596</v>
      </c>
      <c r="D2683" s="16">
        <v>-5.0536199999999998E-4</v>
      </c>
      <c r="E2683">
        <v>-2.5268099999999999E-4</v>
      </c>
    </row>
    <row r="2684" spans="1:5" x14ac:dyDescent="0.3">
      <c r="A2684" s="8">
        <v>73</v>
      </c>
      <c r="B2684" s="8">
        <v>55</v>
      </c>
      <c r="C2684" s="8">
        <v>3617</v>
      </c>
      <c r="D2684" s="16">
        <v>-3.2543639999999999E-2</v>
      </c>
      <c r="E2684">
        <v>-1.6271819999999999E-2</v>
      </c>
    </row>
    <row r="2685" spans="1:5" x14ac:dyDescent="0.3">
      <c r="A2685" s="8">
        <v>73</v>
      </c>
      <c r="B2685" s="8">
        <v>56</v>
      </c>
      <c r="C2685" s="8">
        <v>3620</v>
      </c>
      <c r="D2685" s="16">
        <v>-1.789E-3</v>
      </c>
      <c r="E2685">
        <v>-8.945E-4</v>
      </c>
    </row>
    <row r="2686" spans="1:5" x14ac:dyDescent="0.3">
      <c r="A2686" s="8">
        <v>73</v>
      </c>
      <c r="B2686" s="8">
        <v>57</v>
      </c>
      <c r="C2686" s="8">
        <v>3636</v>
      </c>
      <c r="D2686" s="16">
        <v>-3.2096500000000001E-3</v>
      </c>
      <c r="E2686">
        <v>-1.604825E-3</v>
      </c>
    </row>
    <row r="2687" spans="1:5" x14ac:dyDescent="0.3">
      <c r="A2687" s="8">
        <v>73</v>
      </c>
      <c r="B2687" s="8">
        <v>58</v>
      </c>
      <c r="C2687" s="8">
        <v>3602</v>
      </c>
      <c r="D2687" s="16">
        <v>-2.585529E-2</v>
      </c>
      <c r="E2687">
        <v>-1.2927645E-2</v>
      </c>
    </row>
    <row r="2688" spans="1:5" x14ac:dyDescent="0.3">
      <c r="A2688" s="8">
        <v>73</v>
      </c>
      <c r="B2688" s="8">
        <v>59</v>
      </c>
      <c r="C2688" s="8">
        <v>3623</v>
      </c>
      <c r="D2688" s="16">
        <v>-2.6433049999999999E-3</v>
      </c>
      <c r="E2688">
        <v>-1.3216524999999999E-3</v>
      </c>
    </row>
    <row r="2689" spans="1:5" x14ac:dyDescent="0.3">
      <c r="A2689" s="8">
        <v>73</v>
      </c>
      <c r="B2689" s="8">
        <v>60</v>
      </c>
      <c r="C2689" s="8">
        <v>3596</v>
      </c>
      <c r="D2689" s="16">
        <v>-6.8817139999999999E-2</v>
      </c>
      <c r="E2689">
        <v>-3.4408569999999999E-2</v>
      </c>
    </row>
    <row r="2690" spans="1:5" x14ac:dyDescent="0.3">
      <c r="A2690" s="8">
        <v>73</v>
      </c>
      <c r="B2690" s="8">
        <v>61</v>
      </c>
      <c r="C2690" s="8">
        <v>3609</v>
      </c>
      <c r="D2690" s="16">
        <v>-5.4416230000000003E-2</v>
      </c>
      <c r="E2690">
        <v>-2.7208115000000001E-2</v>
      </c>
    </row>
    <row r="2691" spans="1:5" x14ac:dyDescent="0.3">
      <c r="A2691" s="8">
        <v>73</v>
      </c>
      <c r="B2691" s="8">
        <v>62</v>
      </c>
      <c r="C2691" s="8">
        <v>3631</v>
      </c>
      <c r="D2691" s="16">
        <v>1.340822E-2</v>
      </c>
      <c r="E2691">
        <v>6.7041100000000001E-3</v>
      </c>
    </row>
    <row r="2692" spans="1:5" x14ac:dyDescent="0.3">
      <c r="A2692" s="8">
        <v>73</v>
      </c>
      <c r="B2692" s="8">
        <v>63</v>
      </c>
      <c r="C2692" s="8">
        <v>3619</v>
      </c>
      <c r="D2692" s="16">
        <v>-3.7556800000000001E-2</v>
      </c>
      <c r="E2692">
        <v>-1.8778400000000001E-2</v>
      </c>
    </row>
    <row r="2693" spans="1:5" x14ac:dyDescent="0.3">
      <c r="A2693" s="8">
        <v>73</v>
      </c>
      <c r="B2693" s="8">
        <v>64</v>
      </c>
      <c r="C2693" s="8">
        <v>3585</v>
      </c>
      <c r="D2693" s="16">
        <v>-5.5930349999999997E-2</v>
      </c>
      <c r="E2693">
        <v>-2.7965174999999998E-2</v>
      </c>
    </row>
    <row r="2694" spans="1:5" x14ac:dyDescent="0.3">
      <c r="A2694" s="8">
        <v>73</v>
      </c>
      <c r="B2694" s="8">
        <v>65</v>
      </c>
      <c r="C2694" s="8">
        <v>3622</v>
      </c>
      <c r="D2694" s="16">
        <v>-3.0325520000000002E-2</v>
      </c>
      <c r="E2694">
        <v>-1.5162760000000001E-2</v>
      </c>
    </row>
    <row r="2695" spans="1:5" x14ac:dyDescent="0.3">
      <c r="A2695" s="8">
        <v>73</v>
      </c>
      <c r="B2695" s="8">
        <v>66</v>
      </c>
      <c r="C2695" s="8">
        <v>3624</v>
      </c>
      <c r="D2695" s="16">
        <v>-1.379251E-3</v>
      </c>
      <c r="E2695">
        <v>-6.8962549999999998E-4</v>
      </c>
    </row>
    <row r="2696" spans="1:5" x14ac:dyDescent="0.3">
      <c r="A2696" s="8">
        <v>73</v>
      </c>
      <c r="B2696" s="8">
        <v>67</v>
      </c>
      <c r="C2696" s="8">
        <v>3590</v>
      </c>
      <c r="D2696" s="16">
        <v>4.7425360000000003E-3</v>
      </c>
      <c r="E2696">
        <v>2.3712680000000002E-3</v>
      </c>
    </row>
    <row r="2697" spans="1:5" x14ac:dyDescent="0.3">
      <c r="A2697" s="8">
        <v>73</v>
      </c>
      <c r="B2697" s="8">
        <v>68</v>
      </c>
      <c r="C2697" s="8">
        <v>3564</v>
      </c>
      <c r="D2697" s="16">
        <v>-2.6904419999999998E-2</v>
      </c>
      <c r="E2697">
        <v>-1.3452209999999999E-2</v>
      </c>
    </row>
    <row r="2698" spans="1:5" x14ac:dyDescent="0.3">
      <c r="A2698" s="8">
        <v>73</v>
      </c>
      <c r="B2698" s="8">
        <v>69</v>
      </c>
      <c r="C2698" s="8">
        <v>3612</v>
      </c>
      <c r="D2698" s="16">
        <v>-3.2756979999999998E-2</v>
      </c>
      <c r="E2698">
        <v>-1.6378489999999999E-2</v>
      </c>
    </row>
    <row r="2699" spans="1:5" x14ac:dyDescent="0.3">
      <c r="A2699" s="8">
        <v>73</v>
      </c>
      <c r="B2699" s="8">
        <v>70</v>
      </c>
      <c r="C2699" s="8">
        <v>3600</v>
      </c>
      <c r="D2699" s="16">
        <v>-2.8377400000000001E-2</v>
      </c>
      <c r="E2699">
        <v>-1.41887E-2</v>
      </c>
    </row>
    <row r="2700" spans="1:5" x14ac:dyDescent="0.3">
      <c r="A2700" s="8">
        <v>73</v>
      </c>
      <c r="B2700" s="8">
        <v>71</v>
      </c>
      <c r="C2700" s="8">
        <v>3583</v>
      </c>
      <c r="D2700" s="16">
        <v>6.5131970000000001E-3</v>
      </c>
      <c r="E2700">
        <v>3.2565985E-3</v>
      </c>
    </row>
    <row r="2701" spans="1:5" x14ac:dyDescent="0.3">
      <c r="A2701" s="8">
        <v>73</v>
      </c>
      <c r="B2701" s="8">
        <v>72</v>
      </c>
      <c r="C2701" s="8">
        <v>3576</v>
      </c>
      <c r="D2701" s="16">
        <v>-1.9091150000000001E-2</v>
      </c>
      <c r="E2701">
        <v>-9.5455750000000006E-3</v>
      </c>
    </row>
    <row r="2702" spans="1:5" x14ac:dyDescent="0.3">
      <c r="A2702" s="8">
        <v>73</v>
      </c>
      <c r="B2702" s="8">
        <v>73</v>
      </c>
      <c r="C2702" s="8">
        <v>3889</v>
      </c>
      <c r="D2702" s="16">
        <v>0.99192449999999999</v>
      </c>
      <c r="E2702"/>
    </row>
    <row r="2703" spans="1:5" x14ac:dyDescent="0.3">
      <c r="A2703" s="8">
        <v>74</v>
      </c>
      <c r="B2703" s="8">
        <v>1</v>
      </c>
      <c r="C2703" s="8">
        <v>3602</v>
      </c>
      <c r="D2703" s="16">
        <v>-1.2907470000000001E-2</v>
      </c>
      <c r="E2703">
        <v>-6.4537350000000004E-3</v>
      </c>
    </row>
    <row r="2704" spans="1:5" x14ac:dyDescent="0.3">
      <c r="A2704" s="8">
        <v>74</v>
      </c>
      <c r="B2704" s="8">
        <v>2</v>
      </c>
      <c r="C2704" s="8">
        <v>3591</v>
      </c>
      <c r="D2704" s="16">
        <v>-4.824759E-2</v>
      </c>
      <c r="E2704">
        <v>-2.4123795E-2</v>
      </c>
    </row>
    <row r="2705" spans="1:5" x14ac:dyDescent="0.3">
      <c r="A2705" s="8">
        <v>74</v>
      </c>
      <c r="B2705" s="8">
        <v>3</v>
      </c>
      <c r="C2705" s="8">
        <v>3602</v>
      </c>
      <c r="D2705" s="16">
        <v>-2.0887969999999999E-2</v>
      </c>
      <c r="E2705">
        <v>-1.0443984999999999E-2</v>
      </c>
    </row>
    <row r="2706" spans="1:5" x14ac:dyDescent="0.3">
      <c r="A2706" s="8">
        <v>74</v>
      </c>
      <c r="B2706" s="8">
        <v>4</v>
      </c>
      <c r="C2706" s="8">
        <v>3582</v>
      </c>
      <c r="D2706" s="16">
        <v>-4.2150140000000003E-2</v>
      </c>
      <c r="E2706">
        <v>-2.1075070000000001E-2</v>
      </c>
    </row>
    <row r="2707" spans="1:5" x14ac:dyDescent="0.3">
      <c r="A2707" s="8">
        <v>74</v>
      </c>
      <c r="B2707" s="8">
        <v>5</v>
      </c>
      <c r="C2707" s="8">
        <v>3591</v>
      </c>
      <c r="D2707" s="16">
        <v>-1.4044439999999999E-3</v>
      </c>
      <c r="E2707">
        <v>-7.0222199999999996E-4</v>
      </c>
    </row>
    <row r="2708" spans="1:5" x14ac:dyDescent="0.3">
      <c r="A2708" s="8">
        <v>74</v>
      </c>
      <c r="B2708" s="8">
        <v>6</v>
      </c>
      <c r="C2708" s="8">
        <v>3592</v>
      </c>
      <c r="D2708" s="16">
        <v>-1.826036E-2</v>
      </c>
      <c r="E2708">
        <v>-9.1301799999999999E-3</v>
      </c>
    </row>
    <row r="2709" spans="1:5" x14ac:dyDescent="0.3">
      <c r="A2709" s="8">
        <v>74</v>
      </c>
      <c r="B2709" s="8">
        <v>7</v>
      </c>
      <c r="C2709" s="8">
        <v>3563</v>
      </c>
      <c r="D2709" s="16">
        <v>-1.958385E-2</v>
      </c>
      <c r="E2709">
        <v>-9.7919249999999999E-3</v>
      </c>
    </row>
    <row r="2710" spans="1:5" x14ac:dyDescent="0.3">
      <c r="A2710" s="8">
        <v>74</v>
      </c>
      <c r="B2710" s="8">
        <v>8</v>
      </c>
      <c r="C2710" s="8">
        <v>3583</v>
      </c>
      <c r="D2710" s="16">
        <v>-1.8809139999999998E-2</v>
      </c>
      <c r="E2710">
        <v>-9.4045699999999992E-3</v>
      </c>
    </row>
    <row r="2711" spans="1:5" x14ac:dyDescent="0.3">
      <c r="A2711" s="8">
        <v>74</v>
      </c>
      <c r="B2711" s="8">
        <v>9</v>
      </c>
      <c r="C2711" s="8">
        <v>3602</v>
      </c>
      <c r="D2711" s="16">
        <v>4.7436069999999997E-2</v>
      </c>
      <c r="E2711">
        <v>2.3718034999999998E-2</v>
      </c>
    </row>
    <row r="2712" spans="1:5" x14ac:dyDescent="0.3">
      <c r="A2712" s="8">
        <v>74</v>
      </c>
      <c r="B2712" s="8">
        <v>10</v>
      </c>
      <c r="C2712" s="8">
        <v>3597</v>
      </c>
      <c r="D2712" s="16">
        <v>9.5390449999999995E-3</v>
      </c>
      <c r="E2712">
        <v>4.7695224999999997E-3</v>
      </c>
    </row>
    <row r="2713" spans="1:5" x14ac:dyDescent="0.3">
      <c r="A2713" s="8">
        <v>74</v>
      </c>
      <c r="B2713" s="8">
        <v>11</v>
      </c>
      <c r="C2713" s="8">
        <v>3594</v>
      </c>
      <c r="D2713" s="16">
        <v>-3.7445470000000002E-2</v>
      </c>
      <c r="E2713">
        <v>-1.8722735000000001E-2</v>
      </c>
    </row>
    <row r="2714" spans="1:5" x14ac:dyDescent="0.3">
      <c r="A2714" s="8">
        <v>74</v>
      </c>
      <c r="B2714" s="8">
        <v>12</v>
      </c>
      <c r="C2714" s="8">
        <v>3611</v>
      </c>
      <c r="D2714" s="16">
        <v>2.346208E-2</v>
      </c>
      <c r="E2714">
        <v>1.173104E-2</v>
      </c>
    </row>
    <row r="2715" spans="1:5" x14ac:dyDescent="0.3">
      <c r="A2715" s="8">
        <v>74</v>
      </c>
      <c r="B2715" s="8">
        <v>13</v>
      </c>
      <c r="C2715" s="8">
        <v>3597</v>
      </c>
      <c r="D2715" s="16">
        <v>-1.568568E-2</v>
      </c>
      <c r="E2715">
        <v>-7.8428400000000002E-3</v>
      </c>
    </row>
    <row r="2716" spans="1:5" x14ac:dyDescent="0.3">
      <c r="A2716" s="8">
        <v>74</v>
      </c>
      <c r="B2716" s="8">
        <v>14</v>
      </c>
      <c r="C2716" s="8">
        <v>3586</v>
      </c>
      <c r="D2716" s="16">
        <v>6.3305810000000001E-3</v>
      </c>
      <c r="E2716">
        <v>3.1652905E-3</v>
      </c>
    </row>
    <row r="2717" spans="1:5" x14ac:dyDescent="0.3">
      <c r="A2717" s="8">
        <v>74</v>
      </c>
      <c r="B2717" s="8">
        <v>15</v>
      </c>
      <c r="C2717" s="8">
        <v>3605</v>
      </c>
      <c r="D2717" s="16">
        <v>-2.9689480000000001E-2</v>
      </c>
      <c r="E2717">
        <v>-1.484474E-2</v>
      </c>
    </row>
    <row r="2718" spans="1:5" x14ac:dyDescent="0.3">
      <c r="A2718" s="8">
        <v>74</v>
      </c>
      <c r="B2718" s="8">
        <v>16</v>
      </c>
      <c r="C2718" s="8">
        <v>3574</v>
      </c>
      <c r="D2718" s="16">
        <v>-6.173787E-2</v>
      </c>
      <c r="E2718">
        <v>-3.0868935E-2</v>
      </c>
    </row>
    <row r="2719" spans="1:5" x14ac:dyDescent="0.3">
      <c r="A2719" s="8">
        <v>74</v>
      </c>
      <c r="B2719" s="8">
        <v>17</v>
      </c>
      <c r="C2719" s="8">
        <v>3608</v>
      </c>
      <c r="D2719" s="16">
        <v>2.8620519999999999E-3</v>
      </c>
      <c r="E2719">
        <v>1.431026E-3</v>
      </c>
    </row>
    <row r="2720" spans="1:5" x14ac:dyDescent="0.3">
      <c r="A2720" s="8">
        <v>74</v>
      </c>
      <c r="B2720" s="8">
        <v>18</v>
      </c>
      <c r="C2720" s="8">
        <v>3598</v>
      </c>
      <c r="D2720" s="16">
        <v>-2.147197E-2</v>
      </c>
      <c r="E2720">
        <v>-1.0735985E-2</v>
      </c>
    </row>
    <row r="2721" spans="1:5" x14ac:dyDescent="0.3">
      <c r="A2721" s="8">
        <v>74</v>
      </c>
      <c r="B2721" s="8">
        <v>19</v>
      </c>
      <c r="C2721" s="8">
        <v>3559</v>
      </c>
      <c r="D2721" s="16">
        <v>-2.672339E-2</v>
      </c>
      <c r="E2721">
        <v>-1.3361695E-2</v>
      </c>
    </row>
    <row r="2722" spans="1:5" x14ac:dyDescent="0.3">
      <c r="A2722" s="8">
        <v>74</v>
      </c>
      <c r="B2722" s="8">
        <v>20</v>
      </c>
      <c r="C2722" s="8">
        <v>3580</v>
      </c>
      <c r="D2722" s="16">
        <v>1.6990149999999999E-2</v>
      </c>
      <c r="E2722">
        <v>8.4950749999999995E-3</v>
      </c>
    </row>
    <row r="2723" spans="1:5" x14ac:dyDescent="0.3">
      <c r="A2723" s="8">
        <v>74</v>
      </c>
      <c r="B2723" s="8">
        <v>21</v>
      </c>
      <c r="C2723" s="8">
        <v>3627</v>
      </c>
      <c r="D2723" s="16">
        <v>-3.3568050000000002E-2</v>
      </c>
      <c r="E2723">
        <v>-1.6784025000000001E-2</v>
      </c>
    </row>
    <row r="2724" spans="1:5" x14ac:dyDescent="0.3">
      <c r="A2724" s="8">
        <v>74</v>
      </c>
      <c r="B2724" s="8">
        <v>22</v>
      </c>
      <c r="C2724" s="8">
        <v>3590</v>
      </c>
      <c r="D2724" s="16">
        <v>-2.2206449999999999E-2</v>
      </c>
      <c r="E2724">
        <v>-1.1103225E-2</v>
      </c>
    </row>
    <row r="2725" spans="1:5" x14ac:dyDescent="0.3">
      <c r="A2725" s="8">
        <v>74</v>
      </c>
      <c r="B2725" s="8">
        <v>23</v>
      </c>
      <c r="C2725" s="8">
        <v>3576</v>
      </c>
      <c r="D2725" s="16">
        <v>-3.4660620000000003E-2</v>
      </c>
      <c r="E2725">
        <v>-1.7330310000000002E-2</v>
      </c>
    </row>
    <row r="2726" spans="1:5" x14ac:dyDescent="0.3">
      <c r="A2726" s="8">
        <v>74</v>
      </c>
      <c r="B2726" s="8">
        <v>24</v>
      </c>
      <c r="C2726" s="8">
        <v>3613</v>
      </c>
      <c r="D2726" s="16">
        <v>-4.0276600000000003E-2</v>
      </c>
      <c r="E2726">
        <v>-2.0138300000000001E-2</v>
      </c>
    </row>
    <row r="2727" spans="1:5" x14ac:dyDescent="0.3">
      <c r="A2727" s="8">
        <v>74</v>
      </c>
      <c r="B2727" s="8">
        <v>25</v>
      </c>
      <c r="C2727" s="8">
        <v>3575</v>
      </c>
      <c r="D2727" s="16">
        <v>-3.7005699999999998E-3</v>
      </c>
      <c r="E2727">
        <v>-1.8502849999999999E-3</v>
      </c>
    </row>
    <row r="2728" spans="1:5" x14ac:dyDescent="0.3">
      <c r="A2728" s="8">
        <v>74</v>
      </c>
      <c r="B2728" s="8">
        <v>26</v>
      </c>
      <c r="C2728" s="8">
        <v>3615</v>
      </c>
      <c r="D2728" s="16">
        <v>-5.6629039999999999E-2</v>
      </c>
      <c r="E2728">
        <v>-2.8314519999999999E-2</v>
      </c>
    </row>
    <row r="2729" spans="1:5" x14ac:dyDescent="0.3">
      <c r="A2729" s="8">
        <v>74</v>
      </c>
      <c r="B2729" s="8">
        <v>27</v>
      </c>
      <c r="C2729" s="8">
        <v>3586</v>
      </c>
      <c r="D2729" s="16">
        <v>-3.5790540000000003E-2</v>
      </c>
      <c r="E2729">
        <v>-1.7895270000000001E-2</v>
      </c>
    </row>
    <row r="2730" spans="1:5" x14ac:dyDescent="0.3">
      <c r="A2730" s="8">
        <v>74</v>
      </c>
      <c r="B2730" s="8">
        <v>28</v>
      </c>
      <c r="C2730" s="8">
        <v>3545</v>
      </c>
      <c r="D2730" s="16">
        <v>5.2010900000000002E-3</v>
      </c>
      <c r="E2730">
        <v>2.6005450000000001E-3</v>
      </c>
    </row>
    <row r="2731" spans="1:5" x14ac:dyDescent="0.3">
      <c r="A2731" s="8">
        <v>74</v>
      </c>
      <c r="B2731" s="8">
        <v>29</v>
      </c>
      <c r="C2731" s="8">
        <v>3568</v>
      </c>
      <c r="D2731" s="16">
        <v>-7.0568649999999998E-3</v>
      </c>
      <c r="E2731">
        <v>-3.5284324999999999E-3</v>
      </c>
    </row>
    <row r="2732" spans="1:5" x14ac:dyDescent="0.3">
      <c r="A2732" s="8">
        <v>74</v>
      </c>
      <c r="B2732" s="8">
        <v>30</v>
      </c>
      <c r="C2732" s="8">
        <v>3574</v>
      </c>
      <c r="D2732" s="16">
        <v>3.8863700000000001E-3</v>
      </c>
      <c r="E2732">
        <v>1.9431850000000001E-3</v>
      </c>
    </row>
    <row r="2733" spans="1:5" x14ac:dyDescent="0.3">
      <c r="A2733" s="8">
        <v>74</v>
      </c>
      <c r="B2733" s="8">
        <v>31</v>
      </c>
      <c r="C2733" s="8">
        <v>3492</v>
      </c>
      <c r="D2733" s="16">
        <v>-1.248643E-2</v>
      </c>
      <c r="E2733">
        <v>-6.2432149999999999E-3</v>
      </c>
    </row>
    <row r="2734" spans="1:5" x14ac:dyDescent="0.3">
      <c r="A2734" s="8">
        <v>74</v>
      </c>
      <c r="B2734" s="8">
        <v>32</v>
      </c>
      <c r="C2734" s="8">
        <v>3558</v>
      </c>
      <c r="D2734" s="16">
        <v>-1.5675399999999999E-2</v>
      </c>
      <c r="E2734">
        <v>-7.8376999999999995E-3</v>
      </c>
    </row>
    <row r="2735" spans="1:5" x14ac:dyDescent="0.3">
      <c r="A2735" s="8">
        <v>74</v>
      </c>
      <c r="B2735" s="8">
        <v>33</v>
      </c>
      <c r="C2735" s="8">
        <v>3608</v>
      </c>
      <c r="D2735" s="16">
        <v>-4.4948389999999996E-3</v>
      </c>
      <c r="E2735">
        <v>-2.2474194999999998E-3</v>
      </c>
    </row>
    <row r="2736" spans="1:5" x14ac:dyDescent="0.3">
      <c r="A2736" s="8">
        <v>74</v>
      </c>
      <c r="B2736" s="8">
        <v>34</v>
      </c>
      <c r="C2736" s="8">
        <v>3599</v>
      </c>
      <c r="D2736" s="16">
        <v>1.7564110000000001E-2</v>
      </c>
      <c r="E2736">
        <v>8.7820550000000004E-3</v>
      </c>
    </row>
    <row r="2737" spans="1:5" x14ac:dyDescent="0.3">
      <c r="A2737" s="8">
        <v>74</v>
      </c>
      <c r="B2737" s="8">
        <v>35</v>
      </c>
      <c r="C2737" s="8">
        <v>3596</v>
      </c>
      <c r="D2737" s="16">
        <v>4.5616780000000003E-2</v>
      </c>
      <c r="E2737">
        <v>2.2808390000000001E-2</v>
      </c>
    </row>
    <row r="2738" spans="1:5" x14ac:dyDescent="0.3">
      <c r="A2738" s="8">
        <v>74</v>
      </c>
      <c r="B2738" s="8">
        <v>36</v>
      </c>
      <c r="C2738" s="8">
        <v>3571</v>
      </c>
      <c r="D2738" s="16">
        <v>-1.6674959999999999E-2</v>
      </c>
      <c r="E2738">
        <v>-8.3374799999999995E-3</v>
      </c>
    </row>
    <row r="2739" spans="1:5" x14ac:dyDescent="0.3">
      <c r="A2739" s="8">
        <v>74</v>
      </c>
      <c r="B2739" s="8">
        <v>37</v>
      </c>
      <c r="C2739" s="8">
        <v>3548</v>
      </c>
      <c r="D2739" s="16">
        <v>1.9077390000000001E-3</v>
      </c>
      <c r="E2739">
        <v>9.5386950000000005E-4</v>
      </c>
    </row>
    <row r="2740" spans="1:5" x14ac:dyDescent="0.3">
      <c r="A2740" s="8">
        <v>74</v>
      </c>
      <c r="B2740" s="8">
        <v>38</v>
      </c>
      <c r="C2740" s="8">
        <v>3595</v>
      </c>
      <c r="D2740" s="16">
        <v>-1.6285290000000001E-2</v>
      </c>
      <c r="E2740">
        <v>-8.1426450000000004E-3</v>
      </c>
    </row>
    <row r="2741" spans="1:5" x14ac:dyDescent="0.3">
      <c r="A2741" s="8">
        <v>74</v>
      </c>
      <c r="B2741" s="8">
        <v>39</v>
      </c>
      <c r="C2741" s="8">
        <v>3581</v>
      </c>
      <c r="D2741" s="16">
        <v>-1.389876E-2</v>
      </c>
      <c r="E2741">
        <v>-6.9493799999999998E-3</v>
      </c>
    </row>
    <row r="2742" spans="1:5" x14ac:dyDescent="0.3">
      <c r="A2742" s="8">
        <v>74</v>
      </c>
      <c r="B2742" s="8">
        <v>40</v>
      </c>
      <c r="C2742" s="8">
        <v>3602</v>
      </c>
      <c r="D2742" s="16">
        <v>2.1705700000000001E-3</v>
      </c>
      <c r="E2742">
        <v>1.0852850000000001E-3</v>
      </c>
    </row>
    <row r="2743" spans="1:5" x14ac:dyDescent="0.3">
      <c r="A2743" s="8">
        <v>74</v>
      </c>
      <c r="B2743" s="8">
        <v>41</v>
      </c>
      <c r="C2743" s="8">
        <v>3561</v>
      </c>
      <c r="D2743" s="16">
        <v>-2.2588210000000001E-2</v>
      </c>
      <c r="E2743">
        <v>-1.1294105E-2</v>
      </c>
    </row>
    <row r="2744" spans="1:5" x14ac:dyDescent="0.3">
      <c r="A2744" s="8">
        <v>74</v>
      </c>
      <c r="B2744" s="8">
        <v>42</v>
      </c>
      <c r="C2744" s="8">
        <v>3588</v>
      </c>
      <c r="D2744" s="16">
        <v>-1.6718569999999999E-2</v>
      </c>
      <c r="E2744">
        <v>-8.3592849999999993E-3</v>
      </c>
    </row>
    <row r="2745" spans="1:5" x14ac:dyDescent="0.3">
      <c r="A2745" s="8">
        <v>74</v>
      </c>
      <c r="B2745" s="8">
        <v>43</v>
      </c>
      <c r="C2745" s="8">
        <v>3562</v>
      </c>
      <c r="D2745" s="16">
        <v>-2.2817850000000001E-2</v>
      </c>
      <c r="E2745">
        <v>-1.1408925E-2</v>
      </c>
    </row>
    <row r="2746" spans="1:5" x14ac:dyDescent="0.3">
      <c r="A2746" s="8">
        <v>74</v>
      </c>
      <c r="B2746" s="8">
        <v>44</v>
      </c>
      <c r="C2746" s="8">
        <v>3550</v>
      </c>
      <c r="D2746" s="16">
        <v>-2.5520970000000001E-3</v>
      </c>
      <c r="E2746">
        <v>-1.2760485000000001E-3</v>
      </c>
    </row>
    <row r="2747" spans="1:5" x14ac:dyDescent="0.3">
      <c r="A2747" s="8">
        <v>74</v>
      </c>
      <c r="B2747" s="8">
        <v>45</v>
      </c>
      <c r="C2747" s="8">
        <v>3596</v>
      </c>
      <c r="D2747" s="16">
        <v>-3.201938E-2</v>
      </c>
      <c r="E2747">
        <v>-1.600969E-2</v>
      </c>
    </row>
    <row r="2748" spans="1:5" x14ac:dyDescent="0.3">
      <c r="A2748" s="8">
        <v>74</v>
      </c>
      <c r="B2748" s="8">
        <v>46</v>
      </c>
      <c r="C2748" s="8">
        <v>3590</v>
      </c>
      <c r="D2748" s="16">
        <v>-1.5776169999999999E-3</v>
      </c>
      <c r="E2748">
        <v>-7.8880849999999995E-4</v>
      </c>
    </row>
    <row r="2749" spans="1:5" x14ac:dyDescent="0.3">
      <c r="A2749" s="8">
        <v>74</v>
      </c>
      <c r="B2749" s="8">
        <v>47</v>
      </c>
      <c r="C2749" s="8">
        <v>3606</v>
      </c>
      <c r="D2749" s="16">
        <v>-3.8219490000000002E-2</v>
      </c>
      <c r="E2749">
        <v>-1.9109745000000001E-2</v>
      </c>
    </row>
    <row r="2750" spans="1:5" x14ac:dyDescent="0.3">
      <c r="A2750" s="8">
        <v>74</v>
      </c>
      <c r="B2750" s="8">
        <v>48</v>
      </c>
      <c r="C2750" s="8">
        <v>3565</v>
      </c>
      <c r="D2750" s="16">
        <v>-3.1764390000000003E-2</v>
      </c>
      <c r="E2750">
        <v>-1.5882195000000002E-2</v>
      </c>
    </row>
    <row r="2751" spans="1:5" x14ac:dyDescent="0.3">
      <c r="A2751" s="8">
        <v>74</v>
      </c>
      <c r="B2751" s="8">
        <v>49</v>
      </c>
      <c r="C2751" s="8">
        <v>3582</v>
      </c>
      <c r="D2751" s="16">
        <v>6.6082099999999998E-3</v>
      </c>
      <c r="E2751">
        <v>3.3041049999999999E-3</v>
      </c>
    </row>
    <row r="2752" spans="1:5" x14ac:dyDescent="0.3">
      <c r="A2752" s="8">
        <v>74</v>
      </c>
      <c r="B2752" s="8">
        <v>50</v>
      </c>
      <c r="C2752" s="8">
        <v>3615</v>
      </c>
      <c r="D2752" s="16">
        <v>-1.892315E-2</v>
      </c>
      <c r="E2752">
        <v>-9.4615749999999998E-3</v>
      </c>
    </row>
    <row r="2753" spans="1:5" x14ac:dyDescent="0.3">
      <c r="A2753" s="8">
        <v>74</v>
      </c>
      <c r="B2753" s="8">
        <v>51</v>
      </c>
      <c r="C2753" s="8">
        <v>3566</v>
      </c>
      <c r="D2753" s="16">
        <v>-2.0976089999999999E-2</v>
      </c>
      <c r="E2753">
        <v>-1.0488045E-2</v>
      </c>
    </row>
    <row r="2754" spans="1:5" x14ac:dyDescent="0.3">
      <c r="A2754" s="8">
        <v>74</v>
      </c>
      <c r="B2754" s="8">
        <v>52</v>
      </c>
      <c r="C2754" s="8">
        <v>3576</v>
      </c>
      <c r="D2754" s="16">
        <v>-3.7916410000000001E-3</v>
      </c>
      <c r="E2754">
        <v>-1.8958205000000001E-3</v>
      </c>
    </row>
    <row r="2755" spans="1:5" x14ac:dyDescent="0.3">
      <c r="A2755" s="8">
        <v>74</v>
      </c>
      <c r="B2755" s="8">
        <v>53</v>
      </c>
      <c r="C2755" s="8">
        <v>3576</v>
      </c>
      <c r="D2755" s="16">
        <v>-1.291493E-2</v>
      </c>
      <c r="E2755">
        <v>-6.4574649999999999E-3</v>
      </c>
    </row>
    <row r="2756" spans="1:5" x14ac:dyDescent="0.3">
      <c r="A2756" s="8">
        <v>74</v>
      </c>
      <c r="B2756" s="8">
        <v>54</v>
      </c>
      <c r="C2756" s="8">
        <v>3574</v>
      </c>
      <c r="D2756" s="16">
        <v>-4.1802230000000003E-2</v>
      </c>
      <c r="E2756">
        <v>-2.0901115000000001E-2</v>
      </c>
    </row>
    <row r="2757" spans="1:5" x14ac:dyDescent="0.3">
      <c r="A2757" s="8">
        <v>74</v>
      </c>
      <c r="B2757" s="8">
        <v>55</v>
      </c>
      <c r="C2757" s="8">
        <v>3592</v>
      </c>
      <c r="D2757" s="16">
        <v>-3.2343230000000001E-2</v>
      </c>
      <c r="E2757">
        <v>-1.6171615E-2</v>
      </c>
    </row>
    <row r="2758" spans="1:5" x14ac:dyDescent="0.3">
      <c r="A2758" s="8">
        <v>74</v>
      </c>
      <c r="B2758" s="8">
        <v>56</v>
      </c>
      <c r="C2758" s="8">
        <v>3607</v>
      </c>
      <c r="D2758" s="16">
        <v>6.7064380000000007E-2</v>
      </c>
      <c r="E2758">
        <v>3.3532190000000003E-2</v>
      </c>
    </row>
    <row r="2759" spans="1:5" x14ac:dyDescent="0.3">
      <c r="A2759" s="8">
        <v>74</v>
      </c>
      <c r="B2759" s="8">
        <v>57</v>
      </c>
      <c r="C2759" s="8">
        <v>3612</v>
      </c>
      <c r="D2759" s="16">
        <v>-9.9703250000000004E-3</v>
      </c>
      <c r="E2759">
        <v>-4.9851625000000002E-3</v>
      </c>
    </row>
    <row r="2760" spans="1:5" x14ac:dyDescent="0.3">
      <c r="A2760" s="8">
        <v>74</v>
      </c>
      <c r="B2760" s="8">
        <v>58</v>
      </c>
      <c r="C2760" s="8">
        <v>3575</v>
      </c>
      <c r="D2760" s="16">
        <v>-1.8444080000000002E-2</v>
      </c>
      <c r="E2760">
        <v>-9.2220400000000008E-3</v>
      </c>
    </row>
    <row r="2761" spans="1:5" x14ac:dyDescent="0.3">
      <c r="A2761" s="8">
        <v>74</v>
      </c>
      <c r="B2761" s="8">
        <v>59</v>
      </c>
      <c r="C2761" s="8">
        <v>3610</v>
      </c>
      <c r="D2761" s="16">
        <v>2.7403070000000002E-2</v>
      </c>
      <c r="E2761">
        <v>1.3701535000000001E-2</v>
      </c>
    </row>
    <row r="2762" spans="1:5" x14ac:dyDescent="0.3">
      <c r="A2762" s="8">
        <v>74</v>
      </c>
      <c r="B2762" s="8">
        <v>60</v>
      </c>
      <c r="C2762" s="8">
        <v>3573</v>
      </c>
      <c r="D2762" s="16">
        <v>-1.8944280000000001E-2</v>
      </c>
      <c r="E2762">
        <v>-9.4721400000000004E-3</v>
      </c>
    </row>
    <row r="2763" spans="1:5" x14ac:dyDescent="0.3">
      <c r="A2763" s="8">
        <v>74</v>
      </c>
      <c r="B2763" s="8">
        <v>61</v>
      </c>
      <c r="C2763" s="8">
        <v>3584</v>
      </c>
      <c r="D2763" s="16">
        <v>-6.8845890000000007E-2</v>
      </c>
      <c r="E2763">
        <v>-3.4422945000000003E-2</v>
      </c>
    </row>
    <row r="2764" spans="1:5" x14ac:dyDescent="0.3">
      <c r="A2764" s="8">
        <v>74</v>
      </c>
      <c r="B2764" s="8">
        <v>62</v>
      </c>
      <c r="C2764" s="8">
        <v>3616</v>
      </c>
      <c r="D2764" s="16">
        <v>1.1379420000000001E-3</v>
      </c>
      <c r="E2764">
        <v>5.6897100000000004E-4</v>
      </c>
    </row>
    <row r="2765" spans="1:5" x14ac:dyDescent="0.3">
      <c r="A2765" s="8">
        <v>74</v>
      </c>
      <c r="B2765" s="8">
        <v>63</v>
      </c>
      <c r="C2765" s="8">
        <v>3606</v>
      </c>
      <c r="D2765" s="16">
        <v>1.497527E-3</v>
      </c>
      <c r="E2765">
        <v>7.4876350000000001E-4</v>
      </c>
    </row>
    <row r="2766" spans="1:5" x14ac:dyDescent="0.3">
      <c r="A2766" s="8">
        <v>74</v>
      </c>
      <c r="B2766" s="8">
        <v>64</v>
      </c>
      <c r="C2766" s="8">
        <v>3568</v>
      </c>
      <c r="D2766" s="16">
        <v>-1.938192E-2</v>
      </c>
      <c r="E2766">
        <v>-9.6909600000000002E-3</v>
      </c>
    </row>
    <row r="2767" spans="1:5" x14ac:dyDescent="0.3">
      <c r="A2767" s="8">
        <v>74</v>
      </c>
      <c r="B2767" s="8">
        <v>65</v>
      </c>
      <c r="C2767" s="8">
        <v>3619</v>
      </c>
      <c r="D2767" s="16">
        <v>-3.5948670000000002E-2</v>
      </c>
      <c r="E2767">
        <v>-1.7974335000000001E-2</v>
      </c>
    </row>
    <row r="2768" spans="1:5" x14ac:dyDescent="0.3">
      <c r="A2768" s="8">
        <v>74</v>
      </c>
      <c r="B2768" s="8">
        <v>66</v>
      </c>
      <c r="C2768" s="8">
        <v>3601</v>
      </c>
      <c r="D2768" s="16">
        <v>9.6443269999999994E-3</v>
      </c>
      <c r="E2768">
        <v>4.8221634999999997E-3</v>
      </c>
    </row>
    <row r="2769" spans="1:5" x14ac:dyDescent="0.3">
      <c r="A2769" s="8">
        <v>74</v>
      </c>
      <c r="B2769" s="8">
        <v>67</v>
      </c>
      <c r="C2769" s="8">
        <v>3591</v>
      </c>
      <c r="D2769" s="16">
        <v>3.964641E-2</v>
      </c>
      <c r="E2769">
        <v>1.9823205E-2</v>
      </c>
    </row>
    <row r="2770" spans="1:5" x14ac:dyDescent="0.3">
      <c r="A2770" s="8">
        <v>74</v>
      </c>
      <c r="B2770" s="8">
        <v>68</v>
      </c>
      <c r="C2770" s="8">
        <v>3557</v>
      </c>
      <c r="D2770" s="16">
        <v>-6.9508039999999997E-3</v>
      </c>
      <c r="E2770">
        <v>-3.4754019999999998E-3</v>
      </c>
    </row>
    <row r="2771" spans="1:5" x14ac:dyDescent="0.3">
      <c r="A2771" s="8">
        <v>74</v>
      </c>
      <c r="B2771" s="8">
        <v>69</v>
      </c>
      <c r="C2771" s="8">
        <v>3574</v>
      </c>
      <c r="D2771" s="16">
        <v>-3.275368E-2</v>
      </c>
      <c r="E2771">
        <v>-1.637684E-2</v>
      </c>
    </row>
    <row r="2772" spans="1:5" x14ac:dyDescent="0.3">
      <c r="A2772" s="8">
        <v>74</v>
      </c>
      <c r="B2772" s="8">
        <v>70</v>
      </c>
      <c r="C2772" s="8">
        <v>3580</v>
      </c>
      <c r="D2772" s="16">
        <v>-4.6002639999999997E-2</v>
      </c>
      <c r="E2772">
        <v>-2.3001319999999999E-2</v>
      </c>
    </row>
    <row r="2773" spans="1:5" x14ac:dyDescent="0.3">
      <c r="A2773" s="8">
        <v>74</v>
      </c>
      <c r="B2773" s="8">
        <v>71</v>
      </c>
      <c r="C2773" s="8">
        <v>3569</v>
      </c>
      <c r="D2773" s="16">
        <v>-1.8225149999999999E-2</v>
      </c>
      <c r="E2773">
        <v>-9.1125749999999995E-3</v>
      </c>
    </row>
    <row r="2774" spans="1:5" x14ac:dyDescent="0.3">
      <c r="A2774" s="8">
        <v>74</v>
      </c>
      <c r="B2774" s="8">
        <v>72</v>
      </c>
      <c r="C2774" s="8">
        <v>3560</v>
      </c>
      <c r="D2774" s="16">
        <v>-3.2979679999999997E-2</v>
      </c>
      <c r="E2774">
        <v>-1.6489839999999999E-2</v>
      </c>
    </row>
    <row r="2775" spans="1:5" x14ac:dyDescent="0.3">
      <c r="A2775" s="8">
        <v>74</v>
      </c>
      <c r="B2775" s="8">
        <v>73</v>
      </c>
      <c r="C2775" s="8">
        <v>3598</v>
      </c>
      <c r="D2775" s="16">
        <v>-4.3521660000000002E-3</v>
      </c>
      <c r="E2775">
        <v>-2.1760830000000001E-3</v>
      </c>
    </row>
    <row r="2776" spans="1:5" x14ac:dyDescent="0.3">
      <c r="A2776" s="8">
        <v>74</v>
      </c>
      <c r="B2776" s="8">
        <v>74</v>
      </c>
      <c r="C2776" s="8">
        <v>3870</v>
      </c>
      <c r="D2776" s="16">
        <v>1.0278050000000001</v>
      </c>
      <c r="E2776"/>
    </row>
    <row r="2777" spans="1:5" x14ac:dyDescent="0.3">
      <c r="A2777" s="8">
        <v>75</v>
      </c>
      <c r="B2777" s="8">
        <v>1</v>
      </c>
      <c r="C2777" s="8">
        <v>3607</v>
      </c>
      <c r="D2777" s="16">
        <v>8.1316919999999994E-3</v>
      </c>
      <c r="E2777">
        <v>4.0658459999999997E-3</v>
      </c>
    </row>
    <row r="2778" spans="1:5" x14ac:dyDescent="0.3">
      <c r="A2778" s="8">
        <v>75</v>
      </c>
      <c r="B2778" s="8">
        <v>2</v>
      </c>
      <c r="C2778" s="8">
        <v>3590</v>
      </c>
      <c r="D2778" s="16">
        <v>1.715349E-2</v>
      </c>
      <c r="E2778">
        <v>8.5767450000000002E-3</v>
      </c>
    </row>
    <row r="2779" spans="1:5" x14ac:dyDescent="0.3">
      <c r="A2779" s="8">
        <v>75</v>
      </c>
      <c r="B2779" s="8">
        <v>3</v>
      </c>
      <c r="C2779" s="8">
        <v>3607</v>
      </c>
      <c r="D2779" s="16">
        <v>-1.7550610000000001E-2</v>
      </c>
      <c r="E2779">
        <v>-8.7753050000000006E-3</v>
      </c>
    </row>
    <row r="2780" spans="1:5" x14ac:dyDescent="0.3">
      <c r="A2780" s="8">
        <v>75</v>
      </c>
      <c r="B2780" s="8">
        <v>4</v>
      </c>
      <c r="C2780" s="8">
        <v>3556</v>
      </c>
      <c r="D2780" s="16">
        <v>3.3465079999999998E-4</v>
      </c>
      <c r="E2780">
        <v>1.6732539999999999E-4</v>
      </c>
    </row>
    <row r="2781" spans="1:5" x14ac:dyDescent="0.3">
      <c r="A2781" s="8">
        <v>75</v>
      </c>
      <c r="B2781" s="8">
        <v>5</v>
      </c>
      <c r="C2781" s="8">
        <v>3589</v>
      </c>
      <c r="D2781" s="16">
        <v>-1.5403180000000001E-2</v>
      </c>
      <c r="E2781">
        <v>-7.7015900000000003E-3</v>
      </c>
    </row>
    <row r="2782" spans="1:5" x14ac:dyDescent="0.3">
      <c r="A2782" s="8">
        <v>75</v>
      </c>
      <c r="B2782" s="8">
        <v>6</v>
      </c>
      <c r="C2782" s="8">
        <v>3584</v>
      </c>
      <c r="D2782" s="16">
        <v>3.7686970000000001E-3</v>
      </c>
      <c r="E2782">
        <v>1.8843485000000001E-3</v>
      </c>
    </row>
    <row r="2783" spans="1:5" x14ac:dyDescent="0.3">
      <c r="A2783" s="8">
        <v>75</v>
      </c>
      <c r="B2783" s="8">
        <v>7</v>
      </c>
      <c r="C2783" s="8">
        <v>3535</v>
      </c>
      <c r="D2783" s="16">
        <v>1.6546700000000001E-2</v>
      </c>
      <c r="E2783">
        <v>8.2733500000000005E-3</v>
      </c>
    </row>
    <row r="2784" spans="1:5" x14ac:dyDescent="0.3">
      <c r="A2784" s="8">
        <v>75</v>
      </c>
      <c r="B2784" s="8">
        <v>8</v>
      </c>
      <c r="C2784" s="8">
        <v>3592</v>
      </c>
      <c r="D2784" s="16">
        <v>-2.6922209999999999E-2</v>
      </c>
      <c r="E2784">
        <v>-1.3461104999999999E-2</v>
      </c>
    </row>
    <row r="2785" spans="1:5" x14ac:dyDescent="0.3">
      <c r="A2785" s="8">
        <v>75</v>
      </c>
      <c r="B2785" s="8">
        <v>9</v>
      </c>
      <c r="C2785" s="8">
        <v>3591</v>
      </c>
      <c r="D2785" s="16">
        <v>-3.5813970000000001E-2</v>
      </c>
      <c r="E2785">
        <v>-1.7906985E-2</v>
      </c>
    </row>
    <row r="2786" spans="1:5" x14ac:dyDescent="0.3">
      <c r="A2786" s="8">
        <v>75</v>
      </c>
      <c r="B2786" s="8">
        <v>10</v>
      </c>
      <c r="C2786" s="8">
        <v>3595</v>
      </c>
      <c r="D2786" s="16">
        <v>-3.1413610000000002E-2</v>
      </c>
      <c r="E2786">
        <v>-1.5706805000000001E-2</v>
      </c>
    </row>
    <row r="2787" spans="1:5" x14ac:dyDescent="0.3">
      <c r="A2787" s="8">
        <v>75</v>
      </c>
      <c r="B2787" s="8">
        <v>11</v>
      </c>
      <c r="C2787" s="8">
        <v>3595</v>
      </c>
      <c r="D2787" s="16">
        <v>-6.0531269999999998E-2</v>
      </c>
      <c r="E2787">
        <v>-3.0265634999999999E-2</v>
      </c>
    </row>
    <row r="2788" spans="1:5" x14ac:dyDescent="0.3">
      <c r="A2788" s="8">
        <v>75</v>
      </c>
      <c r="B2788" s="8">
        <v>12</v>
      </c>
      <c r="C2788" s="8">
        <v>3603</v>
      </c>
      <c r="D2788" s="16">
        <v>-2.6856640000000001E-2</v>
      </c>
      <c r="E2788">
        <v>-1.3428320000000001E-2</v>
      </c>
    </row>
    <row r="2789" spans="1:5" x14ac:dyDescent="0.3">
      <c r="A2789" s="8">
        <v>75</v>
      </c>
      <c r="B2789" s="8">
        <v>13</v>
      </c>
      <c r="C2789" s="8">
        <v>3594</v>
      </c>
      <c r="D2789" s="16">
        <v>2.258197E-3</v>
      </c>
      <c r="E2789">
        <v>1.1290985E-3</v>
      </c>
    </row>
    <row r="2790" spans="1:5" x14ac:dyDescent="0.3">
      <c r="A2790" s="8">
        <v>75</v>
      </c>
      <c r="B2790" s="8">
        <v>14</v>
      </c>
      <c r="C2790" s="8">
        <v>3585</v>
      </c>
      <c r="D2790" s="16">
        <v>-1.4769249999999999E-2</v>
      </c>
      <c r="E2790">
        <v>-7.3846249999999997E-3</v>
      </c>
    </row>
    <row r="2791" spans="1:5" x14ac:dyDescent="0.3">
      <c r="A2791" s="8">
        <v>75</v>
      </c>
      <c r="B2791" s="8">
        <v>15</v>
      </c>
      <c r="C2791" s="8">
        <v>3600</v>
      </c>
      <c r="D2791" s="16">
        <v>-4.431618E-3</v>
      </c>
      <c r="E2791">
        <v>-2.215809E-3</v>
      </c>
    </row>
    <row r="2792" spans="1:5" x14ac:dyDescent="0.3">
      <c r="A2792" s="8">
        <v>75</v>
      </c>
      <c r="B2792" s="8">
        <v>16</v>
      </c>
      <c r="C2792" s="8">
        <v>3578</v>
      </c>
      <c r="D2792" s="16">
        <v>-3.251042E-3</v>
      </c>
      <c r="E2792">
        <v>-1.625521E-3</v>
      </c>
    </row>
    <row r="2793" spans="1:5" x14ac:dyDescent="0.3">
      <c r="A2793" s="8">
        <v>75</v>
      </c>
      <c r="B2793" s="8">
        <v>17</v>
      </c>
      <c r="C2793" s="8">
        <v>3591</v>
      </c>
      <c r="D2793" s="16">
        <v>-6.0048360000000004E-3</v>
      </c>
      <c r="E2793">
        <v>-3.0024180000000002E-3</v>
      </c>
    </row>
    <row r="2794" spans="1:5" x14ac:dyDescent="0.3">
      <c r="A2794" s="8">
        <v>75</v>
      </c>
      <c r="B2794" s="8">
        <v>18</v>
      </c>
      <c r="C2794" s="8">
        <v>3583</v>
      </c>
      <c r="D2794" s="16">
        <v>-2.48776E-2</v>
      </c>
      <c r="E2794">
        <v>-1.24388E-2</v>
      </c>
    </row>
    <row r="2795" spans="1:5" x14ac:dyDescent="0.3">
      <c r="A2795" s="8">
        <v>75</v>
      </c>
      <c r="B2795" s="8">
        <v>19</v>
      </c>
      <c r="C2795" s="8">
        <v>3575</v>
      </c>
      <c r="D2795" s="16">
        <v>2.3686189999999999E-2</v>
      </c>
      <c r="E2795">
        <v>1.1843095E-2</v>
      </c>
    </row>
    <row r="2796" spans="1:5" x14ac:dyDescent="0.3">
      <c r="A2796" s="8">
        <v>75</v>
      </c>
      <c r="B2796" s="8">
        <v>20</v>
      </c>
      <c r="C2796" s="8">
        <v>3566</v>
      </c>
      <c r="D2796" s="16">
        <v>6.750842E-3</v>
      </c>
      <c r="E2796">
        <v>3.375421E-3</v>
      </c>
    </row>
    <row r="2797" spans="1:5" x14ac:dyDescent="0.3">
      <c r="A2797" s="8">
        <v>75</v>
      </c>
      <c r="B2797" s="8">
        <v>21</v>
      </c>
      <c r="C2797" s="8">
        <v>3624</v>
      </c>
      <c r="D2797" s="16">
        <v>-3.1271109999999998E-2</v>
      </c>
      <c r="E2797">
        <v>-1.5635554999999999E-2</v>
      </c>
    </row>
    <row r="2798" spans="1:5" x14ac:dyDescent="0.3">
      <c r="A2798" s="8">
        <v>75</v>
      </c>
      <c r="B2798" s="8">
        <v>22</v>
      </c>
      <c r="C2798" s="8">
        <v>3586</v>
      </c>
      <c r="D2798" s="16">
        <v>1.985222E-3</v>
      </c>
      <c r="E2798">
        <v>9.9261100000000001E-4</v>
      </c>
    </row>
    <row r="2799" spans="1:5" x14ac:dyDescent="0.3">
      <c r="A2799" s="8">
        <v>75</v>
      </c>
      <c r="B2799" s="8">
        <v>23</v>
      </c>
      <c r="C2799" s="8">
        <v>3581</v>
      </c>
      <c r="D2799" s="16">
        <v>9.9460799999999995E-3</v>
      </c>
      <c r="E2799">
        <v>4.9730399999999998E-3</v>
      </c>
    </row>
    <row r="2800" spans="1:5" x14ac:dyDescent="0.3">
      <c r="A2800" s="8">
        <v>75</v>
      </c>
      <c r="B2800" s="8">
        <v>24</v>
      </c>
      <c r="C2800" s="8">
        <v>3610</v>
      </c>
      <c r="D2800" s="16">
        <v>3.7041339999999999E-2</v>
      </c>
      <c r="E2800">
        <v>1.8520669999999999E-2</v>
      </c>
    </row>
    <row r="2801" spans="1:5" x14ac:dyDescent="0.3">
      <c r="A2801" s="8">
        <v>75</v>
      </c>
      <c r="B2801" s="8">
        <v>25</v>
      </c>
      <c r="C2801" s="8">
        <v>3576</v>
      </c>
      <c r="D2801" s="16">
        <v>-2.846908E-3</v>
      </c>
      <c r="E2801">
        <v>-1.423454E-3</v>
      </c>
    </row>
    <row r="2802" spans="1:5" x14ac:dyDescent="0.3">
      <c r="A2802" s="8">
        <v>75</v>
      </c>
      <c r="B2802" s="8">
        <v>26</v>
      </c>
      <c r="C2802" s="8">
        <v>3604</v>
      </c>
      <c r="D2802" s="16">
        <v>-3.6553229999999999E-2</v>
      </c>
      <c r="E2802">
        <v>-1.8276615E-2</v>
      </c>
    </row>
    <row r="2803" spans="1:5" x14ac:dyDescent="0.3">
      <c r="A2803" s="8">
        <v>75</v>
      </c>
      <c r="B2803" s="8">
        <v>27</v>
      </c>
      <c r="C2803" s="8">
        <v>3580</v>
      </c>
      <c r="D2803" s="16">
        <v>-1.8010109999999999E-2</v>
      </c>
      <c r="E2803">
        <v>-9.0050549999999997E-3</v>
      </c>
    </row>
    <row r="2804" spans="1:5" x14ac:dyDescent="0.3">
      <c r="A2804" s="8">
        <v>75</v>
      </c>
      <c r="B2804" s="8">
        <v>28</v>
      </c>
      <c r="C2804" s="8">
        <v>3544</v>
      </c>
      <c r="D2804" s="16">
        <v>-1.5839820000000001E-2</v>
      </c>
      <c r="E2804">
        <v>-7.9199100000000005E-3</v>
      </c>
    </row>
    <row r="2805" spans="1:5" x14ac:dyDescent="0.3">
      <c r="A2805" s="8">
        <v>75</v>
      </c>
      <c r="B2805" s="8">
        <v>29</v>
      </c>
      <c r="C2805" s="8">
        <v>3570</v>
      </c>
      <c r="D2805" s="16">
        <v>-1.545153E-2</v>
      </c>
      <c r="E2805">
        <v>-7.7257649999999999E-3</v>
      </c>
    </row>
    <row r="2806" spans="1:5" x14ac:dyDescent="0.3">
      <c r="A2806" s="8">
        <v>75</v>
      </c>
      <c r="B2806" s="8">
        <v>30</v>
      </c>
      <c r="C2806" s="8">
        <v>3569</v>
      </c>
      <c r="D2806" s="16">
        <v>9.7691900000000005E-3</v>
      </c>
      <c r="E2806">
        <v>4.8845950000000003E-3</v>
      </c>
    </row>
    <row r="2807" spans="1:5" x14ac:dyDescent="0.3">
      <c r="A2807" s="8">
        <v>75</v>
      </c>
      <c r="B2807" s="8">
        <v>31</v>
      </c>
      <c r="C2807" s="8">
        <v>3493</v>
      </c>
      <c r="D2807" s="16">
        <v>-1.1527300000000001E-2</v>
      </c>
      <c r="E2807">
        <v>-5.7636500000000004E-3</v>
      </c>
    </row>
    <row r="2808" spans="1:5" x14ac:dyDescent="0.3">
      <c r="A2808" s="8">
        <v>75</v>
      </c>
      <c r="B2808" s="8">
        <v>32</v>
      </c>
      <c r="C2808" s="8">
        <v>3554</v>
      </c>
      <c r="D2808" s="16">
        <v>3.7482090000000003E-2</v>
      </c>
      <c r="E2808">
        <v>1.8741045000000001E-2</v>
      </c>
    </row>
    <row r="2809" spans="1:5" x14ac:dyDescent="0.3">
      <c r="A2809" s="8">
        <v>75</v>
      </c>
      <c r="B2809" s="8">
        <v>33</v>
      </c>
      <c r="C2809" s="8">
        <v>3605</v>
      </c>
      <c r="D2809" s="16">
        <v>1.837596E-2</v>
      </c>
      <c r="E2809">
        <v>9.1879800000000001E-3</v>
      </c>
    </row>
    <row r="2810" spans="1:5" x14ac:dyDescent="0.3">
      <c r="A2810" s="8">
        <v>75</v>
      </c>
      <c r="B2810" s="8">
        <v>34</v>
      </c>
      <c r="C2810" s="8">
        <v>3610</v>
      </c>
      <c r="D2810" s="16">
        <v>-1.1857120000000001E-2</v>
      </c>
      <c r="E2810">
        <v>-5.9285600000000003E-3</v>
      </c>
    </row>
    <row r="2811" spans="1:5" x14ac:dyDescent="0.3">
      <c r="A2811" s="8">
        <v>75</v>
      </c>
      <c r="B2811" s="8">
        <v>35</v>
      </c>
      <c r="C2811" s="8">
        <v>3581</v>
      </c>
      <c r="D2811" s="16">
        <v>-5.9945470000000001E-2</v>
      </c>
      <c r="E2811">
        <v>-2.9972735E-2</v>
      </c>
    </row>
    <row r="2812" spans="1:5" x14ac:dyDescent="0.3">
      <c r="A2812" s="8">
        <v>75</v>
      </c>
      <c r="B2812" s="8">
        <v>36</v>
      </c>
      <c r="C2812" s="8">
        <v>3583</v>
      </c>
      <c r="D2812" s="16">
        <v>-1.6878710000000001E-3</v>
      </c>
      <c r="E2812">
        <v>-8.4393550000000004E-4</v>
      </c>
    </row>
    <row r="2813" spans="1:5" x14ac:dyDescent="0.3">
      <c r="A2813" s="8">
        <v>75</v>
      </c>
      <c r="B2813" s="8">
        <v>37</v>
      </c>
      <c r="C2813" s="8">
        <v>3563</v>
      </c>
      <c r="D2813" s="16">
        <v>-1.137146E-2</v>
      </c>
      <c r="E2813">
        <v>-5.68573E-3</v>
      </c>
    </row>
    <row r="2814" spans="1:5" x14ac:dyDescent="0.3">
      <c r="A2814" s="8">
        <v>75</v>
      </c>
      <c r="B2814" s="8">
        <v>38</v>
      </c>
      <c r="C2814" s="8">
        <v>3603</v>
      </c>
      <c r="D2814" s="16">
        <v>-2.006927E-2</v>
      </c>
      <c r="E2814">
        <v>-1.0034635E-2</v>
      </c>
    </row>
    <row r="2815" spans="1:5" x14ac:dyDescent="0.3">
      <c r="A2815" s="8">
        <v>75</v>
      </c>
      <c r="B2815" s="8">
        <v>39</v>
      </c>
      <c r="C2815" s="8">
        <v>3588</v>
      </c>
      <c r="D2815" s="16">
        <v>2.7246869999999999E-2</v>
      </c>
      <c r="E2815">
        <v>1.3623435E-2</v>
      </c>
    </row>
    <row r="2816" spans="1:5" x14ac:dyDescent="0.3">
      <c r="A2816" s="8">
        <v>75</v>
      </c>
      <c r="B2816" s="8">
        <v>40</v>
      </c>
      <c r="C2816" s="8">
        <v>3600</v>
      </c>
      <c r="D2816" s="16">
        <v>8.8008979999999997E-3</v>
      </c>
      <c r="E2816">
        <v>4.4004489999999999E-3</v>
      </c>
    </row>
    <row r="2817" spans="1:5" x14ac:dyDescent="0.3">
      <c r="A2817" s="8">
        <v>75</v>
      </c>
      <c r="B2817" s="8">
        <v>41</v>
      </c>
      <c r="C2817" s="8">
        <v>3547</v>
      </c>
      <c r="D2817" s="16">
        <v>1.8992120000000001E-2</v>
      </c>
      <c r="E2817">
        <v>9.4960600000000006E-3</v>
      </c>
    </row>
    <row r="2818" spans="1:5" x14ac:dyDescent="0.3">
      <c r="A2818" s="8">
        <v>75</v>
      </c>
      <c r="B2818" s="8">
        <v>42</v>
      </c>
      <c r="C2818" s="8">
        <v>3585</v>
      </c>
      <c r="D2818" s="16">
        <v>-1.44447E-2</v>
      </c>
      <c r="E2818">
        <v>-7.2223499999999998E-3</v>
      </c>
    </row>
    <row r="2819" spans="1:5" x14ac:dyDescent="0.3">
      <c r="A2819" s="8">
        <v>75</v>
      </c>
      <c r="B2819" s="8">
        <v>43</v>
      </c>
      <c r="C2819" s="8">
        <v>3563</v>
      </c>
      <c r="D2819" s="16">
        <v>7.7337070000000003E-3</v>
      </c>
      <c r="E2819">
        <v>3.8668535000000001E-3</v>
      </c>
    </row>
    <row r="2820" spans="1:5" x14ac:dyDescent="0.3">
      <c r="A2820" s="8">
        <v>75</v>
      </c>
      <c r="B2820" s="8">
        <v>44</v>
      </c>
      <c r="C2820" s="8">
        <v>3546</v>
      </c>
      <c r="D2820" s="16">
        <v>-3.9033119999999998E-2</v>
      </c>
      <c r="E2820">
        <v>-1.9516559999999999E-2</v>
      </c>
    </row>
    <row r="2821" spans="1:5" x14ac:dyDescent="0.3">
      <c r="A2821" s="8">
        <v>75</v>
      </c>
      <c r="B2821" s="8">
        <v>45</v>
      </c>
      <c r="C2821" s="8">
        <v>3590</v>
      </c>
      <c r="D2821" s="16">
        <v>-1.3586010000000001E-2</v>
      </c>
      <c r="E2821">
        <v>-6.7930050000000004E-3</v>
      </c>
    </row>
    <row r="2822" spans="1:5" x14ac:dyDescent="0.3">
      <c r="A2822" s="8">
        <v>75</v>
      </c>
      <c r="B2822" s="8">
        <v>46</v>
      </c>
      <c r="C2822" s="8">
        <v>3588</v>
      </c>
      <c r="D2822" s="16">
        <v>-1.423026E-2</v>
      </c>
      <c r="E2822">
        <v>-7.1151299999999999E-3</v>
      </c>
    </row>
    <row r="2823" spans="1:5" x14ac:dyDescent="0.3">
      <c r="A2823" s="8">
        <v>75</v>
      </c>
      <c r="B2823" s="8">
        <v>47</v>
      </c>
      <c r="C2823" s="8">
        <v>3589</v>
      </c>
      <c r="D2823" s="16">
        <v>-1.7033179999999998E-2</v>
      </c>
      <c r="E2823">
        <v>-8.5165899999999992E-3</v>
      </c>
    </row>
    <row r="2824" spans="1:5" x14ac:dyDescent="0.3">
      <c r="A2824" s="8">
        <v>75</v>
      </c>
      <c r="B2824" s="8">
        <v>48</v>
      </c>
      <c r="C2824" s="8">
        <v>3559</v>
      </c>
      <c r="D2824" s="16">
        <v>-2.434294E-2</v>
      </c>
      <c r="E2824">
        <v>-1.217147E-2</v>
      </c>
    </row>
    <row r="2825" spans="1:5" x14ac:dyDescent="0.3">
      <c r="A2825" s="8">
        <v>75</v>
      </c>
      <c r="B2825" s="8">
        <v>49</v>
      </c>
      <c r="C2825" s="8">
        <v>3587</v>
      </c>
      <c r="D2825" s="16">
        <v>2.996451E-2</v>
      </c>
      <c r="E2825">
        <v>1.4982255E-2</v>
      </c>
    </row>
    <row r="2826" spans="1:5" x14ac:dyDescent="0.3">
      <c r="A2826" s="8">
        <v>75</v>
      </c>
      <c r="B2826" s="8">
        <v>50</v>
      </c>
      <c r="C2826" s="8">
        <v>3602</v>
      </c>
      <c r="D2826" s="16">
        <v>-2.8877489999999999E-2</v>
      </c>
      <c r="E2826">
        <v>-1.4438744999999999E-2</v>
      </c>
    </row>
    <row r="2827" spans="1:5" x14ac:dyDescent="0.3">
      <c r="A2827" s="8">
        <v>75</v>
      </c>
      <c r="B2827" s="8">
        <v>51</v>
      </c>
      <c r="C2827" s="8">
        <v>3572</v>
      </c>
      <c r="D2827" s="16">
        <v>1.8678119999999999E-2</v>
      </c>
      <c r="E2827">
        <v>9.3390599999999997E-3</v>
      </c>
    </row>
    <row r="2828" spans="1:5" x14ac:dyDescent="0.3">
      <c r="A2828" s="8">
        <v>75</v>
      </c>
      <c r="B2828" s="8">
        <v>52</v>
      </c>
      <c r="C2828" s="8">
        <v>3564</v>
      </c>
      <c r="D2828" s="16">
        <v>-4.3466540000000001E-3</v>
      </c>
      <c r="E2828">
        <v>-2.1733270000000001E-3</v>
      </c>
    </row>
    <row r="2829" spans="1:5" x14ac:dyDescent="0.3">
      <c r="A2829" s="8">
        <v>75</v>
      </c>
      <c r="B2829" s="8">
        <v>53</v>
      </c>
      <c r="C2829" s="8">
        <v>3578</v>
      </c>
      <c r="D2829" s="16">
        <v>-3.5827480000000002E-2</v>
      </c>
      <c r="E2829">
        <v>-1.7913740000000001E-2</v>
      </c>
    </row>
    <row r="2830" spans="1:5" x14ac:dyDescent="0.3">
      <c r="A2830" s="8">
        <v>75</v>
      </c>
      <c r="B2830" s="8">
        <v>54</v>
      </c>
      <c r="C2830" s="8">
        <v>3578</v>
      </c>
      <c r="D2830" s="16">
        <v>2.5212769999999999E-2</v>
      </c>
      <c r="E2830">
        <v>1.2606384999999999E-2</v>
      </c>
    </row>
    <row r="2831" spans="1:5" x14ac:dyDescent="0.3">
      <c r="A2831" s="8">
        <v>75</v>
      </c>
      <c r="B2831" s="8">
        <v>55</v>
      </c>
      <c r="C2831" s="8">
        <v>3594</v>
      </c>
      <c r="D2831" s="16">
        <v>-2.6495990000000001E-2</v>
      </c>
      <c r="E2831">
        <v>-1.3247995E-2</v>
      </c>
    </row>
    <row r="2832" spans="1:5" x14ac:dyDescent="0.3">
      <c r="A2832" s="8">
        <v>75</v>
      </c>
      <c r="B2832" s="8">
        <v>56</v>
      </c>
      <c r="C2832" s="8">
        <v>3602</v>
      </c>
      <c r="D2832" s="16">
        <v>-4.0494769999999999E-2</v>
      </c>
      <c r="E2832">
        <v>-2.0247385E-2</v>
      </c>
    </row>
    <row r="2833" spans="1:5" x14ac:dyDescent="0.3">
      <c r="A2833" s="8">
        <v>75</v>
      </c>
      <c r="B2833" s="8">
        <v>57</v>
      </c>
      <c r="C2833" s="8">
        <v>3602</v>
      </c>
      <c r="D2833" s="16">
        <v>-4.7020170000000002E-3</v>
      </c>
      <c r="E2833">
        <v>-2.3510085000000001E-3</v>
      </c>
    </row>
    <row r="2834" spans="1:5" x14ac:dyDescent="0.3">
      <c r="A2834" s="8">
        <v>75</v>
      </c>
      <c r="B2834" s="8">
        <v>58</v>
      </c>
      <c r="C2834" s="8">
        <v>3588</v>
      </c>
      <c r="D2834" s="16">
        <v>-2.7773260000000001E-2</v>
      </c>
      <c r="E2834">
        <v>-1.3886630000000001E-2</v>
      </c>
    </row>
    <row r="2835" spans="1:5" x14ac:dyDescent="0.3">
      <c r="A2835" s="8">
        <v>75</v>
      </c>
      <c r="B2835" s="8">
        <v>59</v>
      </c>
      <c r="C2835" s="8">
        <v>3612</v>
      </c>
      <c r="D2835" s="16">
        <v>-6.3777009999999995E-2</v>
      </c>
      <c r="E2835">
        <v>-3.1888504999999998E-2</v>
      </c>
    </row>
    <row r="2836" spans="1:5" x14ac:dyDescent="0.3">
      <c r="A2836" s="8">
        <v>75</v>
      </c>
      <c r="B2836" s="8">
        <v>60</v>
      </c>
      <c r="C2836" s="8">
        <v>3585</v>
      </c>
      <c r="D2836" s="16">
        <v>-5.261391E-2</v>
      </c>
      <c r="E2836">
        <v>-2.6306955E-2</v>
      </c>
    </row>
    <row r="2837" spans="1:5" x14ac:dyDescent="0.3">
      <c r="A2837" s="8">
        <v>75</v>
      </c>
      <c r="B2837" s="8">
        <v>61</v>
      </c>
      <c r="C2837" s="8">
        <v>3580</v>
      </c>
      <c r="D2837" s="16">
        <v>-4.328452E-2</v>
      </c>
      <c r="E2837">
        <v>-2.164226E-2</v>
      </c>
    </row>
    <row r="2838" spans="1:5" x14ac:dyDescent="0.3">
      <c r="A2838" s="8">
        <v>75</v>
      </c>
      <c r="B2838" s="8">
        <v>62</v>
      </c>
      <c r="C2838" s="8">
        <v>3615</v>
      </c>
      <c r="D2838" s="16">
        <v>8.7982340000000003E-3</v>
      </c>
      <c r="E2838">
        <v>4.3991170000000001E-3</v>
      </c>
    </row>
    <row r="2839" spans="1:5" x14ac:dyDescent="0.3">
      <c r="A2839" s="8">
        <v>75</v>
      </c>
      <c r="B2839" s="8">
        <v>63</v>
      </c>
      <c r="C2839" s="8">
        <v>3604</v>
      </c>
      <c r="D2839" s="16">
        <v>-1.397602E-2</v>
      </c>
      <c r="E2839">
        <v>-6.9880100000000002E-3</v>
      </c>
    </row>
    <row r="2840" spans="1:5" x14ac:dyDescent="0.3">
      <c r="A2840" s="8">
        <v>75</v>
      </c>
      <c r="B2840" s="8">
        <v>64</v>
      </c>
      <c r="C2840" s="8">
        <v>3567</v>
      </c>
      <c r="D2840" s="16">
        <v>-4.0895870000000001E-2</v>
      </c>
      <c r="E2840">
        <v>-2.0447935E-2</v>
      </c>
    </row>
    <row r="2841" spans="1:5" x14ac:dyDescent="0.3">
      <c r="A2841" s="8">
        <v>75</v>
      </c>
      <c r="B2841" s="8">
        <v>65</v>
      </c>
      <c r="C2841" s="8">
        <v>3599</v>
      </c>
      <c r="D2841" s="16">
        <v>-2.6903679999999999E-2</v>
      </c>
      <c r="E2841">
        <v>-1.345184E-2</v>
      </c>
    </row>
    <row r="2842" spans="1:5" x14ac:dyDescent="0.3">
      <c r="A2842" s="8">
        <v>75</v>
      </c>
      <c r="B2842" s="8">
        <v>66</v>
      </c>
      <c r="C2842" s="8">
        <v>3608</v>
      </c>
      <c r="D2842" s="16">
        <v>-3.5274270000000003E-2</v>
      </c>
      <c r="E2842">
        <v>-1.7637135000000002E-2</v>
      </c>
    </row>
    <row r="2843" spans="1:5" x14ac:dyDescent="0.3">
      <c r="A2843" s="8">
        <v>75</v>
      </c>
      <c r="B2843" s="8">
        <v>67</v>
      </c>
      <c r="C2843" s="8">
        <v>3586</v>
      </c>
      <c r="D2843" s="16">
        <v>-4.1181040000000002E-2</v>
      </c>
      <c r="E2843">
        <v>-2.0590520000000001E-2</v>
      </c>
    </row>
    <row r="2844" spans="1:5" x14ac:dyDescent="0.3">
      <c r="A2844" s="8">
        <v>75</v>
      </c>
      <c r="B2844" s="8">
        <v>68</v>
      </c>
      <c r="C2844" s="8">
        <v>3553</v>
      </c>
      <c r="D2844" s="16">
        <v>1.385019E-2</v>
      </c>
      <c r="E2844">
        <v>6.925095E-3</v>
      </c>
    </row>
    <row r="2845" spans="1:5" x14ac:dyDescent="0.3">
      <c r="A2845" s="8">
        <v>75</v>
      </c>
      <c r="B2845" s="8">
        <v>69</v>
      </c>
      <c r="C2845" s="8">
        <v>3586</v>
      </c>
      <c r="D2845" s="16">
        <v>-1.261433E-2</v>
      </c>
      <c r="E2845">
        <v>-6.307165E-3</v>
      </c>
    </row>
    <row r="2846" spans="1:5" x14ac:dyDescent="0.3">
      <c r="A2846" s="8">
        <v>75</v>
      </c>
      <c r="B2846" s="8">
        <v>70</v>
      </c>
      <c r="C2846" s="8">
        <v>3581</v>
      </c>
      <c r="D2846" s="16">
        <v>-1.0769E-3</v>
      </c>
      <c r="E2846">
        <v>-5.3845E-4</v>
      </c>
    </row>
    <row r="2847" spans="1:5" x14ac:dyDescent="0.3">
      <c r="A2847" s="8">
        <v>75</v>
      </c>
      <c r="B2847" s="8">
        <v>71</v>
      </c>
      <c r="C2847" s="8">
        <v>3576</v>
      </c>
      <c r="D2847" s="16">
        <v>-9.0774490000000002E-4</v>
      </c>
      <c r="E2847">
        <v>-4.5387245000000001E-4</v>
      </c>
    </row>
    <row r="2848" spans="1:5" x14ac:dyDescent="0.3">
      <c r="A2848" s="8">
        <v>75</v>
      </c>
      <c r="B2848" s="8">
        <v>72</v>
      </c>
      <c r="C2848" s="8">
        <v>3559</v>
      </c>
      <c r="D2848" s="16">
        <v>-3.9508910000000001E-2</v>
      </c>
      <c r="E2848">
        <v>-1.9754455000000001E-2</v>
      </c>
    </row>
    <row r="2849" spans="1:5" x14ac:dyDescent="0.3">
      <c r="A2849" s="8">
        <v>75</v>
      </c>
      <c r="B2849" s="8">
        <v>73</v>
      </c>
      <c r="C2849" s="8">
        <v>3590</v>
      </c>
      <c r="D2849" s="16">
        <v>-2.144012E-2</v>
      </c>
      <c r="E2849">
        <v>-1.072006E-2</v>
      </c>
    </row>
    <row r="2850" spans="1:5" x14ac:dyDescent="0.3">
      <c r="A2850" s="8">
        <v>75</v>
      </c>
      <c r="B2850" s="8">
        <v>74</v>
      </c>
      <c r="C2850" s="8">
        <v>3573</v>
      </c>
      <c r="D2850" s="16">
        <v>-1.0081379999999999E-2</v>
      </c>
      <c r="E2850">
        <v>-5.0406899999999996E-3</v>
      </c>
    </row>
    <row r="2851" spans="1:5" x14ac:dyDescent="0.3">
      <c r="A2851" s="8">
        <v>75</v>
      </c>
      <c r="B2851" s="8">
        <v>75</v>
      </c>
      <c r="C2851" s="8">
        <v>3865</v>
      </c>
      <c r="D2851" s="16">
        <v>1.0081370000000001</v>
      </c>
      <c r="E2851"/>
    </row>
    <row r="2852" spans="1:5" x14ac:dyDescent="0.3">
      <c r="A2852" s="8">
        <v>76</v>
      </c>
      <c r="B2852" s="8">
        <v>1</v>
      </c>
      <c r="C2852" s="8">
        <v>3629</v>
      </c>
      <c r="D2852" s="16">
        <v>-2.240149E-2</v>
      </c>
      <c r="E2852">
        <v>-1.1200745E-2</v>
      </c>
    </row>
    <row r="2853" spans="1:5" x14ac:dyDescent="0.3">
      <c r="A2853" s="8">
        <v>76</v>
      </c>
      <c r="B2853" s="8">
        <v>2</v>
      </c>
      <c r="C2853" s="8">
        <v>3625</v>
      </c>
      <c r="D2853" s="16">
        <v>-5.3315100000000002E-3</v>
      </c>
      <c r="E2853">
        <v>-2.6657550000000001E-3</v>
      </c>
    </row>
    <row r="2854" spans="1:5" x14ac:dyDescent="0.3">
      <c r="A2854" s="8">
        <v>76</v>
      </c>
      <c r="B2854" s="8">
        <v>3</v>
      </c>
      <c r="C2854" s="8">
        <v>3627</v>
      </c>
      <c r="D2854" s="16">
        <v>1.357129E-2</v>
      </c>
      <c r="E2854">
        <v>6.7856449999999999E-3</v>
      </c>
    </row>
    <row r="2855" spans="1:5" x14ac:dyDescent="0.3">
      <c r="A2855" s="8">
        <v>76</v>
      </c>
      <c r="B2855" s="8">
        <v>4</v>
      </c>
      <c r="C2855" s="8">
        <v>3603</v>
      </c>
      <c r="D2855" s="16">
        <v>-2.815107E-2</v>
      </c>
      <c r="E2855">
        <v>-1.4075535E-2</v>
      </c>
    </row>
    <row r="2856" spans="1:5" x14ac:dyDescent="0.3">
      <c r="A2856" s="8">
        <v>76</v>
      </c>
      <c r="B2856" s="8">
        <v>5</v>
      </c>
      <c r="C2856" s="8">
        <v>3606</v>
      </c>
      <c r="D2856" s="16">
        <v>-3.9019739999999999E-3</v>
      </c>
      <c r="E2856">
        <v>-1.9509869999999999E-3</v>
      </c>
    </row>
    <row r="2857" spans="1:5" x14ac:dyDescent="0.3">
      <c r="A2857" s="8">
        <v>76</v>
      </c>
      <c r="B2857" s="8">
        <v>6</v>
      </c>
      <c r="C2857" s="8">
        <v>3612</v>
      </c>
      <c r="D2857" s="16">
        <v>-4.0567180000000001E-2</v>
      </c>
      <c r="E2857">
        <v>-2.0283590000000001E-2</v>
      </c>
    </row>
    <row r="2858" spans="1:5" x14ac:dyDescent="0.3">
      <c r="A2858" s="8">
        <v>76</v>
      </c>
      <c r="B2858" s="8">
        <v>7</v>
      </c>
      <c r="C2858" s="8">
        <v>3574</v>
      </c>
      <c r="D2858" s="16">
        <v>-2.788713E-2</v>
      </c>
      <c r="E2858">
        <v>-1.3943565E-2</v>
      </c>
    </row>
    <row r="2859" spans="1:5" x14ac:dyDescent="0.3">
      <c r="A2859" s="8">
        <v>76</v>
      </c>
      <c r="B2859" s="8">
        <v>8</v>
      </c>
      <c r="C2859" s="8">
        <v>3611</v>
      </c>
      <c r="D2859" s="16">
        <v>-2.1625109999999999E-2</v>
      </c>
      <c r="E2859">
        <v>-1.0812555E-2</v>
      </c>
    </row>
    <row r="2860" spans="1:5" x14ac:dyDescent="0.3">
      <c r="A2860" s="8">
        <v>76</v>
      </c>
      <c r="B2860" s="8">
        <v>9</v>
      </c>
      <c r="C2860" s="8">
        <v>3619</v>
      </c>
      <c r="D2860" s="16">
        <v>-3.100528E-2</v>
      </c>
      <c r="E2860">
        <v>-1.550264E-2</v>
      </c>
    </row>
    <row r="2861" spans="1:5" x14ac:dyDescent="0.3">
      <c r="A2861" s="8">
        <v>76</v>
      </c>
      <c r="B2861" s="8">
        <v>10</v>
      </c>
      <c r="C2861" s="8">
        <v>3621</v>
      </c>
      <c r="D2861" s="16">
        <v>-5.0001869999999997E-2</v>
      </c>
      <c r="E2861">
        <v>-2.5000934999999998E-2</v>
      </c>
    </row>
    <row r="2862" spans="1:5" x14ac:dyDescent="0.3">
      <c r="A2862" s="8">
        <v>76</v>
      </c>
      <c r="B2862" s="8">
        <v>11</v>
      </c>
      <c r="C2862" s="8">
        <v>3612</v>
      </c>
      <c r="D2862" s="16">
        <v>-5.4633130000000002E-2</v>
      </c>
      <c r="E2862">
        <v>-2.7316565000000001E-2</v>
      </c>
    </row>
    <row r="2863" spans="1:5" x14ac:dyDescent="0.3">
      <c r="A2863" s="8">
        <v>76</v>
      </c>
      <c r="B2863" s="8">
        <v>12</v>
      </c>
      <c r="C2863" s="8">
        <v>3609</v>
      </c>
      <c r="D2863" s="16">
        <v>-3.810732E-2</v>
      </c>
      <c r="E2863">
        <v>-1.905366E-2</v>
      </c>
    </row>
    <row r="2864" spans="1:5" x14ac:dyDescent="0.3">
      <c r="A2864" s="8">
        <v>76</v>
      </c>
      <c r="B2864" s="8">
        <v>13</v>
      </c>
      <c r="C2864" s="8">
        <v>3616</v>
      </c>
      <c r="D2864" s="16">
        <v>1.9579940000000001E-2</v>
      </c>
      <c r="E2864">
        <v>9.7899700000000003E-3</v>
      </c>
    </row>
    <row r="2865" spans="1:5" x14ac:dyDescent="0.3">
      <c r="A2865" s="8">
        <v>76</v>
      </c>
      <c r="B2865" s="8">
        <v>14</v>
      </c>
      <c r="C2865" s="8">
        <v>3604</v>
      </c>
      <c r="D2865" s="16">
        <v>-5.8220010000000003E-3</v>
      </c>
      <c r="E2865">
        <v>-2.9110005000000001E-3</v>
      </c>
    </row>
    <row r="2866" spans="1:5" x14ac:dyDescent="0.3">
      <c r="A2866" s="8">
        <v>76</v>
      </c>
      <c r="B2866" s="8">
        <v>15</v>
      </c>
      <c r="C2866" s="8">
        <v>3627</v>
      </c>
      <c r="D2866" s="16">
        <v>-4.0389510000000003E-2</v>
      </c>
      <c r="E2866">
        <v>-2.0194755000000002E-2</v>
      </c>
    </row>
    <row r="2867" spans="1:5" x14ac:dyDescent="0.3">
      <c r="A2867" s="8">
        <v>76</v>
      </c>
      <c r="B2867" s="8">
        <v>16</v>
      </c>
      <c r="C2867" s="8">
        <v>3608</v>
      </c>
      <c r="D2867" s="16">
        <v>2.4631589999999998E-2</v>
      </c>
      <c r="E2867">
        <v>1.2315794999999999E-2</v>
      </c>
    </row>
    <row r="2868" spans="1:5" x14ac:dyDescent="0.3">
      <c r="A2868" s="8">
        <v>76</v>
      </c>
      <c r="B2868" s="8">
        <v>17</v>
      </c>
      <c r="C2868" s="8">
        <v>3619</v>
      </c>
      <c r="D2868" s="16">
        <v>-9.0637229999999992E-3</v>
      </c>
      <c r="E2868">
        <v>-4.5318614999999996E-3</v>
      </c>
    </row>
    <row r="2869" spans="1:5" x14ac:dyDescent="0.3">
      <c r="A2869" s="8">
        <v>76</v>
      </c>
      <c r="B2869" s="8">
        <v>18</v>
      </c>
      <c r="C2869" s="8">
        <v>3615</v>
      </c>
      <c r="D2869" s="16">
        <v>-3.5308480000000003E-2</v>
      </c>
      <c r="E2869">
        <v>-1.7654240000000002E-2</v>
      </c>
    </row>
    <row r="2870" spans="1:5" x14ac:dyDescent="0.3">
      <c r="A2870" s="8">
        <v>76</v>
      </c>
      <c r="B2870" s="8">
        <v>19</v>
      </c>
      <c r="C2870" s="8">
        <v>3585</v>
      </c>
      <c r="D2870" s="16">
        <v>-1.063564E-2</v>
      </c>
      <c r="E2870">
        <v>-5.31782E-3</v>
      </c>
    </row>
    <row r="2871" spans="1:5" x14ac:dyDescent="0.3">
      <c r="A2871" s="8">
        <v>76</v>
      </c>
      <c r="B2871" s="8">
        <v>20</v>
      </c>
      <c r="C2871" s="8">
        <v>3594</v>
      </c>
      <c r="D2871" s="16">
        <v>2.854108E-2</v>
      </c>
      <c r="E2871">
        <v>1.427054E-2</v>
      </c>
    </row>
    <row r="2872" spans="1:5" x14ac:dyDescent="0.3">
      <c r="A2872" s="8">
        <v>76</v>
      </c>
      <c r="B2872" s="8">
        <v>21</v>
      </c>
      <c r="C2872" s="8">
        <v>3639</v>
      </c>
      <c r="D2872" s="16">
        <v>-2.4847000000000001E-2</v>
      </c>
      <c r="E2872">
        <v>-1.2423500000000001E-2</v>
      </c>
    </row>
    <row r="2873" spans="1:5" x14ac:dyDescent="0.3">
      <c r="A2873" s="8">
        <v>76</v>
      </c>
      <c r="B2873" s="8">
        <v>22</v>
      </c>
      <c r="C2873" s="8">
        <v>3603</v>
      </c>
      <c r="D2873" s="16">
        <v>-2.3651120000000001E-2</v>
      </c>
      <c r="E2873">
        <v>-1.1825560000000001E-2</v>
      </c>
    </row>
    <row r="2874" spans="1:5" x14ac:dyDescent="0.3">
      <c r="A2874" s="8">
        <v>76</v>
      </c>
      <c r="B2874" s="8">
        <v>23</v>
      </c>
      <c r="C2874" s="8">
        <v>3600</v>
      </c>
      <c r="D2874" s="16">
        <v>-1.58862E-2</v>
      </c>
      <c r="E2874">
        <v>-7.9430999999999998E-3</v>
      </c>
    </row>
    <row r="2875" spans="1:5" x14ac:dyDescent="0.3">
      <c r="A2875" s="8">
        <v>76</v>
      </c>
      <c r="B2875" s="8">
        <v>24</v>
      </c>
      <c r="C2875" s="8">
        <v>3631</v>
      </c>
      <c r="D2875" s="16">
        <v>2.3420340000000001E-2</v>
      </c>
      <c r="E2875">
        <v>1.1710170000000001E-2</v>
      </c>
    </row>
    <row r="2876" spans="1:5" x14ac:dyDescent="0.3">
      <c r="A2876" s="8">
        <v>76</v>
      </c>
      <c r="B2876" s="8">
        <v>25</v>
      </c>
      <c r="C2876" s="8">
        <v>3604</v>
      </c>
      <c r="D2876" s="16">
        <v>2.5391520000000001E-2</v>
      </c>
      <c r="E2876">
        <v>1.269576E-2</v>
      </c>
    </row>
    <row r="2877" spans="1:5" x14ac:dyDescent="0.3">
      <c r="A2877" s="8">
        <v>76</v>
      </c>
      <c r="B2877" s="8">
        <v>26</v>
      </c>
      <c r="C2877" s="8">
        <v>3627</v>
      </c>
      <c r="D2877" s="16">
        <v>-1.8490929999999999E-2</v>
      </c>
      <c r="E2877">
        <v>-9.2454649999999996E-3</v>
      </c>
    </row>
    <row r="2878" spans="1:5" x14ac:dyDescent="0.3">
      <c r="A2878" s="8">
        <v>76</v>
      </c>
      <c r="B2878" s="8">
        <v>27</v>
      </c>
      <c r="C2878" s="8">
        <v>3584</v>
      </c>
      <c r="D2878" s="16">
        <v>1.803397E-3</v>
      </c>
      <c r="E2878">
        <v>9.0169849999999999E-4</v>
      </c>
    </row>
    <row r="2879" spans="1:5" x14ac:dyDescent="0.3">
      <c r="A2879" s="8">
        <v>76</v>
      </c>
      <c r="B2879" s="8">
        <v>28</v>
      </c>
      <c r="C2879" s="8">
        <v>3563</v>
      </c>
      <c r="D2879" s="16">
        <v>-2.9044190000000001E-2</v>
      </c>
      <c r="E2879">
        <v>-1.4522095E-2</v>
      </c>
    </row>
    <row r="2880" spans="1:5" x14ac:dyDescent="0.3">
      <c r="A2880" s="8">
        <v>76</v>
      </c>
      <c r="B2880" s="8">
        <v>29</v>
      </c>
      <c r="C2880" s="8">
        <v>3582</v>
      </c>
      <c r="D2880" s="16">
        <v>-1.5792649999999998E-2</v>
      </c>
      <c r="E2880">
        <v>-7.8963249999999992E-3</v>
      </c>
    </row>
    <row r="2881" spans="1:5" x14ac:dyDescent="0.3">
      <c r="A2881" s="8">
        <v>76</v>
      </c>
      <c r="B2881" s="8">
        <v>30</v>
      </c>
      <c r="C2881" s="8">
        <v>3593</v>
      </c>
      <c r="D2881" s="16">
        <v>2.3572240000000001E-2</v>
      </c>
      <c r="E2881">
        <v>1.1786120000000001E-2</v>
      </c>
    </row>
    <row r="2882" spans="1:5" x14ac:dyDescent="0.3">
      <c r="A2882" s="8">
        <v>76</v>
      </c>
      <c r="B2882" s="8">
        <v>31</v>
      </c>
      <c r="C2882" s="8">
        <v>3526</v>
      </c>
      <c r="D2882" s="16">
        <v>-4.2784740000000002E-2</v>
      </c>
      <c r="E2882">
        <v>-2.1392370000000001E-2</v>
      </c>
    </row>
    <row r="2883" spans="1:5" x14ac:dyDescent="0.3">
      <c r="A2883" s="8">
        <v>76</v>
      </c>
      <c r="B2883" s="8">
        <v>32</v>
      </c>
      <c r="C2883" s="8">
        <v>3576</v>
      </c>
      <c r="D2883" s="16">
        <v>-3.0041249999999999E-2</v>
      </c>
      <c r="E2883">
        <v>-1.5020624999999999E-2</v>
      </c>
    </row>
    <row r="2884" spans="1:5" x14ac:dyDescent="0.3">
      <c r="A2884" s="8">
        <v>76</v>
      </c>
      <c r="B2884" s="8">
        <v>33</v>
      </c>
      <c r="C2884" s="8">
        <v>3630</v>
      </c>
      <c r="D2884" s="16">
        <v>-3.4408599999999998E-2</v>
      </c>
      <c r="E2884">
        <v>-1.7204299999999999E-2</v>
      </c>
    </row>
    <row r="2885" spans="1:5" x14ac:dyDescent="0.3">
      <c r="A2885" s="8">
        <v>76</v>
      </c>
      <c r="B2885" s="8">
        <v>34</v>
      </c>
      <c r="C2885" s="8">
        <v>3620</v>
      </c>
      <c r="D2885" s="16">
        <v>2.7543530000000002E-3</v>
      </c>
      <c r="E2885">
        <v>1.3771765000000001E-3</v>
      </c>
    </row>
    <row r="2886" spans="1:5" x14ac:dyDescent="0.3">
      <c r="A2886" s="8">
        <v>76</v>
      </c>
      <c r="B2886" s="8">
        <v>35</v>
      </c>
      <c r="C2886" s="8">
        <v>3607</v>
      </c>
      <c r="D2886" s="16">
        <v>-2.7571849999999998E-2</v>
      </c>
      <c r="E2886">
        <v>-1.3785924999999999E-2</v>
      </c>
    </row>
    <row r="2887" spans="1:5" x14ac:dyDescent="0.3">
      <c r="A2887" s="8">
        <v>76</v>
      </c>
      <c r="B2887" s="8">
        <v>36</v>
      </c>
      <c r="C2887" s="8">
        <v>3601</v>
      </c>
      <c r="D2887" s="16">
        <v>-1.2334550000000001E-3</v>
      </c>
      <c r="E2887">
        <v>-6.1672750000000003E-4</v>
      </c>
    </row>
    <row r="2888" spans="1:5" x14ac:dyDescent="0.3">
      <c r="A2888" s="8">
        <v>76</v>
      </c>
      <c r="B2888" s="8">
        <v>37</v>
      </c>
      <c r="C2888" s="8">
        <v>3576</v>
      </c>
      <c r="D2888" s="16">
        <v>-2.2272159999999999E-2</v>
      </c>
      <c r="E2888">
        <v>-1.113608E-2</v>
      </c>
    </row>
    <row r="2889" spans="1:5" x14ac:dyDescent="0.3">
      <c r="A2889" s="8">
        <v>76</v>
      </c>
      <c r="B2889" s="8">
        <v>38</v>
      </c>
      <c r="C2889" s="8">
        <v>3612</v>
      </c>
      <c r="D2889" s="16">
        <v>-4.5142759999999997E-2</v>
      </c>
      <c r="E2889">
        <v>-2.2571379999999999E-2</v>
      </c>
    </row>
    <row r="2890" spans="1:5" x14ac:dyDescent="0.3">
      <c r="A2890" s="8">
        <v>76</v>
      </c>
      <c r="B2890" s="8">
        <v>39</v>
      </c>
      <c r="C2890" s="8">
        <v>3615</v>
      </c>
      <c r="D2890" s="16">
        <v>-2.443182E-2</v>
      </c>
      <c r="E2890">
        <v>-1.221591E-2</v>
      </c>
    </row>
    <row r="2891" spans="1:5" x14ac:dyDescent="0.3">
      <c r="A2891" s="8">
        <v>76</v>
      </c>
      <c r="B2891" s="8">
        <v>40</v>
      </c>
      <c r="C2891" s="8">
        <v>3633</v>
      </c>
      <c r="D2891" s="16">
        <v>9.3716359999999992E-3</v>
      </c>
      <c r="E2891">
        <v>4.6858179999999996E-3</v>
      </c>
    </row>
    <row r="2892" spans="1:5" x14ac:dyDescent="0.3">
      <c r="A2892" s="8">
        <v>76</v>
      </c>
      <c r="B2892" s="8">
        <v>41</v>
      </c>
      <c r="C2892" s="8">
        <v>3580</v>
      </c>
      <c r="D2892" s="16">
        <v>2.9850649999999999E-3</v>
      </c>
      <c r="E2892">
        <v>1.4925324999999999E-3</v>
      </c>
    </row>
    <row r="2893" spans="1:5" x14ac:dyDescent="0.3">
      <c r="A2893" s="8">
        <v>76</v>
      </c>
      <c r="B2893" s="8">
        <v>42</v>
      </c>
      <c r="C2893" s="8">
        <v>3608</v>
      </c>
      <c r="D2893" s="16">
        <v>-1.3510380000000001E-2</v>
      </c>
      <c r="E2893">
        <v>-6.7551900000000003E-3</v>
      </c>
    </row>
    <row r="2894" spans="1:5" x14ac:dyDescent="0.3">
      <c r="A2894" s="8">
        <v>76</v>
      </c>
      <c r="B2894" s="8">
        <v>43</v>
      </c>
      <c r="C2894" s="8">
        <v>3576</v>
      </c>
      <c r="D2894" s="16">
        <v>-1.61596E-2</v>
      </c>
      <c r="E2894">
        <v>-8.0797999999999998E-3</v>
      </c>
    </row>
    <row r="2895" spans="1:5" x14ac:dyDescent="0.3">
      <c r="A2895" s="8">
        <v>76</v>
      </c>
      <c r="B2895" s="8">
        <v>44</v>
      </c>
      <c r="C2895" s="8">
        <v>3565</v>
      </c>
      <c r="D2895" s="16">
        <v>-4.3514919999999999E-2</v>
      </c>
      <c r="E2895">
        <v>-2.1757459999999999E-2</v>
      </c>
    </row>
    <row r="2896" spans="1:5" x14ac:dyDescent="0.3">
      <c r="A2896" s="8">
        <v>76</v>
      </c>
      <c r="B2896" s="8">
        <v>45</v>
      </c>
      <c r="C2896" s="8">
        <v>3629</v>
      </c>
      <c r="D2896" s="16">
        <v>2.9971870000000001E-3</v>
      </c>
      <c r="E2896">
        <v>1.4985935000000001E-3</v>
      </c>
    </row>
    <row r="2897" spans="1:5" x14ac:dyDescent="0.3">
      <c r="A2897" s="8">
        <v>76</v>
      </c>
      <c r="B2897" s="8">
        <v>46</v>
      </c>
      <c r="C2897" s="8">
        <v>3618</v>
      </c>
      <c r="D2897" s="16">
        <v>-1.4592880000000001E-2</v>
      </c>
      <c r="E2897">
        <v>-7.2964400000000004E-3</v>
      </c>
    </row>
    <row r="2898" spans="1:5" x14ac:dyDescent="0.3">
      <c r="A2898" s="8">
        <v>76</v>
      </c>
      <c r="B2898" s="8">
        <v>47</v>
      </c>
      <c r="C2898" s="8">
        <v>3616</v>
      </c>
      <c r="D2898" s="16">
        <v>-4.0981289999999998E-3</v>
      </c>
      <c r="E2898">
        <v>-2.0490644999999999E-3</v>
      </c>
    </row>
    <row r="2899" spans="1:5" x14ac:dyDescent="0.3">
      <c r="A2899" s="8">
        <v>76</v>
      </c>
      <c r="B2899" s="8">
        <v>48</v>
      </c>
      <c r="C2899" s="8">
        <v>3594</v>
      </c>
      <c r="D2899" s="16">
        <v>-2.7319380000000001E-2</v>
      </c>
      <c r="E2899">
        <v>-1.365969E-2</v>
      </c>
    </row>
    <row r="2900" spans="1:5" x14ac:dyDescent="0.3">
      <c r="A2900" s="8">
        <v>76</v>
      </c>
      <c r="B2900" s="8">
        <v>49</v>
      </c>
      <c r="C2900" s="8">
        <v>3596</v>
      </c>
      <c r="D2900" s="16">
        <v>9.0582809999999996E-3</v>
      </c>
      <c r="E2900">
        <v>4.5291404999999998E-3</v>
      </c>
    </row>
    <row r="2901" spans="1:5" x14ac:dyDescent="0.3">
      <c r="A2901" s="8">
        <v>76</v>
      </c>
      <c r="B2901" s="8">
        <v>50</v>
      </c>
      <c r="C2901" s="8">
        <v>3630</v>
      </c>
      <c r="D2901" s="16">
        <v>-3.3040930000000003E-2</v>
      </c>
      <c r="E2901">
        <v>-1.6520465000000002E-2</v>
      </c>
    </row>
    <row r="2902" spans="1:5" x14ac:dyDescent="0.3">
      <c r="A2902" s="8">
        <v>76</v>
      </c>
      <c r="B2902" s="8">
        <v>51</v>
      </c>
      <c r="C2902" s="8">
        <v>3583</v>
      </c>
      <c r="D2902" s="16">
        <v>-1.2233000000000001E-2</v>
      </c>
      <c r="E2902">
        <v>-6.1165000000000004E-3</v>
      </c>
    </row>
    <row r="2903" spans="1:5" x14ac:dyDescent="0.3">
      <c r="A2903" s="8">
        <v>76</v>
      </c>
      <c r="B2903" s="8">
        <v>52</v>
      </c>
      <c r="C2903" s="8">
        <v>3582</v>
      </c>
      <c r="D2903" s="16">
        <v>6.5658449999999998E-3</v>
      </c>
      <c r="E2903">
        <v>3.2829224999999999E-3</v>
      </c>
    </row>
    <row r="2904" spans="1:5" x14ac:dyDescent="0.3">
      <c r="A2904" s="8">
        <v>76</v>
      </c>
      <c r="B2904" s="8">
        <v>53</v>
      </c>
      <c r="C2904" s="8">
        <v>3604</v>
      </c>
      <c r="D2904" s="16">
        <v>-3.9491539999999999E-2</v>
      </c>
      <c r="E2904">
        <v>-1.9745769999999999E-2</v>
      </c>
    </row>
    <row r="2905" spans="1:5" x14ac:dyDescent="0.3">
      <c r="A2905" s="8">
        <v>76</v>
      </c>
      <c r="B2905" s="8">
        <v>54</v>
      </c>
      <c r="C2905" s="8">
        <v>3584</v>
      </c>
      <c r="D2905" s="16">
        <v>2.184877E-2</v>
      </c>
      <c r="E2905">
        <v>1.0924385E-2</v>
      </c>
    </row>
    <row r="2906" spans="1:5" x14ac:dyDescent="0.3">
      <c r="A2906" s="8">
        <v>76</v>
      </c>
      <c r="B2906" s="8">
        <v>55</v>
      </c>
      <c r="C2906" s="8">
        <v>3607</v>
      </c>
      <c r="D2906" s="16">
        <v>-1.7666000000000001E-2</v>
      </c>
      <c r="E2906">
        <v>-8.8330000000000006E-3</v>
      </c>
    </row>
    <row r="2907" spans="1:5" x14ac:dyDescent="0.3">
      <c r="A2907" s="8">
        <v>76</v>
      </c>
      <c r="B2907" s="8">
        <v>56</v>
      </c>
      <c r="C2907" s="8">
        <v>3637</v>
      </c>
      <c r="D2907" s="16">
        <v>-1.660889E-3</v>
      </c>
      <c r="E2907">
        <v>-8.3044450000000001E-4</v>
      </c>
    </row>
    <row r="2908" spans="1:5" x14ac:dyDescent="0.3">
      <c r="A2908" s="8">
        <v>76</v>
      </c>
      <c r="B2908" s="8">
        <v>57</v>
      </c>
      <c r="C2908" s="8">
        <v>3638</v>
      </c>
      <c r="D2908" s="16">
        <v>1.645537E-2</v>
      </c>
      <c r="E2908">
        <v>8.2276850000000002E-3</v>
      </c>
    </row>
    <row r="2909" spans="1:5" x14ac:dyDescent="0.3">
      <c r="A2909" s="8">
        <v>76</v>
      </c>
      <c r="B2909" s="8">
        <v>58</v>
      </c>
      <c r="C2909" s="8">
        <v>3599</v>
      </c>
      <c r="D2909" s="16">
        <v>-9.8816549999999996E-3</v>
      </c>
      <c r="E2909">
        <v>-4.9408274999999998E-3</v>
      </c>
    </row>
    <row r="2910" spans="1:5" x14ac:dyDescent="0.3">
      <c r="A2910" s="8">
        <v>76</v>
      </c>
      <c r="B2910" s="8">
        <v>59</v>
      </c>
      <c r="C2910" s="8">
        <v>3626</v>
      </c>
      <c r="D2910" s="16">
        <v>-3.003074E-2</v>
      </c>
      <c r="E2910">
        <v>-1.501537E-2</v>
      </c>
    </row>
    <row r="2911" spans="1:5" x14ac:dyDescent="0.3">
      <c r="A2911" s="8">
        <v>76</v>
      </c>
      <c r="B2911" s="8">
        <v>60</v>
      </c>
      <c r="C2911" s="8">
        <v>3608</v>
      </c>
      <c r="D2911" s="16">
        <v>1.102848E-2</v>
      </c>
      <c r="E2911">
        <v>5.5142400000000001E-3</v>
      </c>
    </row>
    <row r="2912" spans="1:5" x14ac:dyDescent="0.3">
      <c r="A2912" s="8">
        <v>76</v>
      </c>
      <c r="B2912" s="8">
        <v>61</v>
      </c>
      <c r="C2912" s="8">
        <v>3615</v>
      </c>
      <c r="D2912" s="16">
        <v>-1.0643150000000001E-2</v>
      </c>
      <c r="E2912">
        <v>-5.3215750000000003E-3</v>
      </c>
    </row>
    <row r="2913" spans="1:5" x14ac:dyDescent="0.3">
      <c r="A2913" s="8">
        <v>76</v>
      </c>
      <c r="B2913" s="8">
        <v>62</v>
      </c>
      <c r="C2913" s="8">
        <v>3626</v>
      </c>
      <c r="D2913" s="16">
        <v>-1.7747760000000001E-2</v>
      </c>
      <c r="E2913">
        <v>-8.8738800000000007E-3</v>
      </c>
    </row>
    <row r="2914" spans="1:5" x14ac:dyDescent="0.3">
      <c r="A2914" s="8">
        <v>76</v>
      </c>
      <c r="B2914" s="8">
        <v>63</v>
      </c>
      <c r="C2914" s="8">
        <v>3636</v>
      </c>
      <c r="D2914" s="16">
        <v>1.1135320000000001E-2</v>
      </c>
      <c r="E2914">
        <v>5.5676600000000003E-3</v>
      </c>
    </row>
    <row r="2915" spans="1:5" x14ac:dyDescent="0.3">
      <c r="A2915" s="8">
        <v>76</v>
      </c>
      <c r="B2915" s="8">
        <v>64</v>
      </c>
      <c r="C2915" s="8">
        <v>3588</v>
      </c>
      <c r="D2915" s="16">
        <v>1.592232E-2</v>
      </c>
      <c r="E2915">
        <v>7.9611600000000001E-3</v>
      </c>
    </row>
    <row r="2916" spans="1:5" x14ac:dyDescent="0.3">
      <c r="A2916" s="8">
        <v>76</v>
      </c>
      <c r="B2916" s="8">
        <v>65</v>
      </c>
      <c r="C2916" s="8">
        <v>3619</v>
      </c>
      <c r="D2916" s="16">
        <v>1.8856769999999998E-2</v>
      </c>
      <c r="E2916">
        <v>9.4283849999999992E-3</v>
      </c>
    </row>
    <row r="2917" spans="1:5" x14ac:dyDescent="0.3">
      <c r="A2917" s="8">
        <v>76</v>
      </c>
      <c r="B2917" s="8">
        <v>66</v>
      </c>
      <c r="C2917" s="8">
        <v>3617</v>
      </c>
      <c r="D2917" s="16">
        <v>-8.5024609999999994E-3</v>
      </c>
      <c r="E2917">
        <v>-4.2512304999999997E-3</v>
      </c>
    </row>
    <row r="2918" spans="1:5" x14ac:dyDescent="0.3">
      <c r="A2918" s="8">
        <v>76</v>
      </c>
      <c r="B2918" s="8">
        <v>67</v>
      </c>
      <c r="C2918" s="8">
        <v>3600</v>
      </c>
      <c r="D2918" s="16">
        <v>-3.0469619999999999E-2</v>
      </c>
      <c r="E2918">
        <v>-1.523481E-2</v>
      </c>
    </row>
    <row r="2919" spans="1:5" x14ac:dyDescent="0.3">
      <c r="A2919" s="8">
        <v>76</v>
      </c>
      <c r="B2919" s="8">
        <v>68</v>
      </c>
      <c r="C2919" s="8">
        <v>3591</v>
      </c>
      <c r="D2919" s="16">
        <v>-1.658111E-2</v>
      </c>
      <c r="E2919">
        <v>-8.2905549999999998E-3</v>
      </c>
    </row>
    <row r="2920" spans="1:5" x14ac:dyDescent="0.3">
      <c r="A2920" s="8">
        <v>76</v>
      </c>
      <c r="B2920" s="8">
        <v>69</v>
      </c>
      <c r="C2920" s="8">
        <v>3612</v>
      </c>
      <c r="D2920" s="16">
        <v>-2.063715E-2</v>
      </c>
      <c r="E2920">
        <v>-1.0318575E-2</v>
      </c>
    </row>
    <row r="2921" spans="1:5" x14ac:dyDescent="0.3">
      <c r="A2921" s="8">
        <v>76</v>
      </c>
      <c r="B2921" s="8">
        <v>70</v>
      </c>
      <c r="C2921" s="8">
        <v>3608</v>
      </c>
      <c r="D2921" s="16">
        <v>7.9836990000000004E-3</v>
      </c>
      <c r="E2921">
        <v>3.9918495000000002E-3</v>
      </c>
    </row>
    <row r="2922" spans="1:5" x14ac:dyDescent="0.3">
      <c r="A2922" s="8">
        <v>76</v>
      </c>
      <c r="B2922" s="8">
        <v>71</v>
      </c>
      <c r="C2922" s="8">
        <v>3586</v>
      </c>
      <c r="D2922" s="16">
        <v>-2.1419859999999999E-2</v>
      </c>
      <c r="E2922">
        <v>-1.0709929999999999E-2</v>
      </c>
    </row>
    <row r="2923" spans="1:5" x14ac:dyDescent="0.3">
      <c r="A2923" s="8">
        <v>76</v>
      </c>
      <c r="B2923" s="8">
        <v>72</v>
      </c>
      <c r="C2923" s="8">
        <v>3579</v>
      </c>
      <c r="D2923" s="16">
        <v>-4.4229610000000004E-3</v>
      </c>
      <c r="E2923">
        <v>-2.2114805000000002E-3</v>
      </c>
    </row>
    <row r="2924" spans="1:5" x14ac:dyDescent="0.3">
      <c r="A2924" s="8">
        <v>76</v>
      </c>
      <c r="B2924" s="8">
        <v>73</v>
      </c>
      <c r="C2924" s="8">
        <v>3623</v>
      </c>
      <c r="D2924" s="16">
        <v>-2.6886110000000001E-2</v>
      </c>
      <c r="E2924">
        <v>-1.3443055000000001E-2</v>
      </c>
    </row>
    <row r="2925" spans="1:5" x14ac:dyDescent="0.3">
      <c r="A2925" s="8">
        <v>76</v>
      </c>
      <c r="B2925" s="8">
        <v>74</v>
      </c>
      <c r="C2925" s="8">
        <v>3600</v>
      </c>
      <c r="D2925" s="16">
        <v>2.3962730000000001E-4</v>
      </c>
      <c r="E2925">
        <v>1.1981365E-4</v>
      </c>
    </row>
    <row r="2926" spans="1:5" x14ac:dyDescent="0.3">
      <c r="A2926" s="8">
        <v>76</v>
      </c>
      <c r="B2926" s="8">
        <v>75</v>
      </c>
      <c r="C2926" s="8">
        <v>3599</v>
      </c>
      <c r="D2926" s="16">
        <v>-3.0682679999999999E-3</v>
      </c>
      <c r="E2926">
        <v>-1.5341339999999999E-3</v>
      </c>
    </row>
    <row r="2927" spans="1:5" x14ac:dyDescent="0.3">
      <c r="A2927" s="8">
        <v>76</v>
      </c>
      <c r="B2927" s="8">
        <v>76</v>
      </c>
      <c r="C2927" s="8">
        <v>3891</v>
      </c>
      <c r="D2927" s="16">
        <v>1.044781</v>
      </c>
      <c r="E2927"/>
    </row>
    <row r="2928" spans="1:5" x14ac:dyDescent="0.3">
      <c r="A2928" s="8">
        <v>77</v>
      </c>
      <c r="B2928" s="8">
        <v>1</v>
      </c>
      <c r="C2928" s="8">
        <v>3629</v>
      </c>
      <c r="D2928" s="16">
        <v>-3.0194019999999998E-2</v>
      </c>
      <c r="E2928">
        <v>-1.5097009999999999E-2</v>
      </c>
    </row>
    <row r="2929" spans="1:5" x14ac:dyDescent="0.3">
      <c r="A2929" s="8">
        <v>77</v>
      </c>
      <c r="B2929" s="8">
        <v>2</v>
      </c>
      <c r="C2929" s="8">
        <v>3620</v>
      </c>
      <c r="D2929" s="16">
        <v>-3.7175090000000001E-2</v>
      </c>
      <c r="E2929">
        <v>-1.8587545E-2</v>
      </c>
    </row>
    <row r="2930" spans="1:5" x14ac:dyDescent="0.3">
      <c r="A2930" s="8">
        <v>77</v>
      </c>
      <c r="B2930" s="8">
        <v>3</v>
      </c>
      <c r="C2930" s="8">
        <v>3621</v>
      </c>
      <c r="D2930" s="16">
        <v>-1.952665E-2</v>
      </c>
      <c r="E2930">
        <v>-9.7633249999999998E-3</v>
      </c>
    </row>
    <row r="2931" spans="1:5" x14ac:dyDescent="0.3">
      <c r="A2931" s="8">
        <v>77</v>
      </c>
      <c r="B2931" s="8">
        <v>4</v>
      </c>
      <c r="C2931" s="8">
        <v>3582</v>
      </c>
      <c r="D2931" s="16">
        <v>-2.8870679999999999E-2</v>
      </c>
      <c r="E2931">
        <v>-1.443534E-2</v>
      </c>
    </row>
    <row r="2932" spans="1:5" x14ac:dyDescent="0.3">
      <c r="A2932" s="8">
        <v>77</v>
      </c>
      <c r="B2932" s="8">
        <v>5</v>
      </c>
      <c r="C2932" s="8">
        <v>3610</v>
      </c>
      <c r="D2932" s="16">
        <v>-5.658262E-2</v>
      </c>
      <c r="E2932">
        <v>-2.829131E-2</v>
      </c>
    </row>
    <row r="2933" spans="1:5" x14ac:dyDescent="0.3">
      <c r="A2933" s="8">
        <v>77</v>
      </c>
      <c r="B2933" s="8">
        <v>6</v>
      </c>
      <c r="C2933" s="8">
        <v>3605</v>
      </c>
      <c r="D2933" s="16">
        <v>-2.259444E-2</v>
      </c>
      <c r="E2933">
        <v>-1.129722E-2</v>
      </c>
    </row>
    <row r="2934" spans="1:5" x14ac:dyDescent="0.3">
      <c r="A2934" s="8">
        <v>77</v>
      </c>
      <c r="B2934" s="8">
        <v>7</v>
      </c>
      <c r="C2934" s="8">
        <v>3585</v>
      </c>
      <c r="D2934" s="16">
        <v>-4.7105879999999999E-3</v>
      </c>
      <c r="E2934">
        <v>-2.355294E-3</v>
      </c>
    </row>
    <row r="2935" spans="1:5" x14ac:dyDescent="0.3">
      <c r="A2935" s="8">
        <v>77</v>
      </c>
      <c r="B2935" s="8">
        <v>8</v>
      </c>
      <c r="C2935" s="8">
        <v>3614</v>
      </c>
      <c r="D2935" s="16">
        <v>1.085889E-3</v>
      </c>
      <c r="E2935">
        <v>5.4294450000000002E-4</v>
      </c>
    </row>
    <row r="2936" spans="1:5" x14ac:dyDescent="0.3">
      <c r="A2936" s="8">
        <v>77</v>
      </c>
      <c r="B2936" s="8">
        <v>9</v>
      </c>
      <c r="C2936" s="8">
        <v>3611</v>
      </c>
      <c r="D2936" s="16">
        <v>2.4725270000000001E-2</v>
      </c>
      <c r="E2936">
        <v>1.2362635E-2</v>
      </c>
    </row>
    <row r="2937" spans="1:5" x14ac:dyDescent="0.3">
      <c r="A2937" s="8">
        <v>77</v>
      </c>
      <c r="B2937" s="8">
        <v>10</v>
      </c>
      <c r="C2937" s="8">
        <v>3621</v>
      </c>
      <c r="D2937" s="16">
        <v>3.9326609999999996E-3</v>
      </c>
      <c r="E2937">
        <v>1.9663304999999998E-3</v>
      </c>
    </row>
    <row r="2938" spans="1:5" x14ac:dyDescent="0.3">
      <c r="A2938" s="8">
        <v>77</v>
      </c>
      <c r="B2938" s="8">
        <v>11</v>
      </c>
      <c r="C2938" s="8">
        <v>3602</v>
      </c>
      <c r="D2938" s="16">
        <v>3.858002E-2</v>
      </c>
      <c r="E2938">
        <v>1.929001E-2</v>
      </c>
    </row>
    <row r="2939" spans="1:5" x14ac:dyDescent="0.3">
      <c r="A2939" s="8">
        <v>77</v>
      </c>
      <c r="B2939" s="8">
        <v>12</v>
      </c>
      <c r="C2939" s="8">
        <v>3623</v>
      </c>
      <c r="D2939" s="16">
        <v>-4.3274710000000003E-3</v>
      </c>
      <c r="E2939">
        <v>-2.1637355000000001E-3</v>
      </c>
    </row>
    <row r="2940" spans="1:5" x14ac:dyDescent="0.3">
      <c r="A2940" s="8">
        <v>77</v>
      </c>
      <c r="B2940" s="8">
        <v>13</v>
      </c>
      <c r="C2940" s="8">
        <v>3611</v>
      </c>
      <c r="D2940" s="16">
        <v>1.6353670000000001E-2</v>
      </c>
      <c r="E2940">
        <v>8.1768350000000004E-3</v>
      </c>
    </row>
    <row r="2941" spans="1:5" x14ac:dyDescent="0.3">
      <c r="A2941" s="8">
        <v>77</v>
      </c>
      <c r="B2941" s="8">
        <v>14</v>
      </c>
      <c r="C2941" s="8">
        <v>3611</v>
      </c>
      <c r="D2941" s="16">
        <v>1.7525389999999998E-2</v>
      </c>
      <c r="E2941">
        <v>8.7626949999999992E-3</v>
      </c>
    </row>
    <row r="2942" spans="1:5" x14ac:dyDescent="0.3">
      <c r="A2942" s="8">
        <v>77</v>
      </c>
      <c r="B2942" s="8">
        <v>15</v>
      </c>
      <c r="C2942" s="8">
        <v>3635</v>
      </c>
      <c r="D2942" s="16">
        <v>-2.0282919999999999E-2</v>
      </c>
      <c r="E2942">
        <v>-1.014146E-2</v>
      </c>
    </row>
    <row r="2943" spans="1:5" x14ac:dyDescent="0.3">
      <c r="A2943" s="8">
        <v>77</v>
      </c>
      <c r="B2943" s="8">
        <v>16</v>
      </c>
      <c r="C2943" s="8">
        <v>3610</v>
      </c>
      <c r="D2943" s="16">
        <v>-1.2451830000000001E-2</v>
      </c>
      <c r="E2943">
        <v>-6.2259150000000003E-3</v>
      </c>
    </row>
    <row r="2944" spans="1:5" x14ac:dyDescent="0.3">
      <c r="A2944" s="8">
        <v>77</v>
      </c>
      <c r="B2944" s="8">
        <v>17</v>
      </c>
      <c r="C2944" s="8">
        <v>3620</v>
      </c>
      <c r="D2944" s="16">
        <v>-5.7160229999999998E-3</v>
      </c>
      <c r="E2944">
        <v>-2.8580114999999999E-3</v>
      </c>
    </row>
    <row r="2945" spans="1:5" x14ac:dyDescent="0.3">
      <c r="A2945" s="8">
        <v>77</v>
      </c>
      <c r="B2945" s="8">
        <v>18</v>
      </c>
      <c r="C2945" s="8">
        <v>3624</v>
      </c>
      <c r="D2945" s="16">
        <v>-3.0262600000000001E-2</v>
      </c>
      <c r="E2945">
        <v>-1.51313E-2</v>
      </c>
    </row>
    <row r="2946" spans="1:5" x14ac:dyDescent="0.3">
      <c r="A2946" s="8">
        <v>77</v>
      </c>
      <c r="B2946" s="8">
        <v>19</v>
      </c>
      <c r="C2946" s="8">
        <v>3581</v>
      </c>
      <c r="D2946" s="16">
        <v>-1.6515330000000002E-2</v>
      </c>
      <c r="E2946">
        <v>-8.2576650000000008E-3</v>
      </c>
    </row>
    <row r="2947" spans="1:5" x14ac:dyDescent="0.3">
      <c r="A2947" s="8">
        <v>77</v>
      </c>
      <c r="B2947" s="8">
        <v>20</v>
      </c>
      <c r="C2947" s="8">
        <v>3586</v>
      </c>
      <c r="D2947" s="16">
        <v>-1.7007390000000001E-2</v>
      </c>
      <c r="E2947">
        <v>-8.5036950000000004E-3</v>
      </c>
    </row>
    <row r="2948" spans="1:5" x14ac:dyDescent="0.3">
      <c r="A2948" s="8">
        <v>77</v>
      </c>
      <c r="B2948" s="8">
        <v>21</v>
      </c>
      <c r="C2948" s="8">
        <v>3636</v>
      </c>
      <c r="D2948" s="16">
        <v>6.4850970000000004E-3</v>
      </c>
      <c r="E2948">
        <v>3.2425485000000002E-3</v>
      </c>
    </row>
    <row r="2949" spans="1:5" x14ac:dyDescent="0.3">
      <c r="A2949" s="8">
        <v>77</v>
      </c>
      <c r="B2949" s="8">
        <v>22</v>
      </c>
      <c r="C2949" s="8">
        <v>3595</v>
      </c>
      <c r="D2949" s="16">
        <v>-2.1218250000000001E-2</v>
      </c>
      <c r="E2949">
        <v>-1.0609125E-2</v>
      </c>
    </row>
    <row r="2950" spans="1:5" x14ac:dyDescent="0.3">
      <c r="A2950" s="8">
        <v>77</v>
      </c>
      <c r="B2950" s="8">
        <v>23</v>
      </c>
      <c r="C2950" s="8">
        <v>3615</v>
      </c>
      <c r="D2950" s="16">
        <v>-4.214598E-2</v>
      </c>
      <c r="E2950">
        <v>-2.107299E-2</v>
      </c>
    </row>
    <row r="2951" spans="1:5" x14ac:dyDescent="0.3">
      <c r="A2951" s="8">
        <v>77</v>
      </c>
      <c r="B2951" s="8">
        <v>24</v>
      </c>
      <c r="C2951" s="8">
        <v>3622</v>
      </c>
      <c r="D2951" s="16">
        <v>-1.8401029999999999E-2</v>
      </c>
      <c r="E2951">
        <v>-9.2005149999999994E-3</v>
      </c>
    </row>
    <row r="2952" spans="1:5" x14ac:dyDescent="0.3">
      <c r="A2952" s="8">
        <v>77</v>
      </c>
      <c r="B2952" s="8">
        <v>25</v>
      </c>
      <c r="C2952" s="8">
        <v>3587</v>
      </c>
      <c r="D2952" s="16">
        <v>-2.3826709999999998E-3</v>
      </c>
      <c r="E2952">
        <v>-1.1913354999999999E-3</v>
      </c>
    </row>
    <row r="2953" spans="1:5" x14ac:dyDescent="0.3">
      <c r="A2953" s="8">
        <v>77</v>
      </c>
      <c r="B2953" s="8">
        <v>26</v>
      </c>
      <c r="C2953" s="8">
        <v>3632</v>
      </c>
      <c r="D2953" s="16">
        <v>-1.7802160000000001E-2</v>
      </c>
      <c r="E2953">
        <v>-8.9010800000000005E-3</v>
      </c>
    </row>
    <row r="2954" spans="1:5" x14ac:dyDescent="0.3">
      <c r="A2954" s="8">
        <v>77</v>
      </c>
      <c r="B2954" s="8">
        <v>27</v>
      </c>
      <c r="C2954" s="8">
        <v>3599</v>
      </c>
      <c r="D2954" s="16">
        <v>5.0032949999999996E-3</v>
      </c>
      <c r="E2954">
        <v>2.5016474999999998E-3</v>
      </c>
    </row>
    <row r="2955" spans="1:5" x14ac:dyDescent="0.3">
      <c r="A2955" s="8">
        <v>77</v>
      </c>
      <c r="B2955" s="8">
        <v>28</v>
      </c>
      <c r="C2955" s="8">
        <v>3561</v>
      </c>
      <c r="D2955" s="16">
        <v>1.007509E-2</v>
      </c>
      <c r="E2955">
        <v>5.037545E-3</v>
      </c>
    </row>
    <row r="2956" spans="1:5" x14ac:dyDescent="0.3">
      <c r="A2956" s="8">
        <v>77</v>
      </c>
      <c r="B2956" s="8">
        <v>29</v>
      </c>
      <c r="C2956" s="8">
        <v>3572</v>
      </c>
      <c r="D2956" s="16">
        <v>-2.1931490000000001E-2</v>
      </c>
      <c r="E2956">
        <v>-1.0965745000000001E-2</v>
      </c>
    </row>
    <row r="2957" spans="1:5" x14ac:dyDescent="0.3">
      <c r="A2957" s="8">
        <v>77</v>
      </c>
      <c r="B2957" s="8">
        <v>30</v>
      </c>
      <c r="C2957" s="8">
        <v>3593</v>
      </c>
      <c r="D2957" s="16">
        <v>1.0973460000000001E-2</v>
      </c>
      <c r="E2957">
        <v>5.4867300000000004E-3</v>
      </c>
    </row>
    <row r="2958" spans="1:5" x14ac:dyDescent="0.3">
      <c r="A2958" s="8">
        <v>77</v>
      </c>
      <c r="B2958" s="8">
        <v>31</v>
      </c>
      <c r="C2958" s="8">
        <v>3517</v>
      </c>
      <c r="D2958" s="16">
        <v>2.0475449999999999E-2</v>
      </c>
      <c r="E2958">
        <v>1.0237725E-2</v>
      </c>
    </row>
    <row r="2959" spans="1:5" x14ac:dyDescent="0.3">
      <c r="A2959" s="8">
        <v>77</v>
      </c>
      <c r="B2959" s="8">
        <v>32</v>
      </c>
      <c r="C2959" s="8">
        <v>3572</v>
      </c>
      <c r="D2959" s="16">
        <v>-7.360556E-2</v>
      </c>
      <c r="E2959">
        <v>-3.680278E-2</v>
      </c>
    </row>
    <row r="2960" spans="1:5" x14ac:dyDescent="0.3">
      <c r="A2960" s="8">
        <v>77</v>
      </c>
      <c r="B2960" s="8">
        <v>33</v>
      </c>
      <c r="C2960" s="8">
        <v>3627</v>
      </c>
      <c r="D2960" s="16">
        <v>4.1544440000000002E-3</v>
      </c>
      <c r="E2960">
        <v>2.0772220000000001E-3</v>
      </c>
    </row>
    <row r="2961" spans="1:5" x14ac:dyDescent="0.3">
      <c r="A2961" s="8">
        <v>77</v>
      </c>
      <c r="B2961" s="8">
        <v>34</v>
      </c>
      <c r="C2961" s="8">
        <v>3618</v>
      </c>
      <c r="D2961" s="16">
        <v>-1.549066E-2</v>
      </c>
      <c r="E2961">
        <v>-7.7453299999999999E-3</v>
      </c>
    </row>
    <row r="2962" spans="1:5" x14ac:dyDescent="0.3">
      <c r="A2962" s="8">
        <v>77</v>
      </c>
      <c r="B2962" s="8">
        <v>35</v>
      </c>
      <c r="C2962" s="8">
        <v>3603</v>
      </c>
      <c r="D2962" s="16">
        <v>-4.5707869999999998E-2</v>
      </c>
      <c r="E2962">
        <v>-2.2853934999999999E-2</v>
      </c>
    </row>
    <row r="2963" spans="1:5" x14ac:dyDescent="0.3">
      <c r="A2963" s="8">
        <v>77</v>
      </c>
      <c r="B2963" s="8">
        <v>36</v>
      </c>
      <c r="C2963" s="8">
        <v>3600</v>
      </c>
      <c r="D2963" s="16">
        <v>4.428314E-3</v>
      </c>
      <c r="E2963">
        <v>2.214157E-3</v>
      </c>
    </row>
    <row r="2964" spans="1:5" x14ac:dyDescent="0.3">
      <c r="A2964" s="8">
        <v>77</v>
      </c>
      <c r="B2964" s="8">
        <v>37</v>
      </c>
      <c r="C2964" s="8">
        <v>3576</v>
      </c>
      <c r="D2964" s="16">
        <v>-1.502321E-2</v>
      </c>
      <c r="E2964">
        <v>-7.5116050000000002E-3</v>
      </c>
    </row>
    <row r="2965" spans="1:5" x14ac:dyDescent="0.3">
      <c r="A2965" s="8">
        <v>77</v>
      </c>
      <c r="B2965" s="8">
        <v>38</v>
      </c>
      <c r="C2965" s="8">
        <v>3618</v>
      </c>
      <c r="D2965" s="16">
        <v>-1.7910010000000001E-2</v>
      </c>
      <c r="E2965">
        <v>-8.9550050000000003E-3</v>
      </c>
    </row>
    <row r="2966" spans="1:5" x14ac:dyDescent="0.3">
      <c r="A2966" s="8">
        <v>77</v>
      </c>
      <c r="B2966" s="8">
        <v>39</v>
      </c>
      <c r="C2966" s="8">
        <v>3604</v>
      </c>
      <c r="D2966" s="16">
        <v>-1.193758E-2</v>
      </c>
      <c r="E2966">
        <v>-5.9687899999999999E-3</v>
      </c>
    </row>
    <row r="2967" spans="1:5" x14ac:dyDescent="0.3">
      <c r="A2967" s="8">
        <v>77</v>
      </c>
      <c r="B2967" s="8">
        <v>40</v>
      </c>
      <c r="C2967" s="8">
        <v>3624</v>
      </c>
      <c r="D2967" s="16">
        <v>-2.6905120000000001E-2</v>
      </c>
      <c r="E2967">
        <v>-1.3452560000000001E-2</v>
      </c>
    </row>
    <row r="2968" spans="1:5" x14ac:dyDescent="0.3">
      <c r="A2968" s="8">
        <v>77</v>
      </c>
      <c r="B2968" s="8">
        <v>41</v>
      </c>
      <c r="C2968" s="8">
        <v>3579</v>
      </c>
      <c r="D2968" s="16">
        <v>-3.9310020000000003E-3</v>
      </c>
      <c r="E2968">
        <v>-1.9655010000000001E-3</v>
      </c>
    </row>
    <row r="2969" spans="1:5" x14ac:dyDescent="0.3">
      <c r="A2969" s="8">
        <v>77</v>
      </c>
      <c r="B2969" s="8">
        <v>42</v>
      </c>
      <c r="C2969" s="8">
        <v>3605</v>
      </c>
      <c r="D2969" s="16">
        <v>-1.47124E-2</v>
      </c>
      <c r="E2969">
        <v>-7.3562000000000002E-3</v>
      </c>
    </row>
    <row r="2970" spans="1:5" x14ac:dyDescent="0.3">
      <c r="A2970" s="8">
        <v>77</v>
      </c>
      <c r="B2970" s="8">
        <v>43</v>
      </c>
      <c r="C2970" s="8">
        <v>3568</v>
      </c>
      <c r="D2970" s="16">
        <v>1.342114E-2</v>
      </c>
      <c r="E2970">
        <v>6.7105699999999999E-3</v>
      </c>
    </row>
    <row r="2971" spans="1:5" x14ac:dyDescent="0.3">
      <c r="A2971" s="8">
        <v>77</v>
      </c>
      <c r="B2971" s="8">
        <v>44</v>
      </c>
      <c r="C2971" s="8">
        <v>3576</v>
      </c>
      <c r="D2971" s="16">
        <v>9.5992539999999998E-3</v>
      </c>
      <c r="E2971">
        <v>4.7996269999999999E-3</v>
      </c>
    </row>
    <row r="2972" spans="1:5" x14ac:dyDescent="0.3">
      <c r="A2972" s="8">
        <v>77</v>
      </c>
      <c r="B2972" s="8">
        <v>45</v>
      </c>
      <c r="C2972" s="8">
        <v>3628</v>
      </c>
      <c r="D2972" s="16">
        <v>-1.5745700000000001E-2</v>
      </c>
      <c r="E2972">
        <v>-7.8728500000000007E-3</v>
      </c>
    </row>
    <row r="2973" spans="1:5" x14ac:dyDescent="0.3">
      <c r="A2973" s="8">
        <v>77</v>
      </c>
      <c r="B2973" s="8">
        <v>46</v>
      </c>
      <c r="C2973" s="8">
        <v>3608</v>
      </c>
      <c r="D2973" s="16">
        <v>-3.829435E-3</v>
      </c>
      <c r="E2973">
        <v>-1.9147175E-3</v>
      </c>
    </row>
    <row r="2974" spans="1:5" x14ac:dyDescent="0.3">
      <c r="A2974" s="8">
        <v>77</v>
      </c>
      <c r="B2974" s="8">
        <v>47</v>
      </c>
      <c r="C2974" s="8">
        <v>3628</v>
      </c>
      <c r="D2974" s="16">
        <v>5.6674660000000003E-3</v>
      </c>
      <c r="E2974">
        <v>2.8337330000000002E-3</v>
      </c>
    </row>
    <row r="2975" spans="1:5" x14ac:dyDescent="0.3">
      <c r="A2975" s="8">
        <v>77</v>
      </c>
      <c r="B2975" s="8">
        <v>48</v>
      </c>
      <c r="C2975" s="8">
        <v>3589</v>
      </c>
      <c r="D2975" s="16">
        <v>-6.6889180000000006E-2</v>
      </c>
      <c r="E2975">
        <v>-3.3444590000000003E-2</v>
      </c>
    </row>
    <row r="2976" spans="1:5" x14ac:dyDescent="0.3">
      <c r="A2976" s="8">
        <v>77</v>
      </c>
      <c r="B2976" s="8">
        <v>49</v>
      </c>
      <c r="C2976" s="8">
        <v>3595</v>
      </c>
      <c r="D2976" s="16">
        <v>4.4678900000000004E-3</v>
      </c>
      <c r="E2976">
        <v>2.2339450000000002E-3</v>
      </c>
    </row>
    <row r="2977" spans="1:5" x14ac:dyDescent="0.3">
      <c r="A2977" s="8">
        <v>77</v>
      </c>
      <c r="B2977" s="8">
        <v>50</v>
      </c>
      <c r="C2977" s="8">
        <v>3632</v>
      </c>
      <c r="D2977" s="16">
        <v>-2.8447239999999999E-2</v>
      </c>
      <c r="E2977">
        <v>-1.4223619999999999E-2</v>
      </c>
    </row>
    <row r="2978" spans="1:5" x14ac:dyDescent="0.3">
      <c r="A2978" s="8">
        <v>77</v>
      </c>
      <c r="B2978" s="8">
        <v>51</v>
      </c>
      <c r="C2978" s="8">
        <v>3585</v>
      </c>
      <c r="D2978" s="16">
        <v>-2.887787E-2</v>
      </c>
      <c r="E2978">
        <v>-1.4438935E-2</v>
      </c>
    </row>
    <row r="2979" spans="1:5" x14ac:dyDescent="0.3">
      <c r="A2979" s="8">
        <v>77</v>
      </c>
      <c r="B2979" s="8">
        <v>52</v>
      </c>
      <c r="C2979" s="8">
        <v>3581</v>
      </c>
      <c r="D2979" s="16">
        <v>-2.335448E-2</v>
      </c>
      <c r="E2979">
        <v>-1.167724E-2</v>
      </c>
    </row>
    <row r="2980" spans="1:5" x14ac:dyDescent="0.3">
      <c r="A2980" s="8">
        <v>77</v>
      </c>
      <c r="B2980" s="8">
        <v>53</v>
      </c>
      <c r="C2980" s="8">
        <v>3604</v>
      </c>
      <c r="D2980" s="16">
        <v>-6.2998480000000003E-3</v>
      </c>
      <c r="E2980">
        <v>-3.1499240000000001E-3</v>
      </c>
    </row>
    <row r="2981" spans="1:5" x14ac:dyDescent="0.3">
      <c r="A2981" s="8">
        <v>77</v>
      </c>
      <c r="B2981" s="8">
        <v>54</v>
      </c>
      <c r="C2981" s="8">
        <v>3592</v>
      </c>
      <c r="D2981" s="16">
        <v>-2.125105E-2</v>
      </c>
      <c r="E2981">
        <v>-1.0625525E-2</v>
      </c>
    </row>
    <row r="2982" spans="1:5" x14ac:dyDescent="0.3">
      <c r="A2982" s="8">
        <v>77</v>
      </c>
      <c r="B2982" s="8">
        <v>55</v>
      </c>
      <c r="C2982" s="8">
        <v>3614</v>
      </c>
      <c r="D2982" s="16">
        <v>1.2342850000000001E-2</v>
      </c>
      <c r="E2982">
        <v>6.1714250000000003E-3</v>
      </c>
    </row>
    <row r="2983" spans="1:5" x14ac:dyDescent="0.3">
      <c r="A2983" s="8">
        <v>77</v>
      </c>
      <c r="B2983" s="8">
        <v>56</v>
      </c>
      <c r="C2983" s="8">
        <v>3621</v>
      </c>
      <c r="D2983" s="16">
        <v>1.612278E-2</v>
      </c>
      <c r="E2983">
        <v>8.0613899999999999E-3</v>
      </c>
    </row>
    <row r="2984" spans="1:5" x14ac:dyDescent="0.3">
      <c r="A2984" s="8">
        <v>77</v>
      </c>
      <c r="B2984" s="8">
        <v>57</v>
      </c>
      <c r="C2984" s="8">
        <v>3639</v>
      </c>
      <c r="D2984" s="16">
        <v>-4.0860089999999998E-3</v>
      </c>
      <c r="E2984">
        <v>-2.0430044999999999E-3</v>
      </c>
    </row>
    <row r="2985" spans="1:5" x14ac:dyDescent="0.3">
      <c r="A2985" s="8">
        <v>77</v>
      </c>
      <c r="B2985" s="8">
        <v>58</v>
      </c>
      <c r="C2985" s="8">
        <v>3596</v>
      </c>
      <c r="D2985" s="16">
        <v>-2.5748940000000001E-2</v>
      </c>
      <c r="E2985">
        <v>-1.2874470000000001E-2</v>
      </c>
    </row>
    <row r="2986" spans="1:5" x14ac:dyDescent="0.3">
      <c r="A2986" s="8">
        <v>77</v>
      </c>
      <c r="B2986" s="8">
        <v>59</v>
      </c>
      <c r="C2986" s="8">
        <v>3630</v>
      </c>
      <c r="D2986" s="16">
        <v>-4.3450820000000001E-2</v>
      </c>
      <c r="E2986">
        <v>-2.1725410000000001E-2</v>
      </c>
    </row>
    <row r="2987" spans="1:5" x14ac:dyDescent="0.3">
      <c r="A2987" s="8">
        <v>77</v>
      </c>
      <c r="B2987" s="8">
        <v>60</v>
      </c>
      <c r="C2987" s="8">
        <v>3610</v>
      </c>
      <c r="D2987" s="16">
        <v>1.1079149999999999E-2</v>
      </c>
      <c r="E2987">
        <v>5.5395749999999997E-3</v>
      </c>
    </row>
    <row r="2988" spans="1:5" x14ac:dyDescent="0.3">
      <c r="A2988" s="8">
        <v>77</v>
      </c>
      <c r="B2988" s="8">
        <v>61</v>
      </c>
      <c r="C2988" s="8">
        <v>3600</v>
      </c>
      <c r="D2988" s="16">
        <v>5.3597760000000001E-3</v>
      </c>
      <c r="E2988">
        <v>2.6798880000000001E-3</v>
      </c>
    </row>
    <row r="2989" spans="1:5" x14ac:dyDescent="0.3">
      <c r="A2989" s="8">
        <v>77</v>
      </c>
      <c r="B2989" s="8">
        <v>62</v>
      </c>
      <c r="C2989" s="8">
        <v>3635</v>
      </c>
      <c r="D2989" s="16">
        <v>-1.00283E-2</v>
      </c>
      <c r="E2989">
        <v>-5.0141500000000002E-3</v>
      </c>
    </row>
    <row r="2990" spans="1:5" x14ac:dyDescent="0.3">
      <c r="A2990" s="8">
        <v>77</v>
      </c>
      <c r="B2990" s="8">
        <v>63</v>
      </c>
      <c r="C2990" s="8">
        <v>3636</v>
      </c>
      <c r="D2990" s="16">
        <v>-1.9279129999999998E-2</v>
      </c>
      <c r="E2990">
        <v>-9.6395649999999992E-3</v>
      </c>
    </row>
    <row r="2991" spans="1:5" x14ac:dyDescent="0.3">
      <c r="A2991" s="8">
        <v>77</v>
      </c>
      <c r="B2991" s="8">
        <v>64</v>
      </c>
      <c r="C2991" s="8">
        <v>3581</v>
      </c>
      <c r="D2991" s="16">
        <v>-3.7591149999999997E-2</v>
      </c>
      <c r="E2991">
        <v>-1.8795574999999998E-2</v>
      </c>
    </row>
    <row r="2992" spans="1:5" x14ac:dyDescent="0.3">
      <c r="A2992" s="8">
        <v>77</v>
      </c>
      <c r="B2992" s="8">
        <v>65</v>
      </c>
      <c r="C2992" s="8">
        <v>3619</v>
      </c>
      <c r="D2992" s="16">
        <v>-1.6497649999999999E-2</v>
      </c>
      <c r="E2992">
        <v>-8.2488249999999996E-3</v>
      </c>
    </row>
    <row r="2993" spans="1:5" x14ac:dyDescent="0.3">
      <c r="A2993" s="8">
        <v>77</v>
      </c>
      <c r="B2993" s="8">
        <v>66</v>
      </c>
      <c r="C2993" s="8">
        <v>3630</v>
      </c>
      <c r="D2993" s="16">
        <v>1.101346E-3</v>
      </c>
      <c r="E2993">
        <v>5.50673E-4</v>
      </c>
    </row>
    <row r="2994" spans="1:5" x14ac:dyDescent="0.3">
      <c r="A2994" s="8">
        <v>77</v>
      </c>
      <c r="B2994" s="8">
        <v>67</v>
      </c>
      <c r="C2994" s="8">
        <v>3617</v>
      </c>
      <c r="D2994" s="16">
        <v>-3.6224100000000002E-2</v>
      </c>
      <c r="E2994">
        <v>-1.8112050000000001E-2</v>
      </c>
    </row>
    <row r="2995" spans="1:5" x14ac:dyDescent="0.3">
      <c r="A2995" s="8">
        <v>77</v>
      </c>
      <c r="B2995" s="8">
        <v>68</v>
      </c>
      <c r="C2995" s="8">
        <v>3579</v>
      </c>
      <c r="D2995" s="16">
        <v>-2.4218679999999999E-2</v>
      </c>
      <c r="E2995">
        <v>-1.210934E-2</v>
      </c>
    </row>
    <row r="2996" spans="1:5" x14ac:dyDescent="0.3">
      <c r="A2996" s="8">
        <v>77</v>
      </c>
      <c r="B2996" s="8">
        <v>69</v>
      </c>
      <c r="C2996" s="8">
        <v>3608</v>
      </c>
      <c r="D2996" s="16">
        <v>-2.1319020000000001E-2</v>
      </c>
      <c r="E2996">
        <v>-1.0659510000000001E-2</v>
      </c>
    </row>
    <row r="2997" spans="1:5" x14ac:dyDescent="0.3">
      <c r="A2997" s="8">
        <v>77</v>
      </c>
      <c r="B2997" s="8">
        <v>70</v>
      </c>
      <c r="C2997" s="8">
        <v>3604</v>
      </c>
      <c r="D2997" s="16">
        <v>8.726014E-4</v>
      </c>
      <c r="E2997">
        <v>4.363007E-4</v>
      </c>
    </row>
    <row r="2998" spans="1:5" x14ac:dyDescent="0.3">
      <c r="A2998" s="8">
        <v>77</v>
      </c>
      <c r="B2998" s="8">
        <v>71</v>
      </c>
      <c r="C2998" s="8">
        <v>3589</v>
      </c>
      <c r="D2998" s="16">
        <v>-1.503723E-2</v>
      </c>
      <c r="E2998">
        <v>-7.5186150000000002E-3</v>
      </c>
    </row>
    <row r="2999" spans="1:5" x14ac:dyDescent="0.3">
      <c r="A2999" s="8">
        <v>77</v>
      </c>
      <c r="B2999" s="8">
        <v>72</v>
      </c>
      <c r="C2999" s="8">
        <v>3586</v>
      </c>
      <c r="D2999" s="16">
        <v>-7.9536720000000002E-3</v>
      </c>
      <c r="E2999">
        <v>-3.9768360000000001E-3</v>
      </c>
    </row>
    <row r="3000" spans="1:5" x14ac:dyDescent="0.3">
      <c r="A3000" s="8">
        <v>77</v>
      </c>
      <c r="B3000" s="8">
        <v>73</v>
      </c>
      <c r="C3000" s="8">
        <v>3618</v>
      </c>
      <c r="D3000" s="16">
        <v>-3.1308240000000001E-2</v>
      </c>
      <c r="E3000">
        <v>-1.5654120000000001E-2</v>
      </c>
    </row>
    <row r="3001" spans="1:5" x14ac:dyDescent="0.3">
      <c r="A3001" s="8">
        <v>77</v>
      </c>
      <c r="B3001" s="8">
        <v>74</v>
      </c>
      <c r="C3001" s="8">
        <v>3602</v>
      </c>
      <c r="D3001" s="16">
        <v>3.889642E-3</v>
      </c>
      <c r="E3001">
        <v>1.944821E-3</v>
      </c>
    </row>
    <row r="3002" spans="1:5" x14ac:dyDescent="0.3">
      <c r="A3002" s="8">
        <v>77</v>
      </c>
      <c r="B3002" s="8">
        <v>75</v>
      </c>
      <c r="C3002" s="8">
        <v>3590</v>
      </c>
      <c r="D3002" s="16">
        <v>-2.78208E-2</v>
      </c>
      <c r="E3002">
        <v>-1.39104E-2</v>
      </c>
    </row>
    <row r="3003" spans="1:5" x14ac:dyDescent="0.3">
      <c r="A3003" s="8">
        <v>77</v>
      </c>
      <c r="B3003" s="8">
        <v>76</v>
      </c>
      <c r="C3003" s="8">
        <v>3622</v>
      </c>
      <c r="D3003" s="16">
        <v>4.4738379999999999E-3</v>
      </c>
      <c r="E3003">
        <v>2.236919E-3</v>
      </c>
    </row>
    <row r="3004" spans="1:5" x14ac:dyDescent="0.3">
      <c r="A3004" s="8">
        <v>77</v>
      </c>
      <c r="B3004" s="8">
        <v>77</v>
      </c>
      <c r="C3004" s="8">
        <v>3893</v>
      </c>
      <c r="D3004" s="16">
        <v>0.98413220000000001</v>
      </c>
      <c r="E3004"/>
    </row>
    <row r="3005" spans="1:5" x14ac:dyDescent="0.3">
      <c r="A3005" s="8">
        <v>78</v>
      </c>
      <c r="B3005" s="8">
        <v>1</v>
      </c>
      <c r="C3005" s="8">
        <v>3636</v>
      </c>
      <c r="D3005" s="16">
        <v>5.511302E-4</v>
      </c>
      <c r="E3005">
        <v>2.755651E-4</v>
      </c>
    </row>
    <row r="3006" spans="1:5" x14ac:dyDescent="0.3">
      <c r="A3006" s="8">
        <v>78</v>
      </c>
      <c r="B3006" s="8">
        <v>2</v>
      </c>
      <c r="C3006" s="8">
        <v>3612</v>
      </c>
      <c r="D3006" s="16">
        <v>5.855631E-3</v>
      </c>
      <c r="E3006">
        <v>2.9278155E-3</v>
      </c>
    </row>
    <row r="3007" spans="1:5" x14ac:dyDescent="0.3">
      <c r="A3007" s="8">
        <v>78</v>
      </c>
      <c r="B3007" s="8">
        <v>3</v>
      </c>
      <c r="C3007" s="8">
        <v>3623</v>
      </c>
      <c r="D3007" s="16">
        <v>-3.2408760000000002E-2</v>
      </c>
      <c r="E3007">
        <v>-1.6204380000000001E-2</v>
      </c>
    </row>
    <row r="3008" spans="1:5" x14ac:dyDescent="0.3">
      <c r="A3008" s="8">
        <v>78</v>
      </c>
      <c r="B3008" s="8">
        <v>4</v>
      </c>
      <c r="C3008" s="8">
        <v>3586</v>
      </c>
      <c r="D3008" s="16">
        <v>3.2369830000000001E-3</v>
      </c>
      <c r="E3008">
        <v>1.6184915000000001E-3</v>
      </c>
    </row>
    <row r="3009" spans="1:5" x14ac:dyDescent="0.3">
      <c r="A3009" s="8">
        <v>78</v>
      </c>
      <c r="B3009" s="8">
        <v>5</v>
      </c>
      <c r="C3009" s="8">
        <v>3607</v>
      </c>
      <c r="D3009" s="16">
        <v>2.1335090000000001E-2</v>
      </c>
      <c r="E3009">
        <v>1.0667545E-2</v>
      </c>
    </row>
    <row r="3010" spans="1:5" x14ac:dyDescent="0.3">
      <c r="A3010" s="8">
        <v>78</v>
      </c>
      <c r="B3010" s="8">
        <v>6</v>
      </c>
      <c r="C3010" s="8">
        <v>3612</v>
      </c>
      <c r="D3010" s="16">
        <v>-3.036821E-2</v>
      </c>
      <c r="E3010">
        <v>-1.5184105E-2</v>
      </c>
    </row>
    <row r="3011" spans="1:5" x14ac:dyDescent="0.3">
      <c r="A3011" s="8">
        <v>78</v>
      </c>
      <c r="B3011" s="8">
        <v>7</v>
      </c>
      <c r="C3011" s="8">
        <v>3579</v>
      </c>
      <c r="D3011" s="16">
        <v>-3.8667939999999998E-2</v>
      </c>
      <c r="E3011">
        <v>-1.9333969999999999E-2</v>
      </c>
    </row>
    <row r="3012" spans="1:5" x14ac:dyDescent="0.3">
      <c r="A3012" s="8">
        <v>78</v>
      </c>
      <c r="B3012" s="8">
        <v>8</v>
      </c>
      <c r="C3012" s="8">
        <v>3606</v>
      </c>
      <c r="D3012" s="16">
        <v>3.3140259999999998E-2</v>
      </c>
      <c r="E3012">
        <v>1.6570129999999999E-2</v>
      </c>
    </row>
    <row r="3013" spans="1:5" x14ac:dyDescent="0.3">
      <c r="A3013" s="8">
        <v>78</v>
      </c>
      <c r="B3013" s="8">
        <v>9</v>
      </c>
      <c r="C3013" s="8">
        <v>3628</v>
      </c>
      <c r="D3013" s="16">
        <v>-6.6483479999999998E-2</v>
      </c>
      <c r="E3013">
        <v>-3.3241739999999999E-2</v>
      </c>
    </row>
    <row r="3014" spans="1:5" x14ac:dyDescent="0.3">
      <c r="A3014" s="8">
        <v>78</v>
      </c>
      <c r="B3014" s="8">
        <v>10</v>
      </c>
      <c r="C3014" s="8">
        <v>3620</v>
      </c>
      <c r="D3014" s="16">
        <v>-3.4179559999999998E-2</v>
      </c>
      <c r="E3014">
        <v>-1.7089779999999999E-2</v>
      </c>
    </row>
    <row r="3015" spans="1:5" x14ac:dyDescent="0.3">
      <c r="A3015" s="8">
        <v>78</v>
      </c>
      <c r="B3015" s="8">
        <v>11</v>
      </c>
      <c r="C3015" s="8">
        <v>3614</v>
      </c>
      <c r="D3015" s="16">
        <v>-4.1381150000000004E-3</v>
      </c>
      <c r="E3015">
        <v>-2.0690575000000002E-3</v>
      </c>
    </row>
    <row r="3016" spans="1:5" x14ac:dyDescent="0.3">
      <c r="A3016" s="8">
        <v>78</v>
      </c>
      <c r="B3016" s="8">
        <v>12</v>
      </c>
      <c r="C3016" s="8">
        <v>3626</v>
      </c>
      <c r="D3016" s="16">
        <v>-4.1340229999999999E-2</v>
      </c>
      <c r="E3016">
        <v>-2.0670114999999999E-2</v>
      </c>
    </row>
    <row r="3017" spans="1:5" x14ac:dyDescent="0.3">
      <c r="A3017" s="8">
        <v>78</v>
      </c>
      <c r="B3017" s="8">
        <v>13</v>
      </c>
      <c r="C3017" s="8">
        <v>3607</v>
      </c>
      <c r="D3017" s="16">
        <v>-5.6673769999999998E-2</v>
      </c>
      <c r="E3017">
        <v>-2.8336884999999999E-2</v>
      </c>
    </row>
    <row r="3018" spans="1:5" x14ac:dyDescent="0.3">
      <c r="A3018" s="8">
        <v>78</v>
      </c>
      <c r="B3018" s="8">
        <v>14</v>
      </c>
      <c r="C3018" s="8">
        <v>3610</v>
      </c>
      <c r="D3018" s="16">
        <v>-3.1904589999999997E-2</v>
      </c>
      <c r="E3018">
        <v>-1.5952294999999998E-2</v>
      </c>
    </row>
    <row r="3019" spans="1:5" x14ac:dyDescent="0.3">
      <c r="A3019" s="8">
        <v>78</v>
      </c>
      <c r="B3019" s="8">
        <v>15</v>
      </c>
      <c r="C3019" s="8">
        <v>3639</v>
      </c>
      <c r="D3019" s="16">
        <v>9.6090169999999992E-3</v>
      </c>
      <c r="E3019">
        <v>4.8045084999999996E-3</v>
      </c>
    </row>
    <row r="3020" spans="1:5" x14ac:dyDescent="0.3">
      <c r="A3020" s="8">
        <v>78</v>
      </c>
      <c r="B3020" s="8">
        <v>16</v>
      </c>
      <c r="C3020" s="8">
        <v>3605</v>
      </c>
      <c r="D3020" s="16">
        <v>-2.899581E-2</v>
      </c>
      <c r="E3020">
        <v>-1.4497905E-2</v>
      </c>
    </row>
    <row r="3021" spans="1:5" x14ac:dyDescent="0.3">
      <c r="A3021" s="8">
        <v>78</v>
      </c>
      <c r="B3021" s="8">
        <v>17</v>
      </c>
      <c r="C3021" s="8">
        <v>3624</v>
      </c>
      <c r="D3021" s="16">
        <v>6.4505389999999999E-3</v>
      </c>
      <c r="E3021">
        <v>3.2252695E-3</v>
      </c>
    </row>
    <row r="3022" spans="1:5" x14ac:dyDescent="0.3">
      <c r="A3022" s="8">
        <v>78</v>
      </c>
      <c r="B3022" s="8">
        <v>18</v>
      </c>
      <c r="C3022" s="8">
        <v>3622</v>
      </c>
      <c r="D3022" s="16">
        <v>-5.1742330000000003E-2</v>
      </c>
      <c r="E3022">
        <v>-2.5871165000000002E-2</v>
      </c>
    </row>
    <row r="3023" spans="1:5" x14ac:dyDescent="0.3">
      <c r="A3023" s="8">
        <v>78</v>
      </c>
      <c r="B3023" s="8">
        <v>19</v>
      </c>
      <c r="C3023" s="8">
        <v>3573</v>
      </c>
      <c r="D3023" s="16">
        <v>-2.2354889999999999E-2</v>
      </c>
      <c r="E3023">
        <v>-1.1177444999999999E-2</v>
      </c>
    </row>
    <row r="3024" spans="1:5" x14ac:dyDescent="0.3">
      <c r="A3024" s="8">
        <v>78</v>
      </c>
      <c r="B3024" s="8">
        <v>20</v>
      </c>
      <c r="C3024" s="8">
        <v>3598</v>
      </c>
      <c r="D3024" s="16">
        <v>-2.81928E-2</v>
      </c>
      <c r="E3024">
        <v>-1.40964E-2</v>
      </c>
    </row>
    <row r="3025" spans="1:5" x14ac:dyDescent="0.3">
      <c r="A3025" s="8">
        <v>78</v>
      </c>
      <c r="B3025" s="8">
        <v>21</v>
      </c>
      <c r="C3025" s="8">
        <v>3636</v>
      </c>
      <c r="D3025" s="16">
        <v>-4.5426210000000002E-2</v>
      </c>
      <c r="E3025">
        <v>-2.2713105000000001E-2</v>
      </c>
    </row>
    <row r="3026" spans="1:5" x14ac:dyDescent="0.3">
      <c r="A3026" s="8">
        <v>78</v>
      </c>
      <c r="B3026" s="8">
        <v>22</v>
      </c>
      <c r="C3026" s="8">
        <v>3602</v>
      </c>
      <c r="D3026" s="16">
        <v>1.4305750000000001E-2</v>
      </c>
      <c r="E3026">
        <v>7.1528750000000004E-3</v>
      </c>
    </row>
    <row r="3027" spans="1:5" x14ac:dyDescent="0.3">
      <c r="A3027" s="8">
        <v>78</v>
      </c>
      <c r="B3027" s="8">
        <v>23</v>
      </c>
      <c r="C3027" s="8">
        <v>3605</v>
      </c>
      <c r="D3027" s="16">
        <v>-9.5249669999999996E-4</v>
      </c>
      <c r="E3027">
        <v>-4.7624834999999998E-4</v>
      </c>
    </row>
    <row r="3028" spans="1:5" x14ac:dyDescent="0.3">
      <c r="A3028" s="8">
        <v>78</v>
      </c>
      <c r="B3028" s="8">
        <v>24</v>
      </c>
      <c r="C3028" s="8">
        <v>3630</v>
      </c>
      <c r="D3028" s="16">
        <v>4.9097769999999999E-2</v>
      </c>
      <c r="E3028">
        <v>2.4548884999999999E-2</v>
      </c>
    </row>
    <row r="3029" spans="1:5" x14ac:dyDescent="0.3">
      <c r="A3029" s="8">
        <v>78</v>
      </c>
      <c r="B3029" s="8">
        <v>25</v>
      </c>
      <c r="C3029" s="8">
        <v>3591</v>
      </c>
      <c r="D3029" s="16">
        <v>1.138109E-2</v>
      </c>
      <c r="E3029">
        <v>5.690545E-3</v>
      </c>
    </row>
    <row r="3030" spans="1:5" x14ac:dyDescent="0.3">
      <c r="A3030" s="8">
        <v>78</v>
      </c>
      <c r="B3030" s="8">
        <v>26</v>
      </c>
      <c r="C3030" s="8">
        <v>3628</v>
      </c>
      <c r="D3030" s="16">
        <v>-5.8437910000000001E-3</v>
      </c>
      <c r="E3030">
        <v>-2.9218955E-3</v>
      </c>
    </row>
    <row r="3031" spans="1:5" x14ac:dyDescent="0.3">
      <c r="A3031" s="8">
        <v>78</v>
      </c>
      <c r="B3031" s="8">
        <v>27</v>
      </c>
      <c r="C3031" s="8">
        <v>3587</v>
      </c>
      <c r="D3031" s="16">
        <v>-1.433279E-2</v>
      </c>
      <c r="E3031">
        <v>-7.1663949999999999E-3</v>
      </c>
    </row>
    <row r="3032" spans="1:5" x14ac:dyDescent="0.3">
      <c r="A3032" s="8">
        <v>78</v>
      </c>
      <c r="B3032" s="8">
        <v>28</v>
      </c>
      <c r="C3032" s="8">
        <v>3553</v>
      </c>
      <c r="D3032" s="16">
        <v>5.2940920000000002E-3</v>
      </c>
      <c r="E3032">
        <v>2.6470460000000001E-3</v>
      </c>
    </row>
    <row r="3033" spans="1:5" x14ac:dyDescent="0.3">
      <c r="A3033" s="8">
        <v>78</v>
      </c>
      <c r="B3033" s="8">
        <v>29</v>
      </c>
      <c r="C3033" s="8">
        <v>3572</v>
      </c>
      <c r="D3033" s="16">
        <v>4.6996260000000002E-3</v>
      </c>
      <c r="E3033">
        <v>2.3498130000000001E-3</v>
      </c>
    </row>
    <row r="3034" spans="1:5" x14ac:dyDescent="0.3">
      <c r="A3034" s="8">
        <v>78</v>
      </c>
      <c r="B3034" s="8">
        <v>30</v>
      </c>
      <c r="C3034" s="8">
        <v>3600</v>
      </c>
      <c r="D3034" s="16">
        <v>-3.5135239999999998E-2</v>
      </c>
      <c r="E3034">
        <v>-1.7567619999999999E-2</v>
      </c>
    </row>
    <row r="3035" spans="1:5" x14ac:dyDescent="0.3">
      <c r="A3035" s="8">
        <v>78</v>
      </c>
      <c r="B3035" s="8">
        <v>31</v>
      </c>
      <c r="C3035" s="8">
        <v>3519</v>
      </c>
      <c r="D3035" s="16">
        <v>-1.39898E-2</v>
      </c>
      <c r="E3035">
        <v>-6.9949000000000001E-3</v>
      </c>
    </row>
    <row r="3036" spans="1:5" x14ac:dyDescent="0.3">
      <c r="A3036" s="8">
        <v>78</v>
      </c>
      <c r="B3036" s="8">
        <v>32</v>
      </c>
      <c r="C3036" s="8">
        <v>3584</v>
      </c>
      <c r="D3036" s="16">
        <v>-8.3081549999999994E-3</v>
      </c>
      <c r="E3036">
        <v>-4.1540774999999997E-3</v>
      </c>
    </row>
    <row r="3037" spans="1:5" x14ac:dyDescent="0.3">
      <c r="A3037" s="8">
        <v>78</v>
      </c>
      <c r="B3037" s="8">
        <v>33</v>
      </c>
      <c r="C3037" s="8">
        <v>3640</v>
      </c>
      <c r="D3037" s="16">
        <v>-2.613619E-2</v>
      </c>
      <c r="E3037">
        <v>-1.3068095E-2</v>
      </c>
    </row>
    <row r="3038" spans="1:5" x14ac:dyDescent="0.3">
      <c r="A3038" s="8">
        <v>78</v>
      </c>
      <c r="B3038" s="8">
        <v>34</v>
      </c>
      <c r="C3038" s="8">
        <v>3626</v>
      </c>
      <c r="D3038" s="16">
        <v>-2.1741409999999999E-2</v>
      </c>
      <c r="E3038">
        <v>-1.0870705E-2</v>
      </c>
    </row>
    <row r="3039" spans="1:5" x14ac:dyDescent="0.3">
      <c r="A3039" s="8">
        <v>78</v>
      </c>
      <c r="B3039" s="8">
        <v>35</v>
      </c>
      <c r="C3039" s="8">
        <v>3595</v>
      </c>
      <c r="D3039" s="16">
        <v>2.7435859999999999E-2</v>
      </c>
      <c r="E3039">
        <v>1.371793E-2</v>
      </c>
    </row>
    <row r="3040" spans="1:5" x14ac:dyDescent="0.3">
      <c r="A3040" s="8">
        <v>78</v>
      </c>
      <c r="B3040" s="8">
        <v>36</v>
      </c>
      <c r="C3040" s="8">
        <v>3590</v>
      </c>
      <c r="D3040" s="16">
        <v>1.3872199999999999E-2</v>
      </c>
      <c r="E3040">
        <v>6.9360999999999997E-3</v>
      </c>
    </row>
    <row r="3041" spans="1:5" x14ac:dyDescent="0.3">
      <c r="A3041" s="8">
        <v>78</v>
      </c>
      <c r="B3041" s="8">
        <v>37</v>
      </c>
      <c r="C3041" s="8">
        <v>3563</v>
      </c>
      <c r="D3041" s="16">
        <v>-3.253168E-2</v>
      </c>
      <c r="E3041">
        <v>-1.626584E-2</v>
      </c>
    </row>
    <row r="3042" spans="1:5" x14ac:dyDescent="0.3">
      <c r="A3042" s="8">
        <v>78</v>
      </c>
      <c r="B3042" s="8">
        <v>38</v>
      </c>
      <c r="C3042" s="8">
        <v>3623</v>
      </c>
      <c r="D3042" s="16">
        <v>-7.2805200000000004E-3</v>
      </c>
      <c r="E3042">
        <v>-3.6402600000000002E-3</v>
      </c>
    </row>
    <row r="3043" spans="1:5" x14ac:dyDescent="0.3">
      <c r="A3043" s="8">
        <v>78</v>
      </c>
      <c r="B3043" s="8">
        <v>39</v>
      </c>
      <c r="C3043" s="8">
        <v>3618</v>
      </c>
      <c r="D3043" s="16">
        <v>-5.8797349999999996E-3</v>
      </c>
      <c r="E3043">
        <v>-2.9398674999999998E-3</v>
      </c>
    </row>
    <row r="3044" spans="1:5" x14ac:dyDescent="0.3">
      <c r="A3044" s="8">
        <v>78</v>
      </c>
      <c r="B3044" s="8">
        <v>40</v>
      </c>
      <c r="C3044" s="8">
        <v>3618</v>
      </c>
      <c r="D3044" s="16">
        <v>-5.716624E-3</v>
      </c>
      <c r="E3044">
        <v>-2.858312E-3</v>
      </c>
    </row>
    <row r="3045" spans="1:5" x14ac:dyDescent="0.3">
      <c r="A3045" s="8">
        <v>78</v>
      </c>
      <c r="B3045" s="8">
        <v>41</v>
      </c>
      <c r="C3045" s="8">
        <v>3573</v>
      </c>
      <c r="D3045" s="16">
        <v>-1.120811E-2</v>
      </c>
      <c r="E3045">
        <v>-5.6040550000000001E-3</v>
      </c>
    </row>
    <row r="3046" spans="1:5" x14ac:dyDescent="0.3">
      <c r="A3046" s="8">
        <v>78</v>
      </c>
      <c r="B3046" s="8">
        <v>42</v>
      </c>
      <c r="C3046" s="8">
        <v>3604</v>
      </c>
      <c r="D3046" s="16">
        <v>-3.2206980000000003E-2</v>
      </c>
      <c r="E3046">
        <v>-1.6103490000000002E-2</v>
      </c>
    </row>
    <row r="3047" spans="1:5" x14ac:dyDescent="0.3">
      <c r="A3047" s="8">
        <v>78</v>
      </c>
      <c r="B3047" s="8">
        <v>43</v>
      </c>
      <c r="C3047" s="8">
        <v>3583</v>
      </c>
      <c r="D3047" s="16">
        <v>-1.4759370000000001E-2</v>
      </c>
      <c r="E3047">
        <v>-7.3796850000000004E-3</v>
      </c>
    </row>
    <row r="3048" spans="1:5" x14ac:dyDescent="0.3">
      <c r="A3048" s="8">
        <v>78</v>
      </c>
      <c r="B3048" s="8">
        <v>44</v>
      </c>
      <c r="C3048" s="8">
        <v>3566</v>
      </c>
      <c r="D3048" s="16">
        <v>-1.8623600000000001E-2</v>
      </c>
      <c r="E3048">
        <v>-9.3118000000000003E-3</v>
      </c>
    </row>
    <row r="3049" spans="1:5" x14ac:dyDescent="0.3">
      <c r="A3049" s="8">
        <v>78</v>
      </c>
      <c r="B3049" s="8">
        <v>45</v>
      </c>
      <c r="C3049" s="8">
        <v>3623</v>
      </c>
      <c r="D3049" s="16">
        <v>-2.044905E-2</v>
      </c>
      <c r="E3049">
        <v>-1.0224525E-2</v>
      </c>
    </row>
    <row r="3050" spans="1:5" x14ac:dyDescent="0.3">
      <c r="A3050" s="8">
        <v>78</v>
      </c>
      <c r="B3050" s="8">
        <v>46</v>
      </c>
      <c r="C3050" s="8">
        <v>3608</v>
      </c>
      <c r="D3050" s="16">
        <v>-1.702356E-2</v>
      </c>
      <c r="E3050">
        <v>-8.51178E-3</v>
      </c>
    </row>
    <row r="3051" spans="1:5" x14ac:dyDescent="0.3">
      <c r="A3051" s="8">
        <v>78</v>
      </c>
      <c r="B3051" s="8">
        <v>47</v>
      </c>
      <c r="C3051" s="8">
        <v>3619</v>
      </c>
      <c r="D3051" s="16">
        <v>2.894436E-4</v>
      </c>
      <c r="E3051">
        <v>1.447218E-4</v>
      </c>
    </row>
    <row r="3052" spans="1:5" x14ac:dyDescent="0.3">
      <c r="A3052" s="8">
        <v>78</v>
      </c>
      <c r="B3052" s="8">
        <v>48</v>
      </c>
      <c r="C3052" s="8">
        <v>3595</v>
      </c>
      <c r="D3052" s="16">
        <v>-2.2572600000000001E-3</v>
      </c>
      <c r="E3052">
        <v>-1.12863E-3</v>
      </c>
    </row>
    <row r="3053" spans="1:5" x14ac:dyDescent="0.3">
      <c r="A3053" s="8">
        <v>78</v>
      </c>
      <c r="B3053" s="8">
        <v>49</v>
      </c>
      <c r="C3053" s="8">
        <v>3600</v>
      </c>
      <c r="D3053" s="16">
        <v>-2.438214E-2</v>
      </c>
      <c r="E3053">
        <v>-1.219107E-2</v>
      </c>
    </row>
    <row r="3054" spans="1:5" x14ac:dyDescent="0.3">
      <c r="A3054" s="8">
        <v>78</v>
      </c>
      <c r="B3054" s="8">
        <v>50</v>
      </c>
      <c r="C3054" s="8">
        <v>3627</v>
      </c>
      <c r="D3054" s="16">
        <v>-6.072284E-2</v>
      </c>
      <c r="E3054">
        <v>-3.036142E-2</v>
      </c>
    </row>
    <row r="3055" spans="1:5" x14ac:dyDescent="0.3">
      <c r="A3055" s="8">
        <v>78</v>
      </c>
      <c r="B3055" s="8">
        <v>51</v>
      </c>
      <c r="C3055" s="8">
        <v>3582</v>
      </c>
      <c r="D3055" s="16">
        <v>-1.7609039999999999E-2</v>
      </c>
      <c r="E3055">
        <v>-8.8045199999999997E-3</v>
      </c>
    </row>
    <row r="3056" spans="1:5" x14ac:dyDescent="0.3">
      <c r="A3056" s="8">
        <v>78</v>
      </c>
      <c r="B3056" s="8">
        <v>52</v>
      </c>
      <c r="C3056" s="8">
        <v>3585</v>
      </c>
      <c r="D3056" s="16">
        <v>8.7560659999999998E-3</v>
      </c>
      <c r="E3056">
        <v>4.3780329999999999E-3</v>
      </c>
    </row>
    <row r="3057" spans="1:5" x14ac:dyDescent="0.3">
      <c r="A3057" s="8">
        <v>78</v>
      </c>
      <c r="B3057" s="8">
        <v>53</v>
      </c>
      <c r="C3057" s="8">
        <v>3594</v>
      </c>
      <c r="D3057" s="16">
        <v>-1.01367E-2</v>
      </c>
      <c r="E3057">
        <v>-5.0683500000000001E-3</v>
      </c>
    </row>
    <row r="3058" spans="1:5" x14ac:dyDescent="0.3">
      <c r="A3058" s="8">
        <v>78</v>
      </c>
      <c r="B3058" s="8">
        <v>54</v>
      </c>
      <c r="C3058" s="8">
        <v>3584</v>
      </c>
      <c r="D3058" s="16">
        <v>-3.976996E-3</v>
      </c>
      <c r="E3058">
        <v>-1.988498E-3</v>
      </c>
    </row>
    <row r="3059" spans="1:5" x14ac:dyDescent="0.3">
      <c r="A3059" s="8">
        <v>78</v>
      </c>
      <c r="B3059" s="8">
        <v>55</v>
      </c>
      <c r="C3059" s="8">
        <v>3615</v>
      </c>
      <c r="D3059" s="16">
        <v>4.3831019999999998E-3</v>
      </c>
      <c r="E3059">
        <v>2.1915509999999999E-3</v>
      </c>
    </row>
    <row r="3060" spans="1:5" x14ac:dyDescent="0.3">
      <c r="A3060" s="8">
        <v>78</v>
      </c>
      <c r="B3060" s="8">
        <v>56</v>
      </c>
      <c r="C3060" s="8">
        <v>3628</v>
      </c>
      <c r="D3060" s="16">
        <v>-2.843387E-2</v>
      </c>
      <c r="E3060">
        <v>-1.4216935E-2</v>
      </c>
    </row>
    <row r="3061" spans="1:5" x14ac:dyDescent="0.3">
      <c r="A3061" s="8">
        <v>78</v>
      </c>
      <c r="B3061" s="8">
        <v>57</v>
      </c>
      <c r="C3061" s="8">
        <v>3628</v>
      </c>
      <c r="D3061" s="16">
        <v>-1.370271E-2</v>
      </c>
      <c r="E3061">
        <v>-6.8513549999999999E-3</v>
      </c>
    </row>
    <row r="3062" spans="1:5" x14ac:dyDescent="0.3">
      <c r="A3062" s="8">
        <v>78</v>
      </c>
      <c r="B3062" s="8">
        <v>58</v>
      </c>
      <c r="C3062" s="8">
        <v>3596</v>
      </c>
      <c r="D3062" s="16">
        <v>-2.0689869999999999E-2</v>
      </c>
      <c r="E3062">
        <v>-1.0344935E-2</v>
      </c>
    </row>
    <row r="3063" spans="1:5" x14ac:dyDescent="0.3">
      <c r="A3063" s="8">
        <v>78</v>
      </c>
      <c r="B3063" s="8">
        <v>59</v>
      </c>
      <c r="C3063" s="8">
        <v>3629</v>
      </c>
      <c r="D3063" s="16">
        <v>-5.2660119999999998E-2</v>
      </c>
      <c r="E3063">
        <v>-2.6330059999999999E-2</v>
      </c>
    </row>
    <row r="3064" spans="1:5" x14ac:dyDescent="0.3">
      <c r="A3064" s="8">
        <v>78</v>
      </c>
      <c r="B3064" s="8">
        <v>60</v>
      </c>
      <c r="C3064" s="8">
        <v>3598</v>
      </c>
      <c r="D3064" s="16">
        <v>-5.0660239999999997E-3</v>
      </c>
      <c r="E3064">
        <v>-2.5330119999999999E-3</v>
      </c>
    </row>
    <row r="3065" spans="1:5" x14ac:dyDescent="0.3">
      <c r="A3065" s="8">
        <v>78</v>
      </c>
      <c r="B3065" s="8">
        <v>61</v>
      </c>
      <c r="C3065" s="8">
        <v>3596</v>
      </c>
      <c r="D3065" s="16">
        <v>-3.6180900000000002E-2</v>
      </c>
      <c r="E3065">
        <v>-1.8090450000000001E-2</v>
      </c>
    </row>
    <row r="3066" spans="1:5" x14ac:dyDescent="0.3">
      <c r="A3066" s="8">
        <v>78</v>
      </c>
      <c r="B3066" s="8">
        <v>62</v>
      </c>
      <c r="C3066" s="8">
        <v>3631</v>
      </c>
      <c r="D3066" s="16">
        <v>2.2940820000000001E-2</v>
      </c>
      <c r="E3066">
        <v>1.147041E-2</v>
      </c>
    </row>
    <row r="3067" spans="1:5" x14ac:dyDescent="0.3">
      <c r="A3067" s="8">
        <v>78</v>
      </c>
      <c r="B3067" s="8">
        <v>63</v>
      </c>
      <c r="C3067" s="8">
        <v>3626</v>
      </c>
      <c r="D3067" s="16">
        <v>2.119646E-2</v>
      </c>
      <c r="E3067">
        <v>1.059823E-2</v>
      </c>
    </row>
    <row r="3068" spans="1:5" x14ac:dyDescent="0.3">
      <c r="A3068" s="8">
        <v>78</v>
      </c>
      <c r="B3068" s="8">
        <v>64</v>
      </c>
      <c r="C3068" s="8">
        <v>3598</v>
      </c>
      <c r="D3068" s="16">
        <v>1.7266119999999999E-2</v>
      </c>
      <c r="E3068">
        <v>8.6330599999999997E-3</v>
      </c>
    </row>
    <row r="3069" spans="1:5" x14ac:dyDescent="0.3">
      <c r="A3069" s="8">
        <v>78</v>
      </c>
      <c r="B3069" s="8">
        <v>65</v>
      </c>
      <c r="C3069" s="8">
        <v>3613</v>
      </c>
      <c r="D3069" s="16">
        <v>5.1685729999999999E-2</v>
      </c>
      <c r="E3069">
        <v>2.5842865E-2</v>
      </c>
    </row>
    <row r="3070" spans="1:5" x14ac:dyDescent="0.3">
      <c r="A3070" s="8">
        <v>78</v>
      </c>
      <c r="B3070" s="8">
        <v>66</v>
      </c>
      <c r="C3070" s="8">
        <v>3621</v>
      </c>
      <c r="D3070" s="16">
        <v>-2.7965210000000001E-2</v>
      </c>
      <c r="E3070">
        <v>-1.3982605E-2</v>
      </c>
    </row>
    <row r="3071" spans="1:5" x14ac:dyDescent="0.3">
      <c r="A3071" s="8">
        <v>78</v>
      </c>
      <c r="B3071" s="8">
        <v>67</v>
      </c>
      <c r="C3071" s="8">
        <v>3607</v>
      </c>
      <c r="D3071" s="16">
        <v>-4.7599370000000002E-2</v>
      </c>
      <c r="E3071">
        <v>-2.3799685000000001E-2</v>
      </c>
    </row>
    <row r="3072" spans="1:5" x14ac:dyDescent="0.3">
      <c r="A3072" s="8">
        <v>78</v>
      </c>
      <c r="B3072" s="8">
        <v>68</v>
      </c>
      <c r="C3072" s="8">
        <v>3577</v>
      </c>
      <c r="D3072" s="16">
        <v>-2.2268670000000001E-2</v>
      </c>
      <c r="E3072">
        <v>-1.1134335E-2</v>
      </c>
    </row>
    <row r="3073" spans="1:5" x14ac:dyDescent="0.3">
      <c r="A3073" s="8">
        <v>78</v>
      </c>
      <c r="B3073" s="8">
        <v>69</v>
      </c>
      <c r="C3073" s="8">
        <v>3608</v>
      </c>
      <c r="D3073" s="16">
        <v>2.166614E-2</v>
      </c>
      <c r="E3073">
        <v>1.083307E-2</v>
      </c>
    </row>
    <row r="3074" spans="1:5" x14ac:dyDescent="0.3">
      <c r="A3074" s="8">
        <v>78</v>
      </c>
      <c r="B3074" s="8">
        <v>70</v>
      </c>
      <c r="C3074" s="8">
        <v>3606</v>
      </c>
      <c r="D3074" s="16">
        <v>-5.9885059999999997E-2</v>
      </c>
      <c r="E3074">
        <v>-2.9942529999999998E-2</v>
      </c>
    </row>
    <row r="3075" spans="1:5" x14ac:dyDescent="0.3">
      <c r="A3075" s="8">
        <v>78</v>
      </c>
      <c r="B3075" s="8">
        <v>71</v>
      </c>
      <c r="C3075" s="8">
        <v>3579</v>
      </c>
      <c r="D3075" s="16">
        <v>5.7817700000000003E-3</v>
      </c>
      <c r="E3075">
        <v>2.8908850000000002E-3</v>
      </c>
    </row>
    <row r="3076" spans="1:5" x14ac:dyDescent="0.3">
      <c r="A3076" s="8">
        <v>78</v>
      </c>
      <c r="B3076" s="8">
        <v>72</v>
      </c>
      <c r="C3076" s="8">
        <v>3570</v>
      </c>
      <c r="D3076" s="16">
        <v>-1.6911780000000001E-2</v>
      </c>
      <c r="E3076">
        <v>-8.4558900000000006E-3</v>
      </c>
    </row>
    <row r="3077" spans="1:5" x14ac:dyDescent="0.3">
      <c r="A3077" s="8">
        <v>78</v>
      </c>
      <c r="B3077" s="8">
        <v>73</v>
      </c>
      <c r="C3077" s="8">
        <v>3618</v>
      </c>
      <c r="D3077" s="16">
        <v>-2.5670510000000001E-2</v>
      </c>
      <c r="E3077">
        <v>-1.2835255E-2</v>
      </c>
    </row>
    <row r="3078" spans="1:5" x14ac:dyDescent="0.3">
      <c r="A3078" s="8">
        <v>78</v>
      </c>
      <c r="B3078" s="8">
        <v>74</v>
      </c>
      <c r="C3078" s="8">
        <v>3603</v>
      </c>
      <c r="D3078" s="16">
        <v>-3.7044170000000001E-2</v>
      </c>
      <c r="E3078">
        <v>-1.8522085000000001E-2</v>
      </c>
    </row>
    <row r="3079" spans="1:5" x14ac:dyDescent="0.3">
      <c r="A3079" s="8">
        <v>78</v>
      </c>
      <c r="B3079" s="8">
        <v>75</v>
      </c>
      <c r="C3079" s="8">
        <v>3595</v>
      </c>
      <c r="D3079" s="16">
        <v>-1.4390640000000001E-3</v>
      </c>
      <c r="E3079">
        <v>-7.1953200000000005E-4</v>
      </c>
    </row>
    <row r="3080" spans="1:5" x14ac:dyDescent="0.3">
      <c r="A3080" s="8">
        <v>78</v>
      </c>
      <c r="B3080" s="8">
        <v>76</v>
      </c>
      <c r="C3080" s="8">
        <v>3629</v>
      </c>
      <c r="D3080" s="16">
        <v>-2.805651E-2</v>
      </c>
      <c r="E3080">
        <v>-1.4028255E-2</v>
      </c>
    </row>
    <row r="3081" spans="1:5" x14ac:dyDescent="0.3">
      <c r="A3081" s="8">
        <v>78</v>
      </c>
      <c r="B3081" s="8">
        <v>77</v>
      </c>
      <c r="C3081" s="8">
        <v>3621</v>
      </c>
      <c r="D3081" s="16">
        <v>-4.2210650000000002E-2</v>
      </c>
      <c r="E3081">
        <v>-2.1105325000000001E-2</v>
      </c>
    </row>
    <row r="3082" spans="1:5" x14ac:dyDescent="0.3">
      <c r="A3082" s="8">
        <v>78</v>
      </c>
      <c r="B3082" s="8">
        <v>78</v>
      </c>
      <c r="C3082" s="8">
        <v>3889</v>
      </c>
      <c r="D3082" s="16">
        <v>1.0281720000000001</v>
      </c>
      <c r="E3082"/>
    </row>
    <row r="3083" spans="1:5" x14ac:dyDescent="0.3">
      <c r="A3083" s="8">
        <v>79</v>
      </c>
      <c r="B3083" s="8">
        <v>1</v>
      </c>
      <c r="C3083" s="8">
        <v>3601</v>
      </c>
      <c r="D3083" s="16">
        <v>1.927858E-2</v>
      </c>
      <c r="E3083">
        <v>9.63929E-3</v>
      </c>
    </row>
    <row r="3084" spans="1:5" x14ac:dyDescent="0.3">
      <c r="A3084" s="8">
        <v>79</v>
      </c>
      <c r="B3084" s="8">
        <v>2</v>
      </c>
      <c r="C3084" s="8">
        <v>3573</v>
      </c>
      <c r="D3084" s="16">
        <v>-3.4578499999999998E-2</v>
      </c>
      <c r="E3084">
        <v>-1.7289249999999999E-2</v>
      </c>
    </row>
    <row r="3085" spans="1:5" x14ac:dyDescent="0.3">
      <c r="A3085" s="8">
        <v>79</v>
      </c>
      <c r="B3085" s="8">
        <v>3</v>
      </c>
      <c r="C3085" s="8">
        <v>3588</v>
      </c>
      <c r="D3085" s="16">
        <v>1.5234640000000001E-2</v>
      </c>
      <c r="E3085">
        <v>7.6173200000000003E-3</v>
      </c>
    </row>
    <row r="3086" spans="1:5" x14ac:dyDescent="0.3">
      <c r="A3086" s="8">
        <v>79</v>
      </c>
      <c r="B3086" s="8">
        <v>4</v>
      </c>
      <c r="C3086" s="8">
        <v>3551</v>
      </c>
      <c r="D3086" s="16">
        <v>-9.668846E-3</v>
      </c>
      <c r="E3086">
        <v>-4.834423E-3</v>
      </c>
    </row>
    <row r="3087" spans="1:5" x14ac:dyDescent="0.3">
      <c r="A3087" s="8">
        <v>79</v>
      </c>
      <c r="B3087" s="8">
        <v>5</v>
      </c>
      <c r="C3087" s="8">
        <v>3581</v>
      </c>
      <c r="D3087" s="16">
        <v>-4.5116569999999996E-3</v>
      </c>
      <c r="E3087">
        <v>-2.2558284999999998E-3</v>
      </c>
    </row>
    <row r="3088" spans="1:5" x14ac:dyDescent="0.3">
      <c r="A3088" s="8">
        <v>79</v>
      </c>
      <c r="B3088" s="8">
        <v>6</v>
      </c>
      <c r="C3088" s="8">
        <v>3569</v>
      </c>
      <c r="D3088" s="16">
        <v>1.673697E-4</v>
      </c>
      <c r="E3088">
        <v>8.3684849999999999E-5</v>
      </c>
    </row>
    <row r="3089" spans="1:5" x14ac:dyDescent="0.3">
      <c r="A3089" s="8">
        <v>79</v>
      </c>
      <c r="B3089" s="8">
        <v>7</v>
      </c>
      <c r="C3089" s="8">
        <v>3543</v>
      </c>
      <c r="D3089" s="16">
        <v>-2.711444E-2</v>
      </c>
      <c r="E3089">
        <v>-1.355722E-2</v>
      </c>
    </row>
    <row r="3090" spans="1:5" x14ac:dyDescent="0.3">
      <c r="A3090" s="8">
        <v>79</v>
      </c>
      <c r="B3090" s="8">
        <v>8</v>
      </c>
      <c r="C3090" s="8">
        <v>3579</v>
      </c>
      <c r="D3090" s="16">
        <v>-1.6228579999999999E-2</v>
      </c>
      <c r="E3090">
        <v>-8.1142899999999997E-3</v>
      </c>
    </row>
    <row r="3091" spans="1:5" x14ac:dyDescent="0.3">
      <c r="A3091" s="8">
        <v>79</v>
      </c>
      <c r="B3091" s="8">
        <v>9</v>
      </c>
      <c r="C3091" s="8">
        <v>3593</v>
      </c>
      <c r="D3091" s="16">
        <v>3.6667070000000003E-2</v>
      </c>
      <c r="E3091">
        <v>1.8333535000000001E-2</v>
      </c>
    </row>
    <row r="3092" spans="1:5" x14ac:dyDescent="0.3">
      <c r="A3092" s="8">
        <v>79</v>
      </c>
      <c r="B3092" s="8">
        <v>10</v>
      </c>
      <c r="C3092" s="8">
        <v>3581</v>
      </c>
      <c r="D3092" s="16">
        <v>1.7842589999999998E-2</v>
      </c>
      <c r="E3092">
        <v>8.9212949999999992E-3</v>
      </c>
    </row>
    <row r="3093" spans="1:5" x14ac:dyDescent="0.3">
      <c r="A3093" s="8">
        <v>79</v>
      </c>
      <c r="B3093" s="8">
        <v>11</v>
      </c>
      <c r="C3093" s="8">
        <v>3584</v>
      </c>
      <c r="D3093" s="16">
        <v>-3.747876E-2</v>
      </c>
      <c r="E3093">
        <v>-1.873938E-2</v>
      </c>
    </row>
    <row r="3094" spans="1:5" x14ac:dyDescent="0.3">
      <c r="A3094" s="8">
        <v>79</v>
      </c>
      <c r="B3094" s="8">
        <v>12</v>
      </c>
      <c r="C3094" s="8">
        <v>3582</v>
      </c>
      <c r="D3094" s="16">
        <v>2.8764620000000001E-2</v>
      </c>
      <c r="E3094">
        <v>1.4382310000000001E-2</v>
      </c>
    </row>
    <row r="3095" spans="1:5" x14ac:dyDescent="0.3">
      <c r="A3095" s="8">
        <v>79</v>
      </c>
      <c r="B3095" s="8">
        <v>13</v>
      </c>
      <c r="C3095" s="8">
        <v>3586</v>
      </c>
      <c r="D3095" s="16">
        <v>-2.513876E-2</v>
      </c>
      <c r="E3095">
        <v>-1.256938E-2</v>
      </c>
    </row>
    <row r="3096" spans="1:5" x14ac:dyDescent="0.3">
      <c r="A3096" s="8">
        <v>79</v>
      </c>
      <c r="B3096" s="8">
        <v>14</v>
      </c>
      <c r="C3096" s="8">
        <v>3567</v>
      </c>
      <c r="D3096" s="16">
        <v>6.8469100000000003E-3</v>
      </c>
      <c r="E3096">
        <v>3.4234550000000002E-3</v>
      </c>
    </row>
    <row r="3097" spans="1:5" x14ac:dyDescent="0.3">
      <c r="A3097" s="8">
        <v>79</v>
      </c>
      <c r="B3097" s="8">
        <v>15</v>
      </c>
      <c r="C3097" s="8">
        <v>3596</v>
      </c>
      <c r="D3097" s="16">
        <v>-4.0044339999999998E-2</v>
      </c>
      <c r="E3097">
        <v>-2.0022169999999999E-2</v>
      </c>
    </row>
    <row r="3098" spans="1:5" x14ac:dyDescent="0.3">
      <c r="A3098" s="8">
        <v>79</v>
      </c>
      <c r="B3098" s="8">
        <v>16</v>
      </c>
      <c r="C3098" s="8">
        <v>3562</v>
      </c>
      <c r="D3098" s="16">
        <v>-8.1774250000000005E-4</v>
      </c>
      <c r="E3098">
        <v>-4.0887125000000003E-4</v>
      </c>
    </row>
    <row r="3099" spans="1:5" x14ac:dyDescent="0.3">
      <c r="A3099" s="8">
        <v>79</v>
      </c>
      <c r="B3099" s="8">
        <v>17</v>
      </c>
      <c r="C3099" s="8">
        <v>3590</v>
      </c>
      <c r="D3099" s="16">
        <v>-5.1595050000000003E-2</v>
      </c>
      <c r="E3099">
        <v>-2.5797525000000002E-2</v>
      </c>
    </row>
    <row r="3100" spans="1:5" x14ac:dyDescent="0.3">
      <c r="A3100" s="8">
        <v>79</v>
      </c>
      <c r="B3100" s="8">
        <v>18</v>
      </c>
      <c r="C3100" s="8">
        <v>3589</v>
      </c>
      <c r="D3100" s="16">
        <v>-4.91066E-2</v>
      </c>
      <c r="E3100">
        <v>-2.45533E-2</v>
      </c>
    </row>
    <row r="3101" spans="1:5" x14ac:dyDescent="0.3">
      <c r="A3101" s="8">
        <v>79</v>
      </c>
      <c r="B3101" s="8">
        <v>19</v>
      </c>
      <c r="C3101" s="8">
        <v>3546</v>
      </c>
      <c r="D3101" s="16">
        <v>-3.6569419999999998E-2</v>
      </c>
      <c r="E3101">
        <v>-1.8284709999999999E-2</v>
      </c>
    </row>
    <row r="3102" spans="1:5" x14ac:dyDescent="0.3">
      <c r="A3102" s="8">
        <v>79</v>
      </c>
      <c r="B3102" s="8">
        <v>20</v>
      </c>
      <c r="C3102" s="8">
        <v>3548</v>
      </c>
      <c r="D3102" s="16">
        <v>-9.7168659999999994E-3</v>
      </c>
      <c r="E3102">
        <v>-4.8584329999999997E-3</v>
      </c>
    </row>
    <row r="3103" spans="1:5" x14ac:dyDescent="0.3">
      <c r="A3103" s="8">
        <v>79</v>
      </c>
      <c r="B3103" s="8">
        <v>21</v>
      </c>
      <c r="C3103" s="8">
        <v>3609</v>
      </c>
      <c r="D3103" s="16">
        <v>-3.8615620000000003E-2</v>
      </c>
      <c r="E3103">
        <v>-1.9307810000000002E-2</v>
      </c>
    </row>
    <row r="3104" spans="1:5" x14ac:dyDescent="0.3">
      <c r="A3104" s="8">
        <v>79</v>
      </c>
      <c r="B3104" s="8">
        <v>22</v>
      </c>
      <c r="C3104" s="8">
        <v>3562</v>
      </c>
      <c r="D3104" s="16">
        <v>-1.8848650000000002E-2</v>
      </c>
      <c r="E3104">
        <v>-9.4243250000000008E-3</v>
      </c>
    </row>
    <row r="3105" spans="1:5" x14ac:dyDescent="0.3">
      <c r="A3105" s="8">
        <v>79</v>
      </c>
      <c r="B3105" s="8">
        <v>23</v>
      </c>
      <c r="C3105" s="8">
        <v>3578</v>
      </c>
      <c r="D3105" s="16">
        <v>-2.6611180000000002E-2</v>
      </c>
      <c r="E3105">
        <v>-1.3305590000000001E-2</v>
      </c>
    </row>
    <row r="3106" spans="1:5" x14ac:dyDescent="0.3">
      <c r="A3106" s="8">
        <v>79</v>
      </c>
      <c r="B3106" s="8">
        <v>24</v>
      </c>
      <c r="C3106" s="8">
        <v>3605</v>
      </c>
      <c r="D3106" s="16">
        <v>-4.6293389999999997E-2</v>
      </c>
      <c r="E3106">
        <v>-2.3146694999999998E-2</v>
      </c>
    </row>
    <row r="3107" spans="1:5" x14ac:dyDescent="0.3">
      <c r="A3107" s="8">
        <v>79</v>
      </c>
      <c r="B3107" s="8">
        <v>25</v>
      </c>
      <c r="C3107" s="8">
        <v>3554</v>
      </c>
      <c r="D3107" s="16">
        <v>-1.4186290000000001E-2</v>
      </c>
      <c r="E3107">
        <v>-7.0931450000000004E-3</v>
      </c>
    </row>
    <row r="3108" spans="1:5" x14ac:dyDescent="0.3">
      <c r="A3108" s="8">
        <v>79</v>
      </c>
      <c r="B3108" s="8">
        <v>26</v>
      </c>
      <c r="C3108" s="8">
        <v>3598</v>
      </c>
      <c r="D3108" s="16">
        <v>1.7874560000000001E-2</v>
      </c>
      <c r="E3108">
        <v>8.9372800000000006E-3</v>
      </c>
    </row>
    <row r="3109" spans="1:5" x14ac:dyDescent="0.3">
      <c r="A3109" s="8">
        <v>79</v>
      </c>
      <c r="B3109" s="8">
        <v>27</v>
      </c>
      <c r="C3109" s="8">
        <v>3567</v>
      </c>
      <c r="D3109" s="16">
        <v>-7.1207909999999999E-2</v>
      </c>
      <c r="E3109">
        <v>-3.5603955E-2</v>
      </c>
    </row>
    <row r="3110" spans="1:5" x14ac:dyDescent="0.3">
      <c r="A3110" s="8">
        <v>79</v>
      </c>
      <c r="B3110" s="8">
        <v>28</v>
      </c>
      <c r="C3110" s="8">
        <v>3521</v>
      </c>
      <c r="D3110" s="16">
        <v>-3.7615420000000001E-3</v>
      </c>
      <c r="E3110">
        <v>-1.880771E-3</v>
      </c>
    </row>
    <row r="3111" spans="1:5" x14ac:dyDescent="0.3">
      <c r="A3111" s="8">
        <v>79</v>
      </c>
      <c r="B3111" s="8">
        <v>29</v>
      </c>
      <c r="C3111" s="8">
        <v>3549</v>
      </c>
      <c r="D3111" s="16">
        <v>-2.8752260000000002E-2</v>
      </c>
      <c r="E3111">
        <v>-1.4376130000000001E-2</v>
      </c>
    </row>
    <row r="3112" spans="1:5" x14ac:dyDescent="0.3">
      <c r="A3112" s="8">
        <v>79</v>
      </c>
      <c r="B3112" s="8">
        <v>30</v>
      </c>
      <c r="C3112" s="8">
        <v>3561</v>
      </c>
      <c r="D3112" s="16">
        <v>-1.169159E-2</v>
      </c>
      <c r="E3112">
        <v>-5.845795E-3</v>
      </c>
    </row>
    <row r="3113" spans="1:5" x14ac:dyDescent="0.3">
      <c r="A3113" s="8">
        <v>79</v>
      </c>
      <c r="B3113" s="8">
        <v>31</v>
      </c>
      <c r="C3113" s="8">
        <v>3473</v>
      </c>
      <c r="D3113" s="16">
        <v>1.3878990000000001E-2</v>
      </c>
      <c r="E3113">
        <v>6.9394950000000004E-3</v>
      </c>
    </row>
    <row r="3114" spans="1:5" x14ac:dyDescent="0.3">
      <c r="A3114" s="8">
        <v>79</v>
      </c>
      <c r="B3114" s="8">
        <v>32</v>
      </c>
      <c r="C3114" s="8">
        <v>3551</v>
      </c>
      <c r="D3114" s="16">
        <v>-1.488836E-2</v>
      </c>
      <c r="E3114">
        <v>-7.4441799999999999E-3</v>
      </c>
    </row>
    <row r="3115" spans="1:5" x14ac:dyDescent="0.3">
      <c r="A3115" s="8">
        <v>79</v>
      </c>
      <c r="B3115" s="8">
        <v>33</v>
      </c>
      <c r="C3115" s="8">
        <v>3598</v>
      </c>
      <c r="D3115" s="16">
        <v>-2.5697049999999999E-2</v>
      </c>
      <c r="E3115">
        <v>-1.2848525E-2</v>
      </c>
    </row>
    <row r="3116" spans="1:5" x14ac:dyDescent="0.3">
      <c r="A3116" s="8">
        <v>79</v>
      </c>
      <c r="B3116" s="8">
        <v>34</v>
      </c>
      <c r="C3116" s="8">
        <v>3577</v>
      </c>
      <c r="D3116" s="16">
        <v>-2.8028720000000001E-3</v>
      </c>
      <c r="E3116">
        <v>-1.401436E-3</v>
      </c>
    </row>
    <row r="3117" spans="1:5" x14ac:dyDescent="0.3">
      <c r="A3117" s="8">
        <v>79</v>
      </c>
      <c r="B3117" s="8">
        <v>35</v>
      </c>
      <c r="C3117" s="8">
        <v>3562</v>
      </c>
      <c r="D3117" s="16">
        <v>6.0547990000000003E-2</v>
      </c>
      <c r="E3117">
        <v>3.0273995000000001E-2</v>
      </c>
    </row>
    <row r="3118" spans="1:5" x14ac:dyDescent="0.3">
      <c r="A3118" s="8">
        <v>79</v>
      </c>
      <c r="B3118" s="8">
        <v>36</v>
      </c>
      <c r="C3118" s="8">
        <v>3552</v>
      </c>
      <c r="D3118" s="16">
        <v>-2.9281850000000002E-2</v>
      </c>
      <c r="E3118">
        <v>-1.4640925000000001E-2</v>
      </c>
    </row>
    <row r="3119" spans="1:5" x14ac:dyDescent="0.3">
      <c r="A3119" s="8">
        <v>79</v>
      </c>
      <c r="B3119" s="8">
        <v>37</v>
      </c>
      <c r="C3119" s="8">
        <v>3533</v>
      </c>
      <c r="D3119" s="16">
        <v>-1.5032230000000001E-4</v>
      </c>
      <c r="E3119">
        <v>-7.5161150000000005E-5</v>
      </c>
    </row>
    <row r="3120" spans="1:5" x14ac:dyDescent="0.3">
      <c r="A3120" s="8">
        <v>79</v>
      </c>
      <c r="B3120" s="8">
        <v>38</v>
      </c>
      <c r="C3120" s="8">
        <v>3583</v>
      </c>
      <c r="D3120" s="16">
        <v>2.1658360000000001E-2</v>
      </c>
      <c r="E3120">
        <v>1.0829180000000001E-2</v>
      </c>
    </row>
    <row r="3121" spans="1:5" x14ac:dyDescent="0.3">
      <c r="A3121" s="8">
        <v>79</v>
      </c>
      <c r="B3121" s="8">
        <v>39</v>
      </c>
      <c r="C3121" s="8">
        <v>3576</v>
      </c>
      <c r="D3121" s="16">
        <v>1.507846E-2</v>
      </c>
      <c r="E3121">
        <v>7.5392300000000001E-3</v>
      </c>
    </row>
    <row r="3122" spans="1:5" x14ac:dyDescent="0.3">
      <c r="A3122" s="8">
        <v>79</v>
      </c>
      <c r="B3122" s="8">
        <v>40</v>
      </c>
      <c r="C3122" s="8">
        <v>3592</v>
      </c>
      <c r="D3122" s="16">
        <v>1.0412350000000001E-2</v>
      </c>
      <c r="E3122">
        <v>5.2061750000000004E-3</v>
      </c>
    </row>
    <row r="3123" spans="1:5" x14ac:dyDescent="0.3">
      <c r="A3123" s="8">
        <v>79</v>
      </c>
      <c r="B3123" s="8">
        <v>41</v>
      </c>
      <c r="C3123" s="8">
        <v>3543</v>
      </c>
      <c r="D3123" s="16">
        <v>9.6899250000000003E-3</v>
      </c>
      <c r="E3123">
        <v>4.8449625000000001E-3</v>
      </c>
    </row>
    <row r="3124" spans="1:5" x14ac:dyDescent="0.3">
      <c r="A3124" s="8">
        <v>79</v>
      </c>
      <c r="B3124" s="8">
        <v>42</v>
      </c>
      <c r="C3124" s="8">
        <v>3566</v>
      </c>
      <c r="D3124" s="16">
        <v>-3.3311649999999998E-2</v>
      </c>
      <c r="E3124">
        <v>-1.6655824999999999E-2</v>
      </c>
    </row>
    <row r="3125" spans="1:5" x14ac:dyDescent="0.3">
      <c r="A3125" s="8">
        <v>79</v>
      </c>
      <c r="B3125" s="8">
        <v>43</v>
      </c>
      <c r="C3125" s="8">
        <v>3551</v>
      </c>
      <c r="D3125" s="16">
        <v>-6.6343469999999996E-3</v>
      </c>
      <c r="E3125">
        <v>-3.3171734999999998E-3</v>
      </c>
    </row>
    <row r="3126" spans="1:5" x14ac:dyDescent="0.3">
      <c r="A3126" s="8">
        <v>79</v>
      </c>
      <c r="B3126" s="8">
        <v>44</v>
      </c>
      <c r="C3126" s="8">
        <v>3529</v>
      </c>
      <c r="D3126" s="16">
        <v>-4.7883800000000001E-3</v>
      </c>
      <c r="E3126">
        <v>-2.39419E-3</v>
      </c>
    </row>
    <row r="3127" spans="1:5" x14ac:dyDescent="0.3">
      <c r="A3127" s="8">
        <v>79</v>
      </c>
      <c r="B3127" s="8">
        <v>45</v>
      </c>
      <c r="C3127" s="8">
        <v>3588</v>
      </c>
      <c r="D3127" s="16">
        <v>-2.7461300000000001E-2</v>
      </c>
      <c r="E3127">
        <v>-1.373065E-2</v>
      </c>
    </row>
    <row r="3128" spans="1:5" x14ac:dyDescent="0.3">
      <c r="A3128" s="8">
        <v>79</v>
      </c>
      <c r="B3128" s="8">
        <v>46</v>
      </c>
      <c r="C3128" s="8">
        <v>3574</v>
      </c>
      <c r="D3128" s="16">
        <v>1.7095470000000001E-2</v>
      </c>
      <c r="E3128">
        <v>8.5477350000000007E-3</v>
      </c>
    </row>
    <row r="3129" spans="1:5" x14ac:dyDescent="0.3">
      <c r="A3129" s="8">
        <v>79</v>
      </c>
      <c r="B3129" s="8">
        <v>47</v>
      </c>
      <c r="C3129" s="8">
        <v>3581</v>
      </c>
      <c r="D3129" s="16">
        <v>-2.9784729999999999E-2</v>
      </c>
      <c r="E3129">
        <v>-1.4892364999999999E-2</v>
      </c>
    </row>
    <row r="3130" spans="1:5" x14ac:dyDescent="0.3">
      <c r="A3130" s="8">
        <v>79</v>
      </c>
      <c r="B3130" s="8">
        <v>48</v>
      </c>
      <c r="C3130" s="8">
        <v>3554</v>
      </c>
      <c r="D3130" s="16">
        <v>-3.6826680000000001E-2</v>
      </c>
      <c r="E3130">
        <v>-1.841334E-2</v>
      </c>
    </row>
    <row r="3131" spans="1:5" x14ac:dyDescent="0.3">
      <c r="A3131" s="8">
        <v>79</v>
      </c>
      <c r="B3131" s="8">
        <v>49</v>
      </c>
      <c r="C3131" s="8">
        <v>3562</v>
      </c>
      <c r="D3131" s="16">
        <v>-5.8603290000000002E-2</v>
      </c>
      <c r="E3131">
        <v>-2.9301645000000001E-2</v>
      </c>
    </row>
    <row r="3132" spans="1:5" x14ac:dyDescent="0.3">
      <c r="A3132" s="8">
        <v>79</v>
      </c>
      <c r="B3132" s="8">
        <v>50</v>
      </c>
      <c r="C3132" s="8">
        <v>3575</v>
      </c>
      <c r="D3132" s="16">
        <v>-1.840166E-2</v>
      </c>
      <c r="E3132">
        <v>-9.2008300000000001E-3</v>
      </c>
    </row>
    <row r="3133" spans="1:5" x14ac:dyDescent="0.3">
      <c r="A3133" s="8">
        <v>79</v>
      </c>
      <c r="B3133" s="8">
        <v>51</v>
      </c>
      <c r="C3133" s="8">
        <v>3544</v>
      </c>
      <c r="D3133" s="16">
        <v>-2.7442049999999999E-2</v>
      </c>
      <c r="E3133">
        <v>-1.3721025E-2</v>
      </c>
    </row>
    <row r="3134" spans="1:5" x14ac:dyDescent="0.3">
      <c r="A3134" s="8">
        <v>79</v>
      </c>
      <c r="B3134" s="8">
        <v>52</v>
      </c>
      <c r="C3134" s="8">
        <v>3564</v>
      </c>
      <c r="D3134" s="16">
        <v>-2.4068349999999999E-2</v>
      </c>
      <c r="E3134">
        <v>-1.2034174999999999E-2</v>
      </c>
    </row>
    <row r="3135" spans="1:5" x14ac:dyDescent="0.3">
      <c r="A3135" s="8">
        <v>79</v>
      </c>
      <c r="B3135" s="8">
        <v>53</v>
      </c>
      <c r="C3135" s="8">
        <v>3573</v>
      </c>
      <c r="D3135" s="16">
        <v>2.6487070000000001E-2</v>
      </c>
      <c r="E3135">
        <v>1.3243535000000001E-2</v>
      </c>
    </row>
    <row r="3136" spans="1:5" x14ac:dyDescent="0.3">
      <c r="A3136" s="8">
        <v>79</v>
      </c>
      <c r="B3136" s="8">
        <v>54</v>
      </c>
      <c r="C3136" s="8">
        <v>3553</v>
      </c>
      <c r="D3136" s="16">
        <v>-1.7709909999999999E-2</v>
      </c>
      <c r="E3136">
        <v>-8.8549549999999994E-3</v>
      </c>
    </row>
    <row r="3137" spans="1:5" x14ac:dyDescent="0.3">
      <c r="A3137" s="8">
        <v>79</v>
      </c>
      <c r="B3137" s="8">
        <v>55</v>
      </c>
      <c r="C3137" s="8">
        <v>3570</v>
      </c>
      <c r="D3137" s="16">
        <v>-3.4347599999999999E-2</v>
      </c>
      <c r="E3137">
        <v>-1.7173799999999999E-2</v>
      </c>
    </row>
    <row r="3138" spans="1:5" x14ac:dyDescent="0.3">
      <c r="A3138" s="8">
        <v>79</v>
      </c>
      <c r="B3138" s="8">
        <v>56</v>
      </c>
      <c r="C3138" s="8">
        <v>3587</v>
      </c>
      <c r="D3138" s="16">
        <v>-1.3569110000000001E-2</v>
      </c>
      <c r="E3138">
        <v>-6.7845550000000003E-3</v>
      </c>
    </row>
    <row r="3139" spans="1:5" x14ac:dyDescent="0.3">
      <c r="A3139" s="8">
        <v>79</v>
      </c>
      <c r="B3139" s="8">
        <v>57</v>
      </c>
      <c r="C3139" s="8">
        <v>3600</v>
      </c>
      <c r="D3139" s="16">
        <v>-4.8671810000000003E-2</v>
      </c>
      <c r="E3139">
        <v>-2.4335905000000001E-2</v>
      </c>
    </row>
    <row r="3140" spans="1:5" x14ac:dyDescent="0.3">
      <c r="A3140" s="8">
        <v>79</v>
      </c>
      <c r="B3140" s="8">
        <v>58</v>
      </c>
      <c r="C3140" s="8">
        <v>3575</v>
      </c>
      <c r="D3140" s="16">
        <v>2.1535230000000001E-3</v>
      </c>
      <c r="E3140">
        <v>1.0767615E-3</v>
      </c>
    </row>
    <row r="3141" spans="1:5" x14ac:dyDescent="0.3">
      <c r="A3141" s="8">
        <v>79</v>
      </c>
      <c r="B3141" s="8">
        <v>59</v>
      </c>
      <c r="C3141" s="8">
        <v>3601</v>
      </c>
      <c r="D3141" s="16">
        <v>3.3850850000000002E-2</v>
      </c>
      <c r="E3141">
        <v>1.6925425000000001E-2</v>
      </c>
    </row>
    <row r="3142" spans="1:5" x14ac:dyDescent="0.3">
      <c r="A3142" s="8">
        <v>79</v>
      </c>
      <c r="B3142" s="8">
        <v>60</v>
      </c>
      <c r="C3142" s="8">
        <v>3573</v>
      </c>
      <c r="D3142" s="16">
        <v>-3.1569560000000003E-2</v>
      </c>
      <c r="E3142">
        <v>-1.5784780000000002E-2</v>
      </c>
    </row>
    <row r="3143" spans="1:5" x14ac:dyDescent="0.3">
      <c r="A3143" s="8">
        <v>79</v>
      </c>
      <c r="B3143" s="8">
        <v>61</v>
      </c>
      <c r="C3143" s="8">
        <v>3571</v>
      </c>
      <c r="D3143" s="16">
        <v>-1.7210420000000001E-2</v>
      </c>
      <c r="E3143">
        <v>-8.6052100000000003E-3</v>
      </c>
    </row>
    <row r="3144" spans="1:5" x14ac:dyDescent="0.3">
      <c r="A3144" s="8">
        <v>79</v>
      </c>
      <c r="B3144" s="8">
        <v>62</v>
      </c>
      <c r="C3144" s="8">
        <v>3594</v>
      </c>
      <c r="D3144" s="16">
        <v>-8.9893409999999997E-3</v>
      </c>
      <c r="E3144">
        <v>-4.4946704999999998E-3</v>
      </c>
    </row>
    <row r="3145" spans="1:5" x14ac:dyDescent="0.3">
      <c r="A3145" s="8">
        <v>79</v>
      </c>
      <c r="B3145" s="8">
        <v>63</v>
      </c>
      <c r="C3145" s="8">
        <v>3590</v>
      </c>
      <c r="D3145" s="16">
        <v>-5.1575179999999998E-2</v>
      </c>
      <c r="E3145">
        <v>-2.5787589999999999E-2</v>
      </c>
    </row>
    <row r="3146" spans="1:5" x14ac:dyDescent="0.3">
      <c r="A3146" s="8">
        <v>79</v>
      </c>
      <c r="B3146" s="8">
        <v>64</v>
      </c>
      <c r="C3146" s="8">
        <v>3565</v>
      </c>
      <c r="D3146" s="16">
        <v>-3.1885770000000001E-2</v>
      </c>
      <c r="E3146">
        <v>-1.5942885E-2</v>
      </c>
    </row>
    <row r="3147" spans="1:5" x14ac:dyDescent="0.3">
      <c r="A3147" s="8">
        <v>79</v>
      </c>
      <c r="B3147" s="8">
        <v>65</v>
      </c>
      <c r="C3147" s="8">
        <v>3580</v>
      </c>
      <c r="D3147" s="16">
        <v>-3.2736479999999998E-2</v>
      </c>
      <c r="E3147">
        <v>-1.6368239999999999E-2</v>
      </c>
    </row>
    <row r="3148" spans="1:5" x14ac:dyDescent="0.3">
      <c r="A3148" s="8">
        <v>79</v>
      </c>
      <c r="B3148" s="8">
        <v>66</v>
      </c>
      <c r="C3148" s="8">
        <v>3603</v>
      </c>
      <c r="D3148" s="16">
        <v>-2.043625E-2</v>
      </c>
      <c r="E3148">
        <v>-1.0218125E-2</v>
      </c>
    </row>
    <row r="3149" spans="1:5" x14ac:dyDescent="0.3">
      <c r="A3149" s="8">
        <v>79</v>
      </c>
      <c r="B3149" s="8">
        <v>67</v>
      </c>
      <c r="C3149" s="8">
        <v>3571</v>
      </c>
      <c r="D3149" s="16">
        <v>4.3562289999999997E-2</v>
      </c>
      <c r="E3149">
        <v>2.1781144999999998E-2</v>
      </c>
    </row>
    <row r="3150" spans="1:5" x14ac:dyDescent="0.3">
      <c r="A3150" s="8">
        <v>79</v>
      </c>
      <c r="B3150" s="8">
        <v>68</v>
      </c>
      <c r="C3150" s="8">
        <v>3537</v>
      </c>
      <c r="D3150" s="16">
        <v>1.5111329999999999E-2</v>
      </c>
      <c r="E3150">
        <v>7.5556649999999996E-3</v>
      </c>
    </row>
    <row r="3151" spans="1:5" x14ac:dyDescent="0.3">
      <c r="A3151" s="8">
        <v>79</v>
      </c>
      <c r="B3151" s="8">
        <v>69</v>
      </c>
      <c r="C3151" s="8">
        <v>3579</v>
      </c>
      <c r="D3151" s="16">
        <v>-8.4674069999999997E-3</v>
      </c>
      <c r="E3151">
        <v>-4.2337034999999999E-3</v>
      </c>
    </row>
    <row r="3152" spans="1:5" x14ac:dyDescent="0.3">
      <c r="A3152" s="8">
        <v>79</v>
      </c>
      <c r="B3152" s="8">
        <v>70</v>
      </c>
      <c r="C3152" s="8">
        <v>3558</v>
      </c>
      <c r="D3152" s="16">
        <v>-3.874358E-2</v>
      </c>
      <c r="E3152">
        <v>-1.937179E-2</v>
      </c>
    </row>
    <row r="3153" spans="1:5" x14ac:dyDescent="0.3">
      <c r="A3153" s="8">
        <v>79</v>
      </c>
      <c r="B3153" s="8">
        <v>71</v>
      </c>
      <c r="C3153" s="8">
        <v>3561</v>
      </c>
      <c r="D3153" s="16">
        <v>-3.5433259999999999E-3</v>
      </c>
      <c r="E3153">
        <v>-1.7716629999999999E-3</v>
      </c>
    </row>
    <row r="3154" spans="1:5" x14ac:dyDescent="0.3">
      <c r="A3154" s="8">
        <v>79</v>
      </c>
      <c r="B3154" s="8">
        <v>72</v>
      </c>
      <c r="C3154" s="8">
        <v>3549</v>
      </c>
      <c r="D3154" s="16">
        <v>9.0290559999999995E-4</v>
      </c>
      <c r="E3154">
        <v>4.5145279999999997E-4</v>
      </c>
    </row>
    <row r="3155" spans="1:5" x14ac:dyDescent="0.3">
      <c r="A3155" s="8">
        <v>79</v>
      </c>
      <c r="B3155" s="8">
        <v>73</v>
      </c>
      <c r="C3155" s="8">
        <v>3581</v>
      </c>
      <c r="D3155" s="16">
        <v>-1.0974309999999999E-2</v>
      </c>
      <c r="E3155">
        <v>-5.4871549999999996E-3</v>
      </c>
    </row>
    <row r="3156" spans="1:5" x14ac:dyDescent="0.3">
      <c r="A3156" s="8">
        <v>79</v>
      </c>
      <c r="B3156" s="8">
        <v>74</v>
      </c>
      <c r="C3156" s="8">
        <v>3559</v>
      </c>
      <c r="D3156" s="16">
        <v>2.7564269999999998E-2</v>
      </c>
      <c r="E3156">
        <v>1.3782134999999999E-2</v>
      </c>
    </row>
    <row r="3157" spans="1:5" x14ac:dyDescent="0.3">
      <c r="A3157" s="8">
        <v>79</v>
      </c>
      <c r="B3157" s="8">
        <v>75</v>
      </c>
      <c r="C3157" s="8">
        <v>3564</v>
      </c>
      <c r="D3157" s="16">
        <v>-5.1745380000000001E-2</v>
      </c>
      <c r="E3157">
        <v>-2.587269E-2</v>
      </c>
    </row>
    <row r="3158" spans="1:5" x14ac:dyDescent="0.3">
      <c r="A3158" s="8">
        <v>79</v>
      </c>
      <c r="B3158" s="8">
        <v>76</v>
      </c>
      <c r="C3158" s="8">
        <v>3582</v>
      </c>
      <c r="D3158" s="16">
        <v>-2.2358599999999999E-2</v>
      </c>
      <c r="E3158">
        <v>-1.11793E-2</v>
      </c>
    </row>
    <row r="3159" spans="1:5" x14ac:dyDescent="0.3">
      <c r="A3159" s="8">
        <v>79</v>
      </c>
      <c r="B3159" s="8">
        <v>77</v>
      </c>
      <c r="C3159" s="8">
        <v>3585</v>
      </c>
      <c r="D3159" s="16">
        <v>-5.173809E-2</v>
      </c>
      <c r="E3159">
        <v>-2.5869045E-2</v>
      </c>
    </row>
    <row r="3160" spans="1:5" x14ac:dyDescent="0.3">
      <c r="A3160" s="8">
        <v>79</v>
      </c>
      <c r="B3160" s="8">
        <v>78</v>
      </c>
      <c r="C3160" s="8">
        <v>3592</v>
      </c>
      <c r="D3160" s="16">
        <v>-2.346347E-2</v>
      </c>
      <c r="E3160">
        <v>-1.1731735E-2</v>
      </c>
    </row>
    <row r="3161" spans="1:5" x14ac:dyDescent="0.3">
      <c r="A3161" s="8">
        <v>79</v>
      </c>
      <c r="B3161" s="8">
        <v>79</v>
      </c>
      <c r="C3161" s="8">
        <v>3848</v>
      </c>
      <c r="D3161" s="16">
        <v>1.048092</v>
      </c>
      <c r="E3161"/>
    </row>
    <row r="3162" spans="1:5" x14ac:dyDescent="0.3">
      <c r="A3162" s="8">
        <v>80</v>
      </c>
      <c r="B3162" s="8">
        <v>1</v>
      </c>
      <c r="C3162" s="8">
        <v>3630</v>
      </c>
      <c r="D3162" s="16">
        <v>-2.0142070000000002E-2</v>
      </c>
      <c r="E3162">
        <v>-1.0071035000000001E-2</v>
      </c>
    </row>
    <row r="3163" spans="1:5" x14ac:dyDescent="0.3">
      <c r="A3163" s="8">
        <v>80</v>
      </c>
      <c r="B3163" s="8">
        <v>2</v>
      </c>
      <c r="C3163" s="8">
        <v>3611</v>
      </c>
      <c r="D3163" s="16">
        <v>-2.4595829999999999E-2</v>
      </c>
      <c r="E3163">
        <v>-1.2297915E-2</v>
      </c>
    </row>
    <row r="3164" spans="1:5" x14ac:dyDescent="0.3">
      <c r="A3164" s="8">
        <v>80</v>
      </c>
      <c r="B3164" s="8">
        <v>3</v>
      </c>
      <c r="C3164" s="8">
        <v>3634</v>
      </c>
      <c r="D3164" s="16">
        <v>-3.3517640000000001E-2</v>
      </c>
      <c r="E3164">
        <v>-1.6758820000000001E-2</v>
      </c>
    </row>
    <row r="3165" spans="1:5" x14ac:dyDescent="0.3">
      <c r="A3165" s="8">
        <v>80</v>
      </c>
      <c r="B3165" s="8">
        <v>4</v>
      </c>
      <c r="C3165" s="8">
        <v>3589</v>
      </c>
      <c r="D3165" s="16">
        <v>-1.3912860000000001E-2</v>
      </c>
      <c r="E3165">
        <v>-6.9564300000000004E-3</v>
      </c>
    </row>
    <row r="3166" spans="1:5" x14ac:dyDescent="0.3">
      <c r="A3166" s="8">
        <v>80</v>
      </c>
      <c r="B3166" s="8">
        <v>5</v>
      </c>
      <c r="C3166" s="8">
        <v>3611</v>
      </c>
      <c r="D3166" s="16">
        <v>-7.0222660000000006E-2</v>
      </c>
      <c r="E3166">
        <v>-3.5111330000000003E-2</v>
      </c>
    </row>
    <row r="3167" spans="1:5" x14ac:dyDescent="0.3">
      <c r="A3167" s="8">
        <v>80</v>
      </c>
      <c r="B3167" s="8">
        <v>6</v>
      </c>
      <c r="C3167" s="8">
        <v>3608</v>
      </c>
      <c r="D3167" s="16">
        <v>-2.1396220000000001E-2</v>
      </c>
      <c r="E3167">
        <v>-1.069811E-2</v>
      </c>
    </row>
    <row r="3168" spans="1:5" x14ac:dyDescent="0.3">
      <c r="A3168" s="8">
        <v>80</v>
      </c>
      <c r="B3168" s="8">
        <v>7</v>
      </c>
      <c r="C3168" s="8">
        <v>3569</v>
      </c>
      <c r="D3168" s="16">
        <v>-2.8398360000000001E-2</v>
      </c>
      <c r="E3168">
        <v>-1.419918E-2</v>
      </c>
    </row>
    <row r="3169" spans="1:5" x14ac:dyDescent="0.3">
      <c r="A3169" s="8">
        <v>80</v>
      </c>
      <c r="B3169" s="8">
        <v>8</v>
      </c>
      <c r="C3169" s="8">
        <v>3613</v>
      </c>
      <c r="D3169" s="16">
        <v>-2.3315369999999998E-2</v>
      </c>
      <c r="E3169">
        <v>-1.1657684999999999E-2</v>
      </c>
    </row>
    <row r="3170" spans="1:5" x14ac:dyDescent="0.3">
      <c r="A3170" s="8">
        <v>80</v>
      </c>
      <c r="B3170" s="8">
        <v>9</v>
      </c>
      <c r="C3170" s="8">
        <v>3618</v>
      </c>
      <c r="D3170" s="16">
        <v>-5.7328169999999998E-2</v>
      </c>
      <c r="E3170">
        <v>-2.8664084999999999E-2</v>
      </c>
    </row>
    <row r="3171" spans="1:5" x14ac:dyDescent="0.3">
      <c r="A3171" s="8">
        <v>80</v>
      </c>
      <c r="B3171" s="8">
        <v>10</v>
      </c>
      <c r="C3171" s="8">
        <v>3611</v>
      </c>
      <c r="D3171" s="16">
        <v>-2.483987E-2</v>
      </c>
      <c r="E3171">
        <v>-1.2419935E-2</v>
      </c>
    </row>
    <row r="3172" spans="1:5" x14ac:dyDescent="0.3">
      <c r="A3172" s="8">
        <v>80</v>
      </c>
      <c r="B3172" s="8">
        <v>11</v>
      </c>
      <c r="C3172" s="8">
        <v>3613</v>
      </c>
      <c r="D3172" s="16">
        <v>-5.0424620000000003E-2</v>
      </c>
      <c r="E3172">
        <v>-2.5212310000000002E-2</v>
      </c>
    </row>
    <row r="3173" spans="1:5" x14ac:dyDescent="0.3">
      <c r="A3173" s="8">
        <v>80</v>
      </c>
      <c r="B3173" s="8">
        <v>12</v>
      </c>
      <c r="C3173" s="8">
        <v>3625</v>
      </c>
      <c r="D3173" s="16">
        <v>1.5850009999999999E-3</v>
      </c>
      <c r="E3173">
        <v>7.9250049999999997E-4</v>
      </c>
    </row>
    <row r="3174" spans="1:5" x14ac:dyDescent="0.3">
      <c r="A3174" s="8">
        <v>80</v>
      </c>
      <c r="B3174" s="8">
        <v>13</v>
      </c>
      <c r="C3174" s="8">
        <v>3612</v>
      </c>
      <c r="D3174" s="16">
        <v>2.7471140000000002E-2</v>
      </c>
      <c r="E3174">
        <v>1.3735570000000001E-2</v>
      </c>
    </row>
    <row r="3175" spans="1:5" x14ac:dyDescent="0.3">
      <c r="A3175" s="8">
        <v>80</v>
      </c>
      <c r="B3175" s="8">
        <v>14</v>
      </c>
      <c r="C3175" s="8">
        <v>3610</v>
      </c>
      <c r="D3175" s="16">
        <v>4.2759850000000004E-3</v>
      </c>
      <c r="E3175">
        <v>2.1379925000000002E-3</v>
      </c>
    </row>
    <row r="3176" spans="1:5" x14ac:dyDescent="0.3">
      <c r="A3176" s="8">
        <v>80</v>
      </c>
      <c r="B3176" s="8">
        <v>15</v>
      </c>
      <c r="C3176" s="8">
        <v>3622</v>
      </c>
      <c r="D3176" s="16">
        <v>2.2029050000000001E-2</v>
      </c>
      <c r="E3176">
        <v>1.1014525000000001E-2</v>
      </c>
    </row>
    <row r="3177" spans="1:5" x14ac:dyDescent="0.3">
      <c r="A3177" s="8">
        <v>80</v>
      </c>
      <c r="B3177" s="8">
        <v>16</v>
      </c>
      <c r="C3177" s="8">
        <v>3605</v>
      </c>
      <c r="D3177" s="16">
        <v>-3.7188590000000001E-2</v>
      </c>
      <c r="E3177">
        <v>-1.8594295E-2</v>
      </c>
    </row>
    <row r="3178" spans="1:5" x14ac:dyDescent="0.3">
      <c r="A3178" s="8">
        <v>80</v>
      </c>
      <c r="B3178" s="8">
        <v>17</v>
      </c>
      <c r="C3178" s="8">
        <v>3626</v>
      </c>
      <c r="D3178" s="16">
        <v>-2.2054339999999999E-2</v>
      </c>
      <c r="E3178">
        <v>-1.1027169999999999E-2</v>
      </c>
    </row>
    <row r="3179" spans="1:5" x14ac:dyDescent="0.3">
      <c r="A3179" s="8">
        <v>80</v>
      </c>
      <c r="B3179" s="8">
        <v>18</v>
      </c>
      <c r="C3179" s="8">
        <v>3616</v>
      </c>
      <c r="D3179" s="16">
        <v>-4.482858E-2</v>
      </c>
      <c r="E3179">
        <v>-2.241429E-2</v>
      </c>
    </row>
    <row r="3180" spans="1:5" x14ac:dyDescent="0.3">
      <c r="A3180" s="8">
        <v>80</v>
      </c>
      <c r="B3180" s="8">
        <v>19</v>
      </c>
      <c r="C3180" s="8">
        <v>3580</v>
      </c>
      <c r="D3180" s="16">
        <v>-2.1449340000000001E-2</v>
      </c>
      <c r="E3180">
        <v>-1.072467E-2</v>
      </c>
    </row>
    <row r="3181" spans="1:5" x14ac:dyDescent="0.3">
      <c r="A3181" s="8">
        <v>80</v>
      </c>
      <c r="B3181" s="8">
        <v>20</v>
      </c>
      <c r="C3181" s="8">
        <v>3595</v>
      </c>
      <c r="D3181" s="16">
        <v>-2.708172E-2</v>
      </c>
      <c r="E3181">
        <v>-1.354086E-2</v>
      </c>
    </row>
    <row r="3182" spans="1:5" x14ac:dyDescent="0.3">
      <c r="A3182" s="8">
        <v>80</v>
      </c>
      <c r="B3182" s="8">
        <v>21</v>
      </c>
      <c r="C3182" s="8">
        <v>3641</v>
      </c>
      <c r="D3182" s="16">
        <v>1.6547119999999998E-2</v>
      </c>
      <c r="E3182">
        <v>8.2735599999999992E-3</v>
      </c>
    </row>
    <row r="3183" spans="1:5" x14ac:dyDescent="0.3">
      <c r="A3183" s="8">
        <v>80</v>
      </c>
      <c r="B3183" s="8">
        <v>22</v>
      </c>
      <c r="C3183" s="8">
        <v>3594</v>
      </c>
      <c r="D3183" s="16">
        <v>5.8412150000000003E-3</v>
      </c>
      <c r="E3183">
        <v>2.9206075000000001E-3</v>
      </c>
    </row>
    <row r="3184" spans="1:5" x14ac:dyDescent="0.3">
      <c r="A3184" s="8">
        <v>80</v>
      </c>
      <c r="B3184" s="8">
        <v>23</v>
      </c>
      <c r="C3184" s="8">
        <v>3609</v>
      </c>
      <c r="D3184" s="16">
        <v>-1.515888E-2</v>
      </c>
      <c r="E3184">
        <v>-7.5794399999999998E-3</v>
      </c>
    </row>
    <row r="3185" spans="1:5" x14ac:dyDescent="0.3">
      <c r="A3185" s="8">
        <v>80</v>
      </c>
      <c r="B3185" s="8">
        <v>24</v>
      </c>
      <c r="C3185" s="8">
        <v>3627</v>
      </c>
      <c r="D3185" s="16">
        <v>-1.149244E-2</v>
      </c>
      <c r="E3185">
        <v>-5.7462199999999998E-3</v>
      </c>
    </row>
    <row r="3186" spans="1:5" x14ac:dyDescent="0.3">
      <c r="A3186" s="8">
        <v>80</v>
      </c>
      <c r="B3186" s="8">
        <v>25</v>
      </c>
      <c r="C3186" s="8">
        <v>3595</v>
      </c>
      <c r="D3186" s="16">
        <v>-1.6553910000000002E-2</v>
      </c>
      <c r="E3186">
        <v>-8.2769550000000008E-3</v>
      </c>
    </row>
    <row r="3187" spans="1:5" x14ac:dyDescent="0.3">
      <c r="A3187" s="8">
        <v>80</v>
      </c>
      <c r="B3187" s="8">
        <v>26</v>
      </c>
      <c r="C3187" s="8">
        <v>3631</v>
      </c>
      <c r="D3187" s="16">
        <v>-3.0857319999999999E-3</v>
      </c>
      <c r="E3187">
        <v>-1.5428659999999999E-3</v>
      </c>
    </row>
    <row r="3188" spans="1:5" x14ac:dyDescent="0.3">
      <c r="A3188" s="8">
        <v>80</v>
      </c>
      <c r="B3188" s="8">
        <v>27</v>
      </c>
      <c r="C3188" s="8">
        <v>3603</v>
      </c>
      <c r="D3188" s="16">
        <v>-2.273172E-2</v>
      </c>
      <c r="E3188">
        <v>-1.136586E-2</v>
      </c>
    </row>
    <row r="3189" spans="1:5" x14ac:dyDescent="0.3">
      <c r="A3189" s="8">
        <v>80</v>
      </c>
      <c r="B3189" s="8">
        <v>28</v>
      </c>
      <c r="C3189" s="8">
        <v>3552</v>
      </c>
      <c r="D3189" s="16">
        <v>7.6707779999999996E-3</v>
      </c>
      <c r="E3189">
        <v>3.8353889999999998E-3</v>
      </c>
    </row>
    <row r="3190" spans="1:5" x14ac:dyDescent="0.3">
      <c r="A3190" s="8">
        <v>80</v>
      </c>
      <c r="B3190" s="8">
        <v>29</v>
      </c>
      <c r="C3190" s="8">
        <v>3583</v>
      </c>
      <c r="D3190" s="16">
        <v>-2.3808180000000002E-2</v>
      </c>
      <c r="E3190">
        <v>-1.1904090000000001E-2</v>
      </c>
    </row>
    <row r="3191" spans="1:5" x14ac:dyDescent="0.3">
      <c r="A3191" s="8">
        <v>80</v>
      </c>
      <c r="B3191" s="8">
        <v>30</v>
      </c>
      <c r="C3191" s="8">
        <v>3575</v>
      </c>
      <c r="D3191" s="16">
        <v>1.1201529999999999E-2</v>
      </c>
      <c r="E3191">
        <v>5.6007649999999997E-3</v>
      </c>
    </row>
    <row r="3192" spans="1:5" x14ac:dyDescent="0.3">
      <c r="A3192" s="8">
        <v>80</v>
      </c>
      <c r="B3192" s="8">
        <v>31</v>
      </c>
      <c r="C3192" s="8">
        <v>3514</v>
      </c>
      <c r="D3192" s="16">
        <v>-1.6819029999999999E-2</v>
      </c>
      <c r="E3192">
        <v>-8.4095149999999994E-3</v>
      </c>
    </row>
    <row r="3193" spans="1:5" x14ac:dyDescent="0.3">
      <c r="A3193" s="8">
        <v>80</v>
      </c>
      <c r="B3193" s="8">
        <v>32</v>
      </c>
      <c r="C3193" s="8">
        <v>3564</v>
      </c>
      <c r="D3193" s="16">
        <v>-2.1882470000000001E-2</v>
      </c>
      <c r="E3193">
        <v>-1.0941235000000001E-2</v>
      </c>
    </row>
    <row r="3194" spans="1:5" x14ac:dyDescent="0.3">
      <c r="A3194" s="8">
        <v>80</v>
      </c>
      <c r="B3194" s="8">
        <v>33</v>
      </c>
      <c r="C3194" s="8">
        <v>3627</v>
      </c>
      <c r="D3194" s="16">
        <v>9.9606929999999996E-3</v>
      </c>
      <c r="E3194">
        <v>4.9803464999999998E-3</v>
      </c>
    </row>
    <row r="3195" spans="1:5" x14ac:dyDescent="0.3">
      <c r="A3195" s="8">
        <v>80</v>
      </c>
      <c r="B3195" s="8">
        <v>34</v>
      </c>
      <c r="C3195" s="8">
        <v>3616</v>
      </c>
      <c r="D3195" s="16">
        <v>-2.0825779999999999E-2</v>
      </c>
      <c r="E3195">
        <v>-1.0412889999999999E-2</v>
      </c>
    </row>
    <row r="3196" spans="1:5" x14ac:dyDescent="0.3">
      <c r="A3196" s="8">
        <v>80</v>
      </c>
      <c r="B3196" s="8">
        <v>35</v>
      </c>
      <c r="C3196" s="8">
        <v>3608</v>
      </c>
      <c r="D3196" s="16">
        <v>-3.3682339999999998E-2</v>
      </c>
      <c r="E3196">
        <v>-1.6841169999999999E-2</v>
      </c>
    </row>
    <row r="3197" spans="1:5" x14ac:dyDescent="0.3">
      <c r="A3197" s="8">
        <v>80</v>
      </c>
      <c r="B3197" s="8">
        <v>36</v>
      </c>
      <c r="C3197" s="8">
        <v>3598</v>
      </c>
      <c r="D3197" s="16">
        <v>-2.9626759999999999E-2</v>
      </c>
      <c r="E3197">
        <v>-1.4813379999999999E-2</v>
      </c>
    </row>
    <row r="3198" spans="1:5" x14ac:dyDescent="0.3">
      <c r="A3198" s="8">
        <v>80</v>
      </c>
      <c r="B3198" s="8">
        <v>37</v>
      </c>
      <c r="C3198" s="8">
        <v>3574</v>
      </c>
      <c r="D3198" s="16">
        <v>-1.7867600000000001E-2</v>
      </c>
      <c r="E3198">
        <v>-8.9338000000000004E-3</v>
      </c>
    </row>
    <row r="3199" spans="1:5" x14ac:dyDescent="0.3">
      <c r="A3199" s="8">
        <v>80</v>
      </c>
      <c r="B3199" s="8">
        <v>38</v>
      </c>
      <c r="C3199" s="8">
        <v>3625</v>
      </c>
      <c r="D3199" s="16">
        <v>-2.508109E-2</v>
      </c>
      <c r="E3199">
        <v>-1.2540545E-2</v>
      </c>
    </row>
    <row r="3200" spans="1:5" x14ac:dyDescent="0.3">
      <c r="A3200" s="8">
        <v>80</v>
      </c>
      <c r="B3200" s="8">
        <v>39</v>
      </c>
      <c r="C3200" s="8">
        <v>3603</v>
      </c>
      <c r="D3200" s="16">
        <v>-7.5918950000000004E-3</v>
      </c>
      <c r="E3200">
        <v>-3.7959475000000002E-3</v>
      </c>
    </row>
    <row r="3201" spans="1:5" x14ac:dyDescent="0.3">
      <c r="A3201" s="8">
        <v>80</v>
      </c>
      <c r="B3201" s="8">
        <v>40</v>
      </c>
      <c r="C3201" s="8">
        <v>3621</v>
      </c>
      <c r="D3201" s="16">
        <v>-4.4284539999999997E-2</v>
      </c>
      <c r="E3201">
        <v>-2.2142269999999999E-2</v>
      </c>
    </row>
    <row r="3202" spans="1:5" x14ac:dyDescent="0.3">
      <c r="A3202" s="8">
        <v>80</v>
      </c>
      <c r="B3202" s="8">
        <v>41</v>
      </c>
      <c r="C3202" s="8">
        <v>3579</v>
      </c>
      <c r="D3202" s="16">
        <v>-4.5166579999999998E-2</v>
      </c>
      <c r="E3202">
        <v>-2.2583289999999999E-2</v>
      </c>
    </row>
    <row r="3203" spans="1:5" x14ac:dyDescent="0.3">
      <c r="A3203" s="8">
        <v>80</v>
      </c>
      <c r="B3203" s="8">
        <v>42</v>
      </c>
      <c r="C3203" s="8">
        <v>3603</v>
      </c>
      <c r="D3203" s="16">
        <v>-5.2334249999999999E-2</v>
      </c>
      <c r="E3203">
        <v>-2.6167124999999999E-2</v>
      </c>
    </row>
    <row r="3204" spans="1:5" x14ac:dyDescent="0.3">
      <c r="A3204" s="8">
        <v>80</v>
      </c>
      <c r="B3204" s="8">
        <v>43</v>
      </c>
      <c r="C3204" s="8">
        <v>3586</v>
      </c>
      <c r="D3204" s="16">
        <v>1.5201020000000001E-2</v>
      </c>
      <c r="E3204">
        <v>7.6005100000000004E-3</v>
      </c>
    </row>
    <row r="3205" spans="1:5" x14ac:dyDescent="0.3">
      <c r="A3205" s="8">
        <v>80</v>
      </c>
      <c r="B3205" s="8">
        <v>44</v>
      </c>
      <c r="C3205" s="8">
        <v>3559</v>
      </c>
      <c r="D3205" s="16">
        <v>-2.6205220000000001E-2</v>
      </c>
      <c r="E3205">
        <v>-1.3102610000000001E-2</v>
      </c>
    </row>
    <row r="3206" spans="1:5" x14ac:dyDescent="0.3">
      <c r="A3206" s="8">
        <v>80</v>
      </c>
      <c r="B3206" s="8">
        <v>45</v>
      </c>
      <c r="C3206" s="8">
        <v>3620</v>
      </c>
      <c r="D3206" s="16">
        <v>-1.219163E-2</v>
      </c>
      <c r="E3206">
        <v>-6.0958150000000001E-3</v>
      </c>
    </row>
    <row r="3207" spans="1:5" x14ac:dyDescent="0.3">
      <c r="A3207" s="8">
        <v>80</v>
      </c>
      <c r="B3207" s="8">
        <v>46</v>
      </c>
      <c r="C3207" s="8">
        <v>3613</v>
      </c>
      <c r="D3207" s="16">
        <v>-1.8063659999999999E-2</v>
      </c>
      <c r="E3207">
        <v>-9.0318299999999994E-3</v>
      </c>
    </row>
    <row r="3208" spans="1:5" x14ac:dyDescent="0.3">
      <c r="A3208" s="8">
        <v>80</v>
      </c>
      <c r="B3208" s="8">
        <v>47</v>
      </c>
      <c r="C3208" s="8">
        <v>3617</v>
      </c>
      <c r="D3208" s="16">
        <v>4.3501959999999998E-3</v>
      </c>
      <c r="E3208">
        <v>2.1750979999999999E-3</v>
      </c>
    </row>
    <row r="3209" spans="1:5" x14ac:dyDescent="0.3">
      <c r="A3209" s="8">
        <v>80</v>
      </c>
      <c r="B3209" s="8">
        <v>48</v>
      </c>
      <c r="C3209" s="8">
        <v>3588</v>
      </c>
      <c r="D3209" s="16">
        <v>-1.309754E-2</v>
      </c>
      <c r="E3209">
        <v>-6.5487699999999998E-3</v>
      </c>
    </row>
    <row r="3210" spans="1:5" x14ac:dyDescent="0.3">
      <c r="A3210" s="8">
        <v>80</v>
      </c>
      <c r="B3210" s="8">
        <v>49</v>
      </c>
      <c r="C3210" s="8">
        <v>3607</v>
      </c>
      <c r="D3210" s="16">
        <v>-1.6618419999999998E-2</v>
      </c>
      <c r="E3210">
        <v>-8.3092099999999992E-3</v>
      </c>
    </row>
    <row r="3211" spans="1:5" x14ac:dyDescent="0.3">
      <c r="A3211" s="8">
        <v>80</v>
      </c>
      <c r="B3211" s="8">
        <v>50</v>
      </c>
      <c r="C3211" s="8">
        <v>3631</v>
      </c>
      <c r="D3211" s="16">
        <v>-3.6417039999999999E-3</v>
      </c>
      <c r="E3211">
        <v>-1.820852E-3</v>
      </c>
    </row>
    <row r="3212" spans="1:5" x14ac:dyDescent="0.3">
      <c r="A3212" s="8">
        <v>80</v>
      </c>
      <c r="B3212" s="8">
        <v>51</v>
      </c>
      <c r="C3212" s="8">
        <v>3594</v>
      </c>
      <c r="D3212" s="16">
        <v>-3.1044599999999999E-2</v>
      </c>
      <c r="E3212">
        <v>-1.5522299999999999E-2</v>
      </c>
    </row>
    <row r="3213" spans="1:5" x14ac:dyDescent="0.3">
      <c r="A3213" s="8">
        <v>80</v>
      </c>
      <c r="B3213" s="8">
        <v>52</v>
      </c>
      <c r="C3213" s="8">
        <v>3582</v>
      </c>
      <c r="D3213" s="16">
        <v>-2.4490720000000001E-2</v>
      </c>
      <c r="E3213">
        <v>-1.224536E-2</v>
      </c>
    </row>
    <row r="3214" spans="1:5" x14ac:dyDescent="0.3">
      <c r="A3214" s="8">
        <v>80</v>
      </c>
      <c r="B3214" s="8">
        <v>53</v>
      </c>
      <c r="C3214" s="8">
        <v>3602</v>
      </c>
      <c r="D3214" s="16">
        <v>-1.181309E-2</v>
      </c>
      <c r="E3214">
        <v>-5.906545E-3</v>
      </c>
    </row>
    <row r="3215" spans="1:5" x14ac:dyDescent="0.3">
      <c r="A3215" s="8">
        <v>80</v>
      </c>
      <c r="B3215" s="8">
        <v>54</v>
      </c>
      <c r="C3215" s="8">
        <v>3599</v>
      </c>
      <c r="D3215" s="16">
        <v>-1.1148460000000001E-2</v>
      </c>
      <c r="E3215">
        <v>-5.5742300000000003E-3</v>
      </c>
    </row>
    <row r="3216" spans="1:5" x14ac:dyDescent="0.3">
      <c r="A3216" s="8">
        <v>80</v>
      </c>
      <c r="B3216" s="8">
        <v>55</v>
      </c>
      <c r="C3216" s="8">
        <v>3608</v>
      </c>
      <c r="D3216" s="16">
        <v>-7.7382559999999998E-3</v>
      </c>
      <c r="E3216">
        <v>-3.8691279999999999E-3</v>
      </c>
    </row>
    <row r="3217" spans="1:5" x14ac:dyDescent="0.3">
      <c r="A3217" s="8">
        <v>80</v>
      </c>
      <c r="B3217" s="8">
        <v>56</v>
      </c>
      <c r="C3217" s="8">
        <v>3631</v>
      </c>
      <c r="D3217" s="16">
        <v>2.0055E-2</v>
      </c>
      <c r="E3217">
        <v>1.00275E-2</v>
      </c>
    </row>
    <row r="3218" spans="1:5" x14ac:dyDescent="0.3">
      <c r="A3218" s="8">
        <v>80</v>
      </c>
      <c r="B3218" s="8">
        <v>57</v>
      </c>
      <c r="C3218" s="8">
        <v>3628</v>
      </c>
      <c r="D3218" s="16">
        <v>2.7907969999999998E-3</v>
      </c>
      <c r="E3218">
        <v>1.3953984999999999E-3</v>
      </c>
    </row>
    <row r="3219" spans="1:5" x14ac:dyDescent="0.3">
      <c r="A3219" s="8">
        <v>80</v>
      </c>
      <c r="B3219" s="8">
        <v>58</v>
      </c>
      <c r="C3219" s="8">
        <v>3613</v>
      </c>
      <c r="D3219" s="16">
        <v>-4.9901760000000003E-2</v>
      </c>
      <c r="E3219">
        <v>-2.4950880000000002E-2</v>
      </c>
    </row>
    <row r="3220" spans="1:5" x14ac:dyDescent="0.3">
      <c r="A3220" s="8">
        <v>80</v>
      </c>
      <c r="B3220" s="8">
        <v>59</v>
      </c>
      <c r="C3220" s="8">
        <v>3617</v>
      </c>
      <c r="D3220" s="16">
        <v>-2.4041529999999998E-2</v>
      </c>
      <c r="E3220">
        <v>-1.2020764999999999E-2</v>
      </c>
    </row>
    <row r="3221" spans="1:5" x14ac:dyDescent="0.3">
      <c r="A3221" s="8">
        <v>80</v>
      </c>
      <c r="B3221" s="8">
        <v>60</v>
      </c>
      <c r="C3221" s="8">
        <v>3611</v>
      </c>
      <c r="D3221" s="16">
        <v>1.6113809999999999E-2</v>
      </c>
      <c r="E3221">
        <v>8.0569049999999996E-3</v>
      </c>
    </row>
    <row r="3222" spans="1:5" x14ac:dyDescent="0.3">
      <c r="A3222" s="8">
        <v>80</v>
      </c>
      <c r="B3222" s="8">
        <v>61</v>
      </c>
      <c r="C3222" s="8">
        <v>3600</v>
      </c>
      <c r="D3222" s="16">
        <v>-2.232029E-2</v>
      </c>
      <c r="E3222">
        <v>-1.1160145E-2</v>
      </c>
    </row>
    <row r="3223" spans="1:5" x14ac:dyDescent="0.3">
      <c r="A3223" s="8">
        <v>80</v>
      </c>
      <c r="B3223" s="8">
        <v>62</v>
      </c>
      <c r="C3223" s="8">
        <v>3625</v>
      </c>
      <c r="D3223" s="16">
        <v>-1.057934E-2</v>
      </c>
      <c r="E3223">
        <v>-5.2896699999999998E-3</v>
      </c>
    </row>
    <row r="3224" spans="1:5" x14ac:dyDescent="0.3">
      <c r="A3224" s="8">
        <v>80</v>
      </c>
      <c r="B3224" s="8">
        <v>63</v>
      </c>
      <c r="C3224" s="8">
        <v>3621</v>
      </c>
      <c r="D3224" s="16">
        <v>-2.1661610000000002E-3</v>
      </c>
      <c r="E3224">
        <v>-1.0830805000000001E-3</v>
      </c>
    </row>
    <row r="3225" spans="1:5" x14ac:dyDescent="0.3">
      <c r="A3225" s="8">
        <v>80</v>
      </c>
      <c r="B3225" s="8">
        <v>64</v>
      </c>
      <c r="C3225" s="8">
        <v>3589</v>
      </c>
      <c r="D3225" s="16">
        <v>6.4892370000000001E-3</v>
      </c>
      <c r="E3225">
        <v>3.2446185000000001E-3</v>
      </c>
    </row>
    <row r="3226" spans="1:5" x14ac:dyDescent="0.3">
      <c r="A3226" s="8">
        <v>80</v>
      </c>
      <c r="B3226" s="8">
        <v>65</v>
      </c>
      <c r="C3226" s="8">
        <v>3624</v>
      </c>
      <c r="D3226" s="16">
        <v>6.8090399999999997E-3</v>
      </c>
      <c r="E3226">
        <v>3.4045199999999999E-3</v>
      </c>
    </row>
    <row r="3227" spans="1:5" x14ac:dyDescent="0.3">
      <c r="A3227" s="8">
        <v>80</v>
      </c>
      <c r="B3227" s="8">
        <v>66</v>
      </c>
      <c r="C3227" s="8">
        <v>3630</v>
      </c>
      <c r="D3227" s="16">
        <v>1.4777419999999999E-2</v>
      </c>
      <c r="E3227">
        <v>7.3887099999999997E-3</v>
      </c>
    </row>
    <row r="3228" spans="1:5" x14ac:dyDescent="0.3">
      <c r="A3228" s="8">
        <v>80</v>
      </c>
      <c r="B3228" s="8">
        <v>67</v>
      </c>
      <c r="C3228" s="8">
        <v>3597</v>
      </c>
      <c r="D3228" s="16">
        <v>-1.074162E-2</v>
      </c>
      <c r="E3228">
        <v>-5.3708100000000002E-3</v>
      </c>
    </row>
    <row r="3229" spans="1:5" x14ac:dyDescent="0.3">
      <c r="A3229" s="8">
        <v>80</v>
      </c>
      <c r="B3229" s="8">
        <v>68</v>
      </c>
      <c r="C3229" s="8">
        <v>3570</v>
      </c>
      <c r="D3229" s="16">
        <v>-1.7212999999999999E-2</v>
      </c>
      <c r="E3229">
        <v>-8.6064999999999996E-3</v>
      </c>
    </row>
    <row r="3230" spans="1:5" x14ac:dyDescent="0.3">
      <c r="A3230" s="8">
        <v>80</v>
      </c>
      <c r="B3230" s="8">
        <v>69</v>
      </c>
      <c r="C3230" s="8">
        <v>3608</v>
      </c>
      <c r="D3230" s="16">
        <v>1.305719E-2</v>
      </c>
      <c r="E3230">
        <v>6.5285949999999999E-3</v>
      </c>
    </row>
    <row r="3231" spans="1:5" x14ac:dyDescent="0.3">
      <c r="A3231" s="8">
        <v>80</v>
      </c>
      <c r="B3231" s="8">
        <v>70</v>
      </c>
      <c r="C3231" s="8">
        <v>3606</v>
      </c>
      <c r="D3231" s="16">
        <v>4.7033320000000003E-2</v>
      </c>
      <c r="E3231">
        <v>2.3516660000000002E-2</v>
      </c>
    </row>
    <row r="3232" spans="1:5" x14ac:dyDescent="0.3">
      <c r="A3232" s="8">
        <v>80</v>
      </c>
      <c r="B3232" s="8">
        <v>71</v>
      </c>
      <c r="C3232" s="8">
        <v>3581</v>
      </c>
      <c r="D3232" s="16">
        <v>8.0646469999999994E-3</v>
      </c>
      <c r="E3232">
        <v>4.0323234999999997E-3</v>
      </c>
    </row>
    <row r="3233" spans="1:5" x14ac:dyDescent="0.3">
      <c r="A3233" s="8">
        <v>80</v>
      </c>
      <c r="B3233" s="8">
        <v>72</v>
      </c>
      <c r="C3233" s="8">
        <v>3580</v>
      </c>
      <c r="D3233" s="16">
        <v>-3.2056380000000002E-2</v>
      </c>
      <c r="E3233">
        <v>-1.6028190000000001E-2</v>
      </c>
    </row>
    <row r="3234" spans="1:5" x14ac:dyDescent="0.3">
      <c r="A3234" s="8">
        <v>80</v>
      </c>
      <c r="B3234" s="8">
        <v>73</v>
      </c>
      <c r="C3234" s="8">
        <v>3619</v>
      </c>
      <c r="D3234" s="16">
        <v>-4.1012880000000002E-2</v>
      </c>
      <c r="E3234">
        <v>-2.0506440000000001E-2</v>
      </c>
    </row>
    <row r="3235" spans="1:5" x14ac:dyDescent="0.3">
      <c r="A3235" s="8">
        <v>80</v>
      </c>
      <c r="B3235" s="8">
        <v>74</v>
      </c>
      <c r="C3235" s="8">
        <v>3604</v>
      </c>
      <c r="D3235" s="16">
        <v>-1.5661890000000001E-2</v>
      </c>
      <c r="E3235">
        <v>-7.8309450000000006E-3</v>
      </c>
    </row>
    <row r="3236" spans="1:5" x14ac:dyDescent="0.3">
      <c r="A3236" s="8">
        <v>80</v>
      </c>
      <c r="B3236" s="8">
        <v>75</v>
      </c>
      <c r="C3236" s="8">
        <v>3612</v>
      </c>
      <c r="D3236" s="16">
        <v>-2.129936E-2</v>
      </c>
      <c r="E3236">
        <v>-1.064968E-2</v>
      </c>
    </row>
    <row r="3237" spans="1:5" x14ac:dyDescent="0.3">
      <c r="A3237" s="8">
        <v>80</v>
      </c>
      <c r="B3237" s="8">
        <v>76</v>
      </c>
      <c r="C3237" s="8">
        <v>3621</v>
      </c>
      <c r="D3237" s="16">
        <v>-1.027133E-2</v>
      </c>
      <c r="E3237">
        <v>-5.1356650000000002E-3</v>
      </c>
    </row>
    <row r="3238" spans="1:5" x14ac:dyDescent="0.3">
      <c r="A3238" s="8">
        <v>80</v>
      </c>
      <c r="B3238" s="8">
        <v>77</v>
      </c>
      <c r="C3238" s="8">
        <v>3622</v>
      </c>
      <c r="D3238" s="16">
        <v>-8.3797690000000005E-3</v>
      </c>
      <c r="E3238">
        <v>-4.1898845000000002E-3</v>
      </c>
    </row>
    <row r="3239" spans="1:5" x14ac:dyDescent="0.3">
      <c r="A3239" s="8">
        <v>80</v>
      </c>
      <c r="B3239" s="8">
        <v>78</v>
      </c>
      <c r="C3239" s="8">
        <v>3614</v>
      </c>
      <c r="D3239" s="16">
        <v>1.6286860000000001E-3</v>
      </c>
      <c r="E3239">
        <v>8.1434300000000003E-4</v>
      </c>
    </row>
    <row r="3240" spans="1:5" x14ac:dyDescent="0.3">
      <c r="A3240" s="8">
        <v>80</v>
      </c>
      <c r="B3240" s="8">
        <v>79</v>
      </c>
      <c r="C3240" s="8">
        <v>3592</v>
      </c>
      <c r="D3240" s="16">
        <v>-3.4949969999999997E-2</v>
      </c>
      <c r="E3240">
        <v>-1.7474984999999998E-2</v>
      </c>
    </row>
    <row r="3241" spans="1:5" x14ac:dyDescent="0.3">
      <c r="A3241" s="8">
        <v>80</v>
      </c>
      <c r="B3241" s="8">
        <v>80</v>
      </c>
      <c r="C3241" s="8">
        <v>3891</v>
      </c>
      <c r="D3241" s="16">
        <v>1.0326580000000001</v>
      </c>
      <c r="E3241"/>
    </row>
    <row r="3242" spans="1:5" x14ac:dyDescent="0.3">
      <c r="A3242" s="8">
        <v>81</v>
      </c>
      <c r="B3242" s="8">
        <v>1</v>
      </c>
      <c r="C3242" s="8">
        <v>3622</v>
      </c>
      <c r="D3242" s="16">
        <v>-2.674234E-2</v>
      </c>
      <c r="E3242">
        <v>-1.337117E-2</v>
      </c>
    </row>
    <row r="3243" spans="1:5" x14ac:dyDescent="0.3">
      <c r="A3243" s="8">
        <v>81</v>
      </c>
      <c r="B3243" s="8">
        <v>2</v>
      </c>
      <c r="C3243" s="8">
        <v>3607</v>
      </c>
      <c r="D3243" s="16">
        <v>-2.2087209999999999E-2</v>
      </c>
      <c r="E3243">
        <v>-1.1043605E-2</v>
      </c>
    </row>
    <row r="3244" spans="1:5" x14ac:dyDescent="0.3">
      <c r="A3244" s="8">
        <v>81</v>
      </c>
      <c r="B3244" s="8">
        <v>3</v>
      </c>
      <c r="C3244" s="8">
        <v>3636</v>
      </c>
      <c r="D3244" s="16">
        <v>-1.1221E-2</v>
      </c>
      <c r="E3244">
        <v>-5.6105E-3</v>
      </c>
    </row>
    <row r="3245" spans="1:5" x14ac:dyDescent="0.3">
      <c r="A3245" s="8">
        <v>81</v>
      </c>
      <c r="B3245" s="8">
        <v>4</v>
      </c>
      <c r="C3245" s="8">
        <v>3581</v>
      </c>
      <c r="D3245" s="16">
        <v>-1.6470769999999999E-2</v>
      </c>
      <c r="E3245">
        <v>-8.2353849999999996E-3</v>
      </c>
    </row>
    <row r="3246" spans="1:5" x14ac:dyDescent="0.3">
      <c r="A3246" s="8">
        <v>81</v>
      </c>
      <c r="B3246" s="8">
        <v>5</v>
      </c>
      <c r="C3246" s="8">
        <v>3614</v>
      </c>
      <c r="D3246" s="16">
        <v>4.5691020000000002E-3</v>
      </c>
      <c r="E3246">
        <v>2.2845510000000001E-3</v>
      </c>
    </row>
    <row r="3247" spans="1:5" x14ac:dyDescent="0.3">
      <c r="A3247" s="8">
        <v>81</v>
      </c>
      <c r="B3247" s="8">
        <v>6</v>
      </c>
      <c r="C3247" s="8">
        <v>3601</v>
      </c>
      <c r="D3247" s="16">
        <v>-1.39043E-3</v>
      </c>
      <c r="E3247">
        <v>-6.95215E-4</v>
      </c>
    </row>
    <row r="3248" spans="1:5" x14ac:dyDescent="0.3">
      <c r="A3248" s="8">
        <v>81</v>
      </c>
      <c r="B3248" s="8">
        <v>7</v>
      </c>
      <c r="C3248" s="8">
        <v>3586</v>
      </c>
      <c r="D3248" s="16">
        <v>-5.0628039999999997E-3</v>
      </c>
      <c r="E3248">
        <v>-2.5314019999999999E-3</v>
      </c>
    </row>
    <row r="3249" spans="1:5" x14ac:dyDescent="0.3">
      <c r="A3249" s="8">
        <v>81</v>
      </c>
      <c r="B3249" s="8">
        <v>8</v>
      </c>
      <c r="C3249" s="8">
        <v>3612</v>
      </c>
      <c r="D3249" s="16">
        <v>-3.5355740000000001E-3</v>
      </c>
      <c r="E3249">
        <v>-1.767787E-3</v>
      </c>
    </row>
    <row r="3250" spans="1:5" x14ac:dyDescent="0.3">
      <c r="A3250" s="8">
        <v>81</v>
      </c>
      <c r="B3250" s="8">
        <v>9</v>
      </c>
      <c r="C3250" s="8">
        <v>3606</v>
      </c>
      <c r="D3250" s="16">
        <v>-5.7896240000000002E-2</v>
      </c>
      <c r="E3250">
        <v>-2.8948120000000001E-2</v>
      </c>
    </row>
    <row r="3251" spans="1:5" x14ac:dyDescent="0.3">
      <c r="A3251" s="8">
        <v>81</v>
      </c>
      <c r="B3251" s="8">
        <v>10</v>
      </c>
      <c r="C3251" s="8">
        <v>3618</v>
      </c>
      <c r="D3251" s="16">
        <v>-1.8682000000000001E-2</v>
      </c>
      <c r="E3251">
        <v>-9.3410000000000003E-3</v>
      </c>
    </row>
    <row r="3252" spans="1:5" x14ac:dyDescent="0.3">
      <c r="A3252" s="8">
        <v>81</v>
      </c>
      <c r="B3252" s="8">
        <v>11</v>
      </c>
      <c r="C3252" s="8">
        <v>3608</v>
      </c>
      <c r="D3252" s="16">
        <v>-6.3428599999999996E-3</v>
      </c>
      <c r="E3252">
        <v>-3.1714299999999998E-3</v>
      </c>
    </row>
    <row r="3253" spans="1:5" x14ac:dyDescent="0.3">
      <c r="A3253" s="8">
        <v>81</v>
      </c>
      <c r="B3253" s="8">
        <v>12</v>
      </c>
      <c r="C3253" s="8">
        <v>3629</v>
      </c>
      <c r="D3253" s="16">
        <v>-3.3158100000000003E-2</v>
      </c>
      <c r="E3253">
        <v>-1.6579050000000001E-2</v>
      </c>
    </row>
    <row r="3254" spans="1:5" x14ac:dyDescent="0.3">
      <c r="A3254" s="8">
        <v>81</v>
      </c>
      <c r="B3254" s="8">
        <v>13</v>
      </c>
      <c r="C3254" s="8">
        <v>3611</v>
      </c>
      <c r="D3254" s="16">
        <v>-8.9792680000000003E-3</v>
      </c>
      <c r="E3254">
        <v>-4.4896340000000002E-3</v>
      </c>
    </row>
    <row r="3255" spans="1:5" x14ac:dyDescent="0.3">
      <c r="A3255" s="8">
        <v>81</v>
      </c>
      <c r="B3255" s="8">
        <v>14</v>
      </c>
      <c r="C3255" s="8">
        <v>3592</v>
      </c>
      <c r="D3255" s="16">
        <v>-3.3531810000000002E-2</v>
      </c>
      <c r="E3255">
        <v>-1.6765905000000001E-2</v>
      </c>
    </row>
    <row r="3256" spans="1:5" x14ac:dyDescent="0.3">
      <c r="A3256" s="8">
        <v>81</v>
      </c>
      <c r="B3256" s="8">
        <v>15</v>
      </c>
      <c r="C3256" s="8">
        <v>3628</v>
      </c>
      <c r="D3256" s="16">
        <v>2.7955599999999999E-3</v>
      </c>
      <c r="E3256">
        <v>1.3977799999999999E-3</v>
      </c>
    </row>
    <row r="3257" spans="1:5" x14ac:dyDescent="0.3">
      <c r="A3257" s="8">
        <v>81</v>
      </c>
      <c r="B3257" s="8">
        <v>16</v>
      </c>
      <c r="C3257" s="8">
        <v>3599</v>
      </c>
      <c r="D3257" s="16">
        <v>-5.6272570000000001E-3</v>
      </c>
      <c r="E3257">
        <v>-2.8136285E-3</v>
      </c>
    </row>
    <row r="3258" spans="1:5" x14ac:dyDescent="0.3">
      <c r="A3258" s="8">
        <v>81</v>
      </c>
      <c r="B3258" s="8">
        <v>17</v>
      </c>
      <c r="C3258" s="8">
        <v>3609</v>
      </c>
      <c r="D3258" s="16">
        <v>3.6427870000000002E-3</v>
      </c>
      <c r="E3258">
        <v>1.8213935000000001E-3</v>
      </c>
    </row>
    <row r="3259" spans="1:5" x14ac:dyDescent="0.3">
      <c r="A3259" s="8">
        <v>81</v>
      </c>
      <c r="B3259" s="8">
        <v>18</v>
      </c>
      <c r="C3259" s="8">
        <v>3617</v>
      </c>
      <c r="D3259" s="16">
        <v>-2.9818230000000001E-2</v>
      </c>
      <c r="E3259">
        <v>-1.4909115000000001E-2</v>
      </c>
    </row>
    <row r="3260" spans="1:5" x14ac:dyDescent="0.3">
      <c r="A3260" s="8">
        <v>81</v>
      </c>
      <c r="B3260" s="8">
        <v>19</v>
      </c>
      <c r="C3260" s="8">
        <v>3579</v>
      </c>
      <c r="D3260" s="16">
        <v>-2.744688E-2</v>
      </c>
      <c r="E3260">
        <v>-1.372344E-2</v>
      </c>
    </row>
    <row r="3261" spans="1:5" x14ac:dyDescent="0.3">
      <c r="A3261" s="8">
        <v>81</v>
      </c>
      <c r="B3261" s="8">
        <v>20</v>
      </c>
      <c r="C3261" s="8">
        <v>3584</v>
      </c>
      <c r="D3261" s="16">
        <v>-2.5766270000000001E-2</v>
      </c>
      <c r="E3261">
        <v>-1.2883135E-2</v>
      </c>
    </row>
    <row r="3262" spans="1:5" x14ac:dyDescent="0.3">
      <c r="A3262" s="8">
        <v>81</v>
      </c>
      <c r="B3262" s="8">
        <v>21</v>
      </c>
      <c r="C3262" s="8">
        <v>3631</v>
      </c>
      <c r="D3262" s="16">
        <v>2.03812E-3</v>
      </c>
      <c r="E3262">
        <v>1.01906E-3</v>
      </c>
    </row>
    <row r="3263" spans="1:5" x14ac:dyDescent="0.3">
      <c r="A3263" s="8">
        <v>81</v>
      </c>
      <c r="B3263" s="8">
        <v>22</v>
      </c>
      <c r="C3263" s="8">
        <v>3599</v>
      </c>
      <c r="D3263" s="16">
        <v>-2.887822E-2</v>
      </c>
      <c r="E3263">
        <v>-1.443911E-2</v>
      </c>
    </row>
    <row r="3264" spans="1:5" x14ac:dyDescent="0.3">
      <c r="A3264" s="8">
        <v>81</v>
      </c>
      <c r="B3264" s="8">
        <v>23</v>
      </c>
      <c r="C3264" s="8">
        <v>3604</v>
      </c>
      <c r="D3264" s="16">
        <v>1.7650229999999999E-3</v>
      </c>
      <c r="E3264">
        <v>8.8251149999999995E-4</v>
      </c>
    </row>
    <row r="3265" spans="1:5" x14ac:dyDescent="0.3">
      <c r="A3265" s="8">
        <v>81</v>
      </c>
      <c r="B3265" s="8">
        <v>24</v>
      </c>
      <c r="C3265" s="8">
        <v>3627</v>
      </c>
      <c r="D3265" s="16">
        <v>-4.626984E-2</v>
      </c>
      <c r="E3265">
        <v>-2.313492E-2</v>
      </c>
    </row>
    <row r="3266" spans="1:5" x14ac:dyDescent="0.3">
      <c r="A3266" s="8">
        <v>81</v>
      </c>
      <c r="B3266" s="8">
        <v>25</v>
      </c>
      <c r="C3266" s="8">
        <v>3595</v>
      </c>
      <c r="D3266" s="16">
        <v>-1.6152449999999999E-2</v>
      </c>
      <c r="E3266">
        <v>-8.0762249999999994E-3</v>
      </c>
    </row>
    <row r="3267" spans="1:5" x14ac:dyDescent="0.3">
      <c r="A3267" s="8">
        <v>81</v>
      </c>
      <c r="B3267" s="8">
        <v>26</v>
      </c>
      <c r="C3267" s="8">
        <v>3623</v>
      </c>
      <c r="D3267" s="16">
        <v>-4.5607460000000002E-2</v>
      </c>
      <c r="E3267">
        <v>-2.2803730000000001E-2</v>
      </c>
    </row>
    <row r="3268" spans="1:5" x14ac:dyDescent="0.3">
      <c r="A3268" s="8">
        <v>81</v>
      </c>
      <c r="B3268" s="8">
        <v>27</v>
      </c>
      <c r="C3268" s="8">
        <v>3592</v>
      </c>
      <c r="D3268" s="16">
        <v>-1.5344500000000001E-2</v>
      </c>
      <c r="E3268">
        <v>-7.6722500000000003E-3</v>
      </c>
    </row>
    <row r="3269" spans="1:5" x14ac:dyDescent="0.3">
      <c r="A3269" s="8">
        <v>81</v>
      </c>
      <c r="B3269" s="8">
        <v>28</v>
      </c>
      <c r="C3269" s="8">
        <v>3552</v>
      </c>
      <c r="D3269" s="16">
        <v>-2.6927550000000001E-2</v>
      </c>
      <c r="E3269">
        <v>-1.3463775000000001E-2</v>
      </c>
    </row>
    <row r="3270" spans="1:5" x14ac:dyDescent="0.3">
      <c r="A3270" s="8">
        <v>81</v>
      </c>
      <c r="B3270" s="8">
        <v>29</v>
      </c>
      <c r="C3270" s="8">
        <v>3561</v>
      </c>
      <c r="D3270" s="16">
        <v>-5.6347010000000003E-2</v>
      </c>
      <c r="E3270">
        <v>-2.8173505000000001E-2</v>
      </c>
    </row>
    <row r="3271" spans="1:5" x14ac:dyDescent="0.3">
      <c r="A3271" s="8">
        <v>81</v>
      </c>
      <c r="B3271" s="8">
        <v>30</v>
      </c>
      <c r="C3271" s="8">
        <v>3590</v>
      </c>
      <c r="D3271" s="16">
        <v>1.218731E-2</v>
      </c>
      <c r="E3271">
        <v>6.0936549999999999E-3</v>
      </c>
    </row>
    <row r="3272" spans="1:5" x14ac:dyDescent="0.3">
      <c r="A3272" s="8">
        <v>81</v>
      </c>
      <c r="B3272" s="8">
        <v>31</v>
      </c>
      <c r="C3272" s="8">
        <v>3510</v>
      </c>
      <c r="D3272" s="16">
        <v>-4.7487400000000004E-3</v>
      </c>
      <c r="E3272">
        <v>-2.3743700000000002E-3</v>
      </c>
    </row>
    <row r="3273" spans="1:5" x14ac:dyDescent="0.3">
      <c r="A3273" s="8">
        <v>81</v>
      </c>
      <c r="B3273" s="8">
        <v>32</v>
      </c>
      <c r="C3273" s="8">
        <v>3571</v>
      </c>
      <c r="D3273" s="16">
        <v>-2.163137E-2</v>
      </c>
      <c r="E3273">
        <v>-1.0815685E-2</v>
      </c>
    </row>
    <row r="3274" spans="1:5" x14ac:dyDescent="0.3">
      <c r="A3274" s="8">
        <v>81</v>
      </c>
      <c r="B3274" s="8">
        <v>33</v>
      </c>
      <c r="C3274" s="8">
        <v>3622</v>
      </c>
      <c r="D3274" s="16">
        <v>-9.5909259999999996E-3</v>
      </c>
      <c r="E3274">
        <v>-4.7954629999999998E-3</v>
      </c>
    </row>
    <row r="3275" spans="1:5" x14ac:dyDescent="0.3">
      <c r="A3275" s="8">
        <v>81</v>
      </c>
      <c r="B3275" s="8">
        <v>34</v>
      </c>
      <c r="C3275" s="8">
        <v>3628</v>
      </c>
      <c r="D3275" s="16">
        <v>4.9288439999999999E-3</v>
      </c>
      <c r="E3275">
        <v>2.464422E-3</v>
      </c>
    </row>
    <row r="3276" spans="1:5" x14ac:dyDescent="0.3">
      <c r="A3276" s="8">
        <v>81</v>
      </c>
      <c r="B3276" s="8">
        <v>35</v>
      </c>
      <c r="C3276" s="8">
        <v>3588</v>
      </c>
      <c r="D3276" s="16">
        <v>-4.2114260000000001E-2</v>
      </c>
      <c r="E3276">
        <v>-2.105713E-2</v>
      </c>
    </row>
    <row r="3277" spans="1:5" x14ac:dyDescent="0.3">
      <c r="A3277" s="8">
        <v>81</v>
      </c>
      <c r="B3277" s="8">
        <v>36</v>
      </c>
      <c r="C3277" s="8">
        <v>3590</v>
      </c>
      <c r="D3277" s="16">
        <v>-1.4082910000000001E-2</v>
      </c>
      <c r="E3277">
        <v>-7.0414550000000003E-3</v>
      </c>
    </row>
    <row r="3278" spans="1:5" x14ac:dyDescent="0.3">
      <c r="A3278" s="8">
        <v>81</v>
      </c>
      <c r="B3278" s="8">
        <v>37</v>
      </c>
      <c r="C3278" s="8">
        <v>3560</v>
      </c>
      <c r="D3278" s="16">
        <v>2.1262630000000001E-2</v>
      </c>
      <c r="E3278">
        <v>1.0631315000000001E-2</v>
      </c>
    </row>
    <row r="3279" spans="1:5" x14ac:dyDescent="0.3">
      <c r="A3279" s="8">
        <v>81</v>
      </c>
      <c r="B3279" s="8">
        <v>38</v>
      </c>
      <c r="C3279" s="8">
        <v>3605</v>
      </c>
      <c r="D3279" s="16">
        <v>3.8810490000000001E-3</v>
      </c>
      <c r="E3279">
        <v>1.9405245000000001E-3</v>
      </c>
    </row>
    <row r="3280" spans="1:5" x14ac:dyDescent="0.3">
      <c r="A3280" s="8">
        <v>81</v>
      </c>
      <c r="B3280" s="8">
        <v>39</v>
      </c>
      <c r="C3280" s="8">
        <v>3598</v>
      </c>
      <c r="D3280" s="16">
        <v>6.366834E-4</v>
      </c>
      <c r="E3280">
        <v>3.183417E-4</v>
      </c>
    </row>
    <row r="3281" spans="1:5" x14ac:dyDescent="0.3">
      <c r="A3281" s="8">
        <v>81</v>
      </c>
      <c r="B3281" s="8">
        <v>40</v>
      </c>
      <c r="C3281" s="8">
        <v>3619</v>
      </c>
      <c r="D3281" s="16">
        <v>-2.6411690000000002E-2</v>
      </c>
      <c r="E3281">
        <v>-1.3205845000000001E-2</v>
      </c>
    </row>
    <row r="3282" spans="1:5" x14ac:dyDescent="0.3">
      <c r="A3282" s="8">
        <v>81</v>
      </c>
      <c r="B3282" s="8">
        <v>41</v>
      </c>
      <c r="C3282" s="8">
        <v>3572</v>
      </c>
      <c r="D3282" s="16">
        <v>-4.99012E-2</v>
      </c>
      <c r="E3282">
        <v>-2.49506E-2</v>
      </c>
    </row>
    <row r="3283" spans="1:5" x14ac:dyDescent="0.3">
      <c r="A3283" s="8">
        <v>81</v>
      </c>
      <c r="B3283" s="8">
        <v>42</v>
      </c>
      <c r="C3283" s="8">
        <v>3602</v>
      </c>
      <c r="D3283" s="16">
        <v>1.9923269999999999E-3</v>
      </c>
      <c r="E3283">
        <v>9.9616349999999995E-4</v>
      </c>
    </row>
    <row r="3284" spans="1:5" x14ac:dyDescent="0.3">
      <c r="A3284" s="8">
        <v>81</v>
      </c>
      <c r="B3284" s="8">
        <v>43</v>
      </c>
      <c r="C3284" s="8">
        <v>3572</v>
      </c>
      <c r="D3284" s="16">
        <v>-1.4238499999999999E-2</v>
      </c>
      <c r="E3284">
        <v>-7.1192499999999997E-3</v>
      </c>
    </row>
    <row r="3285" spans="1:5" x14ac:dyDescent="0.3">
      <c r="A3285" s="8">
        <v>81</v>
      </c>
      <c r="B3285" s="8">
        <v>44</v>
      </c>
      <c r="C3285" s="8">
        <v>3562</v>
      </c>
      <c r="D3285" s="16">
        <v>-1.6819649999999998E-2</v>
      </c>
      <c r="E3285">
        <v>-8.4098249999999992E-3</v>
      </c>
    </row>
    <row r="3286" spans="1:5" x14ac:dyDescent="0.3">
      <c r="A3286" s="8">
        <v>81</v>
      </c>
      <c r="B3286" s="8">
        <v>45</v>
      </c>
      <c r="C3286" s="8">
        <v>3628</v>
      </c>
      <c r="D3286" s="16">
        <v>-6.0650399999999998E-3</v>
      </c>
      <c r="E3286">
        <v>-3.0325199999999999E-3</v>
      </c>
    </row>
    <row r="3287" spans="1:5" x14ac:dyDescent="0.3">
      <c r="A3287" s="8">
        <v>81</v>
      </c>
      <c r="B3287" s="8">
        <v>46</v>
      </c>
      <c r="C3287" s="8">
        <v>3602</v>
      </c>
      <c r="D3287" s="16">
        <v>-2.5015240000000001E-2</v>
      </c>
      <c r="E3287">
        <v>-1.2507620000000001E-2</v>
      </c>
    </row>
    <row r="3288" spans="1:5" x14ac:dyDescent="0.3">
      <c r="A3288" s="8">
        <v>81</v>
      </c>
      <c r="B3288" s="8">
        <v>47</v>
      </c>
      <c r="C3288" s="8">
        <v>3612</v>
      </c>
      <c r="D3288" s="16">
        <v>-1.40229E-2</v>
      </c>
      <c r="E3288">
        <v>-7.0114499999999998E-3</v>
      </c>
    </row>
    <row r="3289" spans="1:5" x14ac:dyDescent="0.3">
      <c r="A3289" s="8">
        <v>81</v>
      </c>
      <c r="B3289" s="8">
        <v>48</v>
      </c>
      <c r="C3289" s="8">
        <v>3580</v>
      </c>
      <c r="D3289" s="16">
        <v>-2.2078360000000002E-2</v>
      </c>
      <c r="E3289">
        <v>-1.1039180000000001E-2</v>
      </c>
    </row>
    <row r="3290" spans="1:5" x14ac:dyDescent="0.3">
      <c r="A3290" s="8">
        <v>81</v>
      </c>
      <c r="B3290" s="8">
        <v>49</v>
      </c>
      <c r="C3290" s="8">
        <v>3600</v>
      </c>
      <c r="D3290" s="16">
        <v>1.7207170000000001E-2</v>
      </c>
      <c r="E3290">
        <v>8.6035850000000004E-3</v>
      </c>
    </row>
    <row r="3291" spans="1:5" x14ac:dyDescent="0.3">
      <c r="A3291" s="8">
        <v>81</v>
      </c>
      <c r="B3291" s="8">
        <v>50</v>
      </c>
      <c r="C3291" s="8">
        <v>3622</v>
      </c>
      <c r="D3291" s="16">
        <v>-5.7906190000000003E-2</v>
      </c>
      <c r="E3291">
        <v>-2.8953095000000002E-2</v>
      </c>
    </row>
    <row r="3292" spans="1:5" x14ac:dyDescent="0.3">
      <c r="A3292" s="8">
        <v>81</v>
      </c>
      <c r="B3292" s="8">
        <v>51</v>
      </c>
      <c r="C3292" s="8">
        <v>3588</v>
      </c>
      <c r="D3292" s="16">
        <v>2.3130000000000001E-2</v>
      </c>
      <c r="E3292">
        <v>1.1565000000000001E-2</v>
      </c>
    </row>
    <row r="3293" spans="1:5" x14ac:dyDescent="0.3">
      <c r="A3293" s="8">
        <v>81</v>
      </c>
      <c r="B3293" s="8">
        <v>52</v>
      </c>
      <c r="C3293" s="8">
        <v>3580</v>
      </c>
      <c r="D3293" s="16">
        <v>-1.853169E-2</v>
      </c>
      <c r="E3293">
        <v>-9.265845E-3</v>
      </c>
    </row>
    <row r="3294" spans="1:5" x14ac:dyDescent="0.3">
      <c r="A3294" s="8">
        <v>81</v>
      </c>
      <c r="B3294" s="8">
        <v>53</v>
      </c>
      <c r="C3294" s="8">
        <v>3613</v>
      </c>
      <c r="D3294" s="16">
        <v>-1.483687E-2</v>
      </c>
      <c r="E3294">
        <v>-7.4184350000000001E-3</v>
      </c>
    </row>
    <row r="3295" spans="1:5" x14ac:dyDescent="0.3">
      <c r="A3295" s="8">
        <v>81</v>
      </c>
      <c r="B3295" s="8">
        <v>54</v>
      </c>
      <c r="C3295" s="8">
        <v>3579</v>
      </c>
      <c r="D3295" s="16">
        <v>-5.140248E-3</v>
      </c>
      <c r="E3295">
        <v>-2.570124E-3</v>
      </c>
    </row>
    <row r="3296" spans="1:5" x14ac:dyDescent="0.3">
      <c r="A3296" s="8">
        <v>81</v>
      </c>
      <c r="B3296" s="8">
        <v>55</v>
      </c>
      <c r="C3296" s="8">
        <v>3609</v>
      </c>
      <c r="D3296" s="16">
        <v>-3.7099439999999997E-2</v>
      </c>
      <c r="E3296">
        <v>-1.8549719999999999E-2</v>
      </c>
    </row>
    <row r="3297" spans="1:5" x14ac:dyDescent="0.3">
      <c r="A3297" s="8">
        <v>81</v>
      </c>
      <c r="B3297" s="8">
        <v>56</v>
      </c>
      <c r="C3297" s="8">
        <v>3617</v>
      </c>
      <c r="D3297" s="16">
        <v>-1.8156640000000002E-2</v>
      </c>
      <c r="E3297">
        <v>-9.0783200000000008E-3</v>
      </c>
    </row>
    <row r="3298" spans="1:5" x14ac:dyDescent="0.3">
      <c r="A3298" s="8">
        <v>81</v>
      </c>
      <c r="B3298" s="8">
        <v>57</v>
      </c>
      <c r="C3298" s="8">
        <v>3631</v>
      </c>
      <c r="D3298" s="16">
        <v>-5.4161679999999997E-2</v>
      </c>
      <c r="E3298">
        <v>-2.7080839999999998E-2</v>
      </c>
    </row>
    <row r="3299" spans="1:5" x14ac:dyDescent="0.3">
      <c r="A3299" s="8">
        <v>81</v>
      </c>
      <c r="B3299" s="8">
        <v>58</v>
      </c>
      <c r="C3299" s="8">
        <v>3593</v>
      </c>
      <c r="D3299" s="16">
        <v>6.7796410000000003E-3</v>
      </c>
      <c r="E3299">
        <v>3.3898205000000002E-3</v>
      </c>
    </row>
    <row r="3300" spans="1:5" x14ac:dyDescent="0.3">
      <c r="A3300" s="8">
        <v>81</v>
      </c>
      <c r="B3300" s="8">
        <v>59</v>
      </c>
      <c r="C3300" s="8">
        <v>3634</v>
      </c>
      <c r="D3300" s="16">
        <v>-2.3415189999999999E-2</v>
      </c>
      <c r="E3300">
        <v>-1.1707594999999999E-2</v>
      </c>
    </row>
    <row r="3301" spans="1:5" x14ac:dyDescent="0.3">
      <c r="A3301" s="8">
        <v>81</v>
      </c>
      <c r="B3301" s="8">
        <v>60</v>
      </c>
      <c r="C3301" s="8">
        <v>3606</v>
      </c>
      <c r="D3301" s="16">
        <v>1.138283E-2</v>
      </c>
      <c r="E3301">
        <v>5.691415E-3</v>
      </c>
    </row>
    <row r="3302" spans="1:5" x14ac:dyDescent="0.3">
      <c r="A3302" s="8">
        <v>81</v>
      </c>
      <c r="B3302" s="8">
        <v>61</v>
      </c>
      <c r="C3302" s="8">
        <v>3597</v>
      </c>
      <c r="D3302" s="16">
        <v>-1.2168460000000001E-2</v>
      </c>
      <c r="E3302">
        <v>-6.0842300000000004E-3</v>
      </c>
    </row>
    <row r="3303" spans="1:5" x14ac:dyDescent="0.3">
      <c r="A3303" s="8">
        <v>81</v>
      </c>
      <c r="B3303" s="8">
        <v>62</v>
      </c>
      <c r="C3303" s="8">
        <v>3626</v>
      </c>
      <c r="D3303" s="16">
        <v>2.670759E-2</v>
      </c>
      <c r="E3303">
        <v>1.3353795E-2</v>
      </c>
    </row>
    <row r="3304" spans="1:5" x14ac:dyDescent="0.3">
      <c r="A3304" s="8">
        <v>81</v>
      </c>
      <c r="B3304" s="8">
        <v>63</v>
      </c>
      <c r="C3304" s="8">
        <v>3623</v>
      </c>
      <c r="D3304" s="16">
        <v>1.8499689999999999E-3</v>
      </c>
      <c r="E3304">
        <v>9.2498449999999996E-4</v>
      </c>
    </row>
    <row r="3305" spans="1:5" x14ac:dyDescent="0.3">
      <c r="A3305" s="8">
        <v>81</v>
      </c>
      <c r="B3305" s="8">
        <v>64</v>
      </c>
      <c r="C3305" s="8">
        <v>3583</v>
      </c>
      <c r="D3305" s="16">
        <v>1.3195699999999999E-3</v>
      </c>
      <c r="E3305">
        <v>6.5978499999999997E-4</v>
      </c>
    </row>
    <row r="3306" spans="1:5" x14ac:dyDescent="0.3">
      <c r="A3306" s="8">
        <v>81</v>
      </c>
      <c r="B3306" s="8">
        <v>65</v>
      </c>
      <c r="C3306" s="8">
        <v>3624</v>
      </c>
      <c r="D3306" s="16">
        <v>3.5607750000000001E-2</v>
      </c>
      <c r="E3306">
        <v>1.7803875E-2</v>
      </c>
    </row>
    <row r="3307" spans="1:5" x14ac:dyDescent="0.3">
      <c r="A3307" s="8">
        <v>81</v>
      </c>
      <c r="B3307" s="8">
        <v>66</v>
      </c>
      <c r="C3307" s="8">
        <v>3620</v>
      </c>
      <c r="D3307" s="16">
        <v>-4.1806830000000003E-2</v>
      </c>
      <c r="E3307">
        <v>-2.0903415000000002E-2</v>
      </c>
    </row>
    <row r="3308" spans="1:5" x14ac:dyDescent="0.3">
      <c r="A3308" s="8">
        <v>81</v>
      </c>
      <c r="B3308" s="8">
        <v>67</v>
      </c>
      <c r="C3308" s="8">
        <v>3591</v>
      </c>
      <c r="D3308" s="16">
        <v>-2.7607309999999999E-2</v>
      </c>
      <c r="E3308">
        <v>-1.3803655E-2</v>
      </c>
    </row>
    <row r="3309" spans="1:5" x14ac:dyDescent="0.3">
      <c r="A3309" s="8">
        <v>81</v>
      </c>
      <c r="B3309" s="8">
        <v>68</v>
      </c>
      <c r="C3309" s="8">
        <v>3581</v>
      </c>
      <c r="D3309" s="16">
        <v>-2.6972670000000001E-2</v>
      </c>
      <c r="E3309">
        <v>-1.3486335E-2</v>
      </c>
    </row>
    <row r="3310" spans="1:5" x14ac:dyDescent="0.3">
      <c r="A3310" s="8">
        <v>81</v>
      </c>
      <c r="B3310" s="8">
        <v>69</v>
      </c>
      <c r="C3310" s="8">
        <v>3595</v>
      </c>
      <c r="D3310" s="16">
        <v>-9.0156119999999992E-3</v>
      </c>
      <c r="E3310">
        <v>-4.5078059999999996E-3</v>
      </c>
    </row>
    <row r="3311" spans="1:5" x14ac:dyDescent="0.3">
      <c r="A3311" s="8">
        <v>81</v>
      </c>
      <c r="B3311" s="8">
        <v>70</v>
      </c>
      <c r="C3311" s="8">
        <v>3600</v>
      </c>
      <c r="D3311" s="16">
        <v>-3.6198300000000001E-3</v>
      </c>
      <c r="E3311">
        <v>-1.809915E-3</v>
      </c>
    </row>
    <row r="3312" spans="1:5" x14ac:dyDescent="0.3">
      <c r="A3312" s="8">
        <v>81</v>
      </c>
      <c r="B3312" s="8">
        <v>71</v>
      </c>
      <c r="C3312" s="8">
        <v>3579</v>
      </c>
      <c r="D3312" s="16">
        <v>6.0507750000000004E-3</v>
      </c>
      <c r="E3312">
        <v>3.0253875000000002E-3</v>
      </c>
    </row>
    <row r="3313" spans="1:5" x14ac:dyDescent="0.3">
      <c r="A3313" s="8">
        <v>81</v>
      </c>
      <c r="B3313" s="8">
        <v>72</v>
      </c>
      <c r="C3313" s="8">
        <v>3568</v>
      </c>
      <c r="D3313" s="16">
        <v>-4.6197839999999997E-2</v>
      </c>
      <c r="E3313">
        <v>-2.3098919999999998E-2</v>
      </c>
    </row>
    <row r="3314" spans="1:5" x14ac:dyDescent="0.3">
      <c r="A3314" s="8">
        <v>81</v>
      </c>
      <c r="B3314" s="8">
        <v>73</v>
      </c>
      <c r="C3314" s="8">
        <v>3621</v>
      </c>
      <c r="D3314" s="16">
        <v>1.3182300000000001E-3</v>
      </c>
      <c r="E3314">
        <v>6.5911500000000005E-4</v>
      </c>
    </row>
    <row r="3315" spans="1:5" x14ac:dyDescent="0.3">
      <c r="A3315" s="8">
        <v>81</v>
      </c>
      <c r="B3315" s="8">
        <v>74</v>
      </c>
      <c r="C3315" s="8">
        <v>3593</v>
      </c>
      <c r="D3315" s="16">
        <v>-1.8510579999999999E-2</v>
      </c>
      <c r="E3315">
        <v>-9.2552899999999994E-3</v>
      </c>
    </row>
    <row r="3316" spans="1:5" x14ac:dyDescent="0.3">
      <c r="A3316" s="8">
        <v>81</v>
      </c>
      <c r="B3316" s="8">
        <v>75</v>
      </c>
      <c r="C3316" s="8">
        <v>3592</v>
      </c>
      <c r="D3316" s="16">
        <v>7.9649609999999996E-3</v>
      </c>
      <c r="E3316">
        <v>3.9824804999999998E-3</v>
      </c>
    </row>
    <row r="3317" spans="1:5" x14ac:dyDescent="0.3">
      <c r="A3317" s="8">
        <v>81</v>
      </c>
      <c r="B3317" s="8">
        <v>76</v>
      </c>
      <c r="C3317" s="8">
        <v>3613</v>
      </c>
      <c r="D3317" s="16">
        <v>-2.8373269999999999E-2</v>
      </c>
      <c r="E3317">
        <v>-1.4186635E-2</v>
      </c>
    </row>
    <row r="3318" spans="1:5" x14ac:dyDescent="0.3">
      <c r="A3318" s="8">
        <v>81</v>
      </c>
      <c r="B3318" s="8">
        <v>77</v>
      </c>
      <c r="C3318" s="8">
        <v>3618</v>
      </c>
      <c r="D3318" s="16">
        <v>-6.5547510000000002E-3</v>
      </c>
      <c r="E3318">
        <v>-3.2773755000000001E-3</v>
      </c>
    </row>
    <row r="3319" spans="1:5" x14ac:dyDescent="0.3">
      <c r="A3319" s="8">
        <v>81</v>
      </c>
      <c r="B3319" s="8">
        <v>78</v>
      </c>
      <c r="C3319" s="8">
        <v>3629</v>
      </c>
      <c r="D3319" s="16">
        <v>1.316608E-2</v>
      </c>
      <c r="E3319">
        <v>6.5830400000000001E-3</v>
      </c>
    </row>
    <row r="3320" spans="1:5" x14ac:dyDescent="0.3">
      <c r="A3320" s="8">
        <v>81</v>
      </c>
      <c r="B3320" s="8">
        <v>79</v>
      </c>
      <c r="C3320" s="8">
        <v>3593</v>
      </c>
      <c r="D3320" s="16">
        <v>-1.048528E-2</v>
      </c>
      <c r="E3320">
        <v>-5.2426399999999998E-3</v>
      </c>
    </row>
    <row r="3321" spans="1:5" x14ac:dyDescent="0.3">
      <c r="A3321" s="8">
        <v>81</v>
      </c>
      <c r="B3321" s="8">
        <v>80</v>
      </c>
      <c r="C3321" s="8">
        <v>3609</v>
      </c>
      <c r="D3321" s="16">
        <v>-1.3496869999999999E-2</v>
      </c>
      <c r="E3321">
        <v>-6.7484349999999997E-3</v>
      </c>
    </row>
    <row r="3322" spans="1:5" x14ac:dyDescent="0.3">
      <c r="A3322" s="8">
        <v>81</v>
      </c>
      <c r="B3322" s="8">
        <v>81</v>
      </c>
      <c r="C3322" s="8">
        <v>3884</v>
      </c>
      <c r="D3322" s="16">
        <v>0.99182029999999999</v>
      </c>
      <c r="E3322"/>
    </row>
    <row r="3323" spans="1:5" x14ac:dyDescent="0.3">
      <c r="A3323" s="8">
        <v>82</v>
      </c>
      <c r="B3323" s="8">
        <v>1</v>
      </c>
      <c r="C3323" s="8">
        <v>3618</v>
      </c>
      <c r="D3323" s="16">
        <v>7.6590169999999997E-3</v>
      </c>
      <c r="E3323">
        <v>3.8295084999999999E-3</v>
      </c>
    </row>
    <row r="3324" spans="1:5" x14ac:dyDescent="0.3">
      <c r="A3324" s="8">
        <v>82</v>
      </c>
      <c r="B3324" s="8">
        <v>2</v>
      </c>
      <c r="C3324" s="8">
        <v>3607</v>
      </c>
      <c r="D3324" s="16">
        <v>2.299441E-2</v>
      </c>
      <c r="E3324">
        <v>1.1497205E-2</v>
      </c>
    </row>
    <row r="3325" spans="1:5" x14ac:dyDescent="0.3">
      <c r="A3325" s="8">
        <v>82</v>
      </c>
      <c r="B3325" s="8">
        <v>3</v>
      </c>
      <c r="C3325" s="8">
        <v>3622</v>
      </c>
      <c r="D3325" s="16">
        <v>-4.4975340000000003E-2</v>
      </c>
      <c r="E3325">
        <v>-2.2487670000000001E-2</v>
      </c>
    </row>
    <row r="3326" spans="1:5" x14ac:dyDescent="0.3">
      <c r="A3326" s="8">
        <v>82</v>
      </c>
      <c r="B3326" s="8">
        <v>4</v>
      </c>
      <c r="C3326" s="8">
        <v>3581</v>
      </c>
      <c r="D3326" s="16">
        <v>-6.5518269999999997E-3</v>
      </c>
      <c r="E3326">
        <v>-3.2759134999999998E-3</v>
      </c>
    </row>
    <row r="3327" spans="1:5" x14ac:dyDescent="0.3">
      <c r="A3327" s="8">
        <v>82</v>
      </c>
      <c r="B3327" s="8">
        <v>5</v>
      </c>
      <c r="C3327" s="8">
        <v>3601</v>
      </c>
      <c r="D3327" s="16">
        <v>-4.8855909999999999E-3</v>
      </c>
      <c r="E3327">
        <v>-2.4427954999999999E-3</v>
      </c>
    </row>
    <row r="3328" spans="1:5" x14ac:dyDescent="0.3">
      <c r="A3328" s="8">
        <v>82</v>
      </c>
      <c r="B3328" s="8">
        <v>6</v>
      </c>
      <c r="C3328" s="8">
        <v>3609</v>
      </c>
      <c r="D3328" s="16">
        <v>-3.4493940000000002E-3</v>
      </c>
      <c r="E3328">
        <v>-1.7246970000000001E-3</v>
      </c>
    </row>
    <row r="3329" spans="1:5" x14ac:dyDescent="0.3">
      <c r="A3329" s="8">
        <v>82</v>
      </c>
      <c r="B3329" s="8">
        <v>7</v>
      </c>
      <c r="C3329" s="8">
        <v>3579</v>
      </c>
      <c r="D3329" s="16">
        <v>-3.4110159999999998E-3</v>
      </c>
      <c r="E3329">
        <v>-1.7055079999999999E-3</v>
      </c>
    </row>
    <row r="3330" spans="1:5" x14ac:dyDescent="0.3">
      <c r="A3330" s="8">
        <v>82</v>
      </c>
      <c r="B3330" s="8">
        <v>8</v>
      </c>
      <c r="C3330" s="8">
        <v>3607</v>
      </c>
      <c r="D3330" s="16">
        <v>1.1347099999999999E-3</v>
      </c>
      <c r="E3330">
        <v>5.6735499999999996E-4</v>
      </c>
    </row>
    <row r="3331" spans="1:5" x14ac:dyDescent="0.3">
      <c r="A3331" s="8">
        <v>82</v>
      </c>
      <c r="B3331" s="8">
        <v>9</v>
      </c>
      <c r="C3331" s="8">
        <v>3613</v>
      </c>
      <c r="D3331" s="16">
        <v>-1.556249E-2</v>
      </c>
      <c r="E3331">
        <v>-7.781245E-3</v>
      </c>
    </row>
    <row r="3332" spans="1:5" x14ac:dyDescent="0.3">
      <c r="A3332" s="8">
        <v>82</v>
      </c>
      <c r="B3332" s="8">
        <v>10</v>
      </c>
      <c r="C3332" s="8">
        <v>3602</v>
      </c>
      <c r="D3332" s="16">
        <v>-6.5273670000000006E-2</v>
      </c>
      <c r="E3332">
        <v>-3.2636835000000003E-2</v>
      </c>
    </row>
    <row r="3333" spans="1:5" x14ac:dyDescent="0.3">
      <c r="A3333" s="8">
        <v>82</v>
      </c>
      <c r="B3333" s="8">
        <v>11</v>
      </c>
      <c r="C3333" s="8">
        <v>3602</v>
      </c>
      <c r="D3333" s="16">
        <v>-9.8791590000000002E-3</v>
      </c>
      <c r="E3333">
        <v>-4.9395795000000001E-3</v>
      </c>
    </row>
    <row r="3334" spans="1:5" x14ac:dyDescent="0.3">
      <c r="A3334" s="8">
        <v>82</v>
      </c>
      <c r="B3334" s="8">
        <v>12</v>
      </c>
      <c r="C3334" s="8">
        <v>3625</v>
      </c>
      <c r="D3334" s="16">
        <v>-4.9543149999999999E-3</v>
      </c>
      <c r="E3334">
        <v>-2.4771575E-3</v>
      </c>
    </row>
    <row r="3335" spans="1:5" x14ac:dyDescent="0.3">
      <c r="A3335" s="8">
        <v>82</v>
      </c>
      <c r="B3335" s="8">
        <v>13</v>
      </c>
      <c r="C3335" s="8">
        <v>3609</v>
      </c>
      <c r="D3335" s="16">
        <v>-3.6359570000000001E-2</v>
      </c>
      <c r="E3335">
        <v>-1.8179785E-2</v>
      </c>
    </row>
    <row r="3336" spans="1:5" x14ac:dyDescent="0.3">
      <c r="A3336" s="8">
        <v>82</v>
      </c>
      <c r="B3336" s="8">
        <v>14</v>
      </c>
      <c r="C3336" s="8">
        <v>3598</v>
      </c>
      <c r="D3336" s="16">
        <v>2.3369419999999998E-3</v>
      </c>
      <c r="E3336">
        <v>1.1684709999999999E-3</v>
      </c>
    </row>
    <row r="3337" spans="1:5" x14ac:dyDescent="0.3">
      <c r="A3337" s="8">
        <v>82</v>
      </c>
      <c r="B3337" s="8">
        <v>15</v>
      </c>
      <c r="C3337" s="8">
        <v>3621</v>
      </c>
      <c r="D3337" s="16">
        <v>-2.9051670000000002E-2</v>
      </c>
      <c r="E3337">
        <v>-1.4525835000000001E-2</v>
      </c>
    </row>
    <row r="3338" spans="1:5" x14ac:dyDescent="0.3">
      <c r="A3338" s="8">
        <v>82</v>
      </c>
      <c r="B3338" s="8">
        <v>16</v>
      </c>
      <c r="C3338" s="8">
        <v>3593</v>
      </c>
      <c r="D3338" s="16">
        <v>2.3905679999999999E-2</v>
      </c>
      <c r="E3338">
        <v>1.1952839999999999E-2</v>
      </c>
    </row>
    <row r="3339" spans="1:5" x14ac:dyDescent="0.3">
      <c r="A3339" s="8">
        <v>82</v>
      </c>
      <c r="B3339" s="8">
        <v>17</v>
      </c>
      <c r="C3339" s="8">
        <v>3612</v>
      </c>
      <c r="D3339" s="16">
        <v>3.7346369999999997E-2</v>
      </c>
      <c r="E3339">
        <v>1.8673184999999998E-2</v>
      </c>
    </row>
    <row r="3340" spans="1:5" x14ac:dyDescent="0.3">
      <c r="A3340" s="8">
        <v>82</v>
      </c>
      <c r="B3340" s="8">
        <v>18</v>
      </c>
      <c r="C3340" s="8">
        <v>3611</v>
      </c>
      <c r="D3340" s="16">
        <v>-2.336512E-2</v>
      </c>
      <c r="E3340">
        <v>-1.168256E-2</v>
      </c>
    </row>
    <row r="3341" spans="1:5" x14ac:dyDescent="0.3">
      <c r="A3341" s="8">
        <v>82</v>
      </c>
      <c r="B3341" s="8">
        <v>19</v>
      </c>
      <c r="C3341" s="8">
        <v>3573</v>
      </c>
      <c r="D3341" s="16">
        <v>-1.550875E-2</v>
      </c>
      <c r="E3341">
        <v>-7.754375E-3</v>
      </c>
    </row>
    <row r="3342" spans="1:5" x14ac:dyDescent="0.3">
      <c r="A3342" s="8">
        <v>82</v>
      </c>
      <c r="B3342" s="8">
        <v>20</v>
      </c>
      <c r="C3342" s="8">
        <v>3575</v>
      </c>
      <c r="D3342" s="16">
        <v>-2.690213E-2</v>
      </c>
      <c r="E3342">
        <v>-1.3451065E-2</v>
      </c>
    </row>
    <row r="3343" spans="1:5" x14ac:dyDescent="0.3">
      <c r="A3343" s="8">
        <v>82</v>
      </c>
      <c r="B3343" s="8">
        <v>21</v>
      </c>
      <c r="C3343" s="8">
        <v>3623</v>
      </c>
      <c r="D3343" s="16">
        <v>-1.55817E-2</v>
      </c>
      <c r="E3343">
        <v>-7.7908500000000002E-3</v>
      </c>
    </row>
    <row r="3344" spans="1:5" x14ac:dyDescent="0.3">
      <c r="A3344" s="8">
        <v>82</v>
      </c>
      <c r="B3344" s="8">
        <v>22</v>
      </c>
      <c r="C3344" s="8">
        <v>3585</v>
      </c>
      <c r="D3344" s="16">
        <v>-3.06646E-2</v>
      </c>
      <c r="E3344">
        <v>-1.53323E-2</v>
      </c>
    </row>
    <row r="3345" spans="1:5" x14ac:dyDescent="0.3">
      <c r="A3345" s="8">
        <v>82</v>
      </c>
      <c r="B3345" s="8">
        <v>23</v>
      </c>
      <c r="C3345" s="8">
        <v>3588</v>
      </c>
      <c r="D3345" s="16">
        <v>3.2904759999999998E-2</v>
      </c>
      <c r="E3345">
        <v>1.6452379999999999E-2</v>
      </c>
    </row>
    <row r="3346" spans="1:5" x14ac:dyDescent="0.3">
      <c r="A3346" s="8">
        <v>82</v>
      </c>
      <c r="B3346" s="8">
        <v>24</v>
      </c>
      <c r="C3346" s="8">
        <v>3623</v>
      </c>
      <c r="D3346" s="16">
        <v>4.1977519999999997E-2</v>
      </c>
      <c r="E3346">
        <v>2.0988759999999999E-2</v>
      </c>
    </row>
    <row r="3347" spans="1:5" x14ac:dyDescent="0.3">
      <c r="A3347" s="8">
        <v>82</v>
      </c>
      <c r="B3347" s="8">
        <v>25</v>
      </c>
      <c r="C3347" s="8">
        <v>3592</v>
      </c>
      <c r="D3347" s="16">
        <v>-2.0757230000000002E-2</v>
      </c>
      <c r="E3347">
        <v>-1.0378615000000001E-2</v>
      </c>
    </row>
    <row r="3348" spans="1:5" x14ac:dyDescent="0.3">
      <c r="A3348" s="8">
        <v>82</v>
      </c>
      <c r="B3348" s="8">
        <v>26</v>
      </c>
      <c r="C3348" s="8">
        <v>3623</v>
      </c>
      <c r="D3348" s="16">
        <v>-3.4021530000000001E-2</v>
      </c>
      <c r="E3348">
        <v>-1.7010765000000001E-2</v>
      </c>
    </row>
    <row r="3349" spans="1:5" x14ac:dyDescent="0.3">
      <c r="A3349" s="8">
        <v>82</v>
      </c>
      <c r="B3349" s="8">
        <v>27</v>
      </c>
      <c r="C3349" s="8">
        <v>3585</v>
      </c>
      <c r="D3349" s="16">
        <v>-9.1055470000000003E-3</v>
      </c>
      <c r="E3349">
        <v>-4.5527735000000001E-3</v>
      </c>
    </row>
    <row r="3350" spans="1:5" x14ac:dyDescent="0.3">
      <c r="A3350" s="8">
        <v>82</v>
      </c>
      <c r="B3350" s="8">
        <v>28</v>
      </c>
      <c r="C3350" s="8">
        <v>3551</v>
      </c>
      <c r="D3350" s="16">
        <v>-3.5008379999999999E-2</v>
      </c>
      <c r="E3350">
        <v>-1.7504189999999999E-2</v>
      </c>
    </row>
    <row r="3351" spans="1:5" x14ac:dyDescent="0.3">
      <c r="A3351" s="8">
        <v>82</v>
      </c>
      <c r="B3351" s="8">
        <v>29</v>
      </c>
      <c r="C3351" s="8">
        <v>3569</v>
      </c>
      <c r="D3351" s="16">
        <v>4.538589E-3</v>
      </c>
      <c r="E3351">
        <v>2.2692945E-3</v>
      </c>
    </row>
    <row r="3352" spans="1:5" x14ac:dyDescent="0.3">
      <c r="A3352" s="8">
        <v>82</v>
      </c>
      <c r="B3352" s="8">
        <v>30</v>
      </c>
      <c r="C3352" s="8">
        <v>3587</v>
      </c>
      <c r="D3352" s="16">
        <v>4.440297E-4</v>
      </c>
      <c r="E3352">
        <v>2.2201485E-4</v>
      </c>
    </row>
    <row r="3353" spans="1:5" x14ac:dyDescent="0.3">
      <c r="A3353" s="8">
        <v>82</v>
      </c>
      <c r="B3353" s="8">
        <v>31</v>
      </c>
      <c r="C3353" s="8">
        <v>3515</v>
      </c>
      <c r="D3353" s="16">
        <v>9.0760700000000003E-3</v>
      </c>
      <c r="E3353">
        <v>4.5380350000000002E-3</v>
      </c>
    </row>
    <row r="3354" spans="1:5" x14ac:dyDescent="0.3">
      <c r="A3354" s="8">
        <v>82</v>
      </c>
      <c r="B3354" s="8">
        <v>32</v>
      </c>
      <c r="C3354" s="8">
        <v>3566</v>
      </c>
      <c r="D3354" s="16">
        <v>3.2756830000000002E-3</v>
      </c>
      <c r="E3354">
        <v>1.6378415000000001E-3</v>
      </c>
    </row>
    <row r="3355" spans="1:5" x14ac:dyDescent="0.3">
      <c r="A3355" s="8">
        <v>82</v>
      </c>
      <c r="B3355" s="8">
        <v>33</v>
      </c>
      <c r="C3355" s="8">
        <v>3614</v>
      </c>
      <c r="D3355" s="16">
        <v>1.467363E-2</v>
      </c>
      <c r="E3355">
        <v>7.336815E-3</v>
      </c>
    </row>
    <row r="3356" spans="1:5" x14ac:dyDescent="0.3">
      <c r="A3356" s="8">
        <v>82</v>
      </c>
      <c r="B3356" s="8">
        <v>34</v>
      </c>
      <c r="C3356" s="8">
        <v>3611</v>
      </c>
      <c r="D3356" s="16">
        <v>-4.8016660000000003E-2</v>
      </c>
      <c r="E3356">
        <v>-2.4008330000000001E-2</v>
      </c>
    </row>
    <row r="3357" spans="1:5" x14ac:dyDescent="0.3">
      <c r="A3357" s="8">
        <v>82</v>
      </c>
      <c r="B3357" s="8">
        <v>35</v>
      </c>
      <c r="C3357" s="8">
        <v>3590</v>
      </c>
      <c r="D3357" s="16">
        <v>-5.9674629999999999E-2</v>
      </c>
      <c r="E3357">
        <v>-2.9837315E-2</v>
      </c>
    </row>
    <row r="3358" spans="1:5" x14ac:dyDescent="0.3">
      <c r="A3358" s="8">
        <v>82</v>
      </c>
      <c r="B3358" s="8">
        <v>36</v>
      </c>
      <c r="C3358" s="8">
        <v>3582</v>
      </c>
      <c r="D3358" s="16">
        <v>-7.447937E-3</v>
      </c>
      <c r="E3358">
        <v>-3.7239685E-3</v>
      </c>
    </row>
    <row r="3359" spans="1:5" x14ac:dyDescent="0.3">
      <c r="A3359" s="8">
        <v>82</v>
      </c>
      <c r="B3359" s="8">
        <v>37</v>
      </c>
      <c r="C3359" s="8">
        <v>3568</v>
      </c>
      <c r="D3359" s="16">
        <v>-1.7544669999999998E-2</v>
      </c>
      <c r="E3359">
        <v>-8.7723349999999992E-3</v>
      </c>
    </row>
    <row r="3360" spans="1:5" x14ac:dyDescent="0.3">
      <c r="A3360" s="8">
        <v>82</v>
      </c>
      <c r="B3360" s="8">
        <v>38</v>
      </c>
      <c r="C3360" s="8">
        <v>3611</v>
      </c>
      <c r="D3360" s="16">
        <v>-4.7279149999999999E-2</v>
      </c>
      <c r="E3360">
        <v>-2.3639574999999999E-2</v>
      </c>
    </row>
    <row r="3361" spans="1:5" x14ac:dyDescent="0.3">
      <c r="A3361" s="8">
        <v>82</v>
      </c>
      <c r="B3361" s="8">
        <v>39</v>
      </c>
      <c r="C3361" s="8">
        <v>3596</v>
      </c>
      <c r="D3361" s="16">
        <v>2.2800009999999999E-2</v>
      </c>
      <c r="E3361">
        <v>1.1400005E-2</v>
      </c>
    </row>
    <row r="3362" spans="1:5" x14ac:dyDescent="0.3">
      <c r="A3362" s="8">
        <v>82</v>
      </c>
      <c r="B3362" s="8">
        <v>40</v>
      </c>
      <c r="C3362" s="8">
        <v>3618</v>
      </c>
      <c r="D3362" s="16">
        <v>-4.3604009999999999E-2</v>
      </c>
      <c r="E3362">
        <v>-2.1802004999999999E-2</v>
      </c>
    </row>
    <row r="3363" spans="1:5" x14ac:dyDescent="0.3">
      <c r="A3363" s="8">
        <v>82</v>
      </c>
      <c r="B3363" s="8">
        <v>41</v>
      </c>
      <c r="C3363" s="8">
        <v>3575</v>
      </c>
      <c r="D3363" s="16">
        <v>-7.0025189999999996E-3</v>
      </c>
      <c r="E3363">
        <v>-3.5012594999999998E-3</v>
      </c>
    </row>
    <row r="3364" spans="1:5" x14ac:dyDescent="0.3">
      <c r="A3364" s="8">
        <v>82</v>
      </c>
      <c r="B3364" s="8">
        <v>42</v>
      </c>
      <c r="C3364" s="8">
        <v>3600</v>
      </c>
      <c r="D3364" s="16">
        <v>1.5745660000000002E-2</v>
      </c>
      <c r="E3364">
        <v>7.8728300000000008E-3</v>
      </c>
    </row>
    <row r="3365" spans="1:5" x14ac:dyDescent="0.3">
      <c r="A3365" s="8">
        <v>82</v>
      </c>
      <c r="B3365" s="8">
        <v>43</v>
      </c>
      <c r="C3365" s="8">
        <v>3576</v>
      </c>
      <c r="D3365" s="16">
        <v>6.1771689999999997E-3</v>
      </c>
      <c r="E3365">
        <v>3.0885844999999999E-3</v>
      </c>
    </row>
    <row r="3366" spans="1:5" x14ac:dyDescent="0.3">
      <c r="A3366" s="8">
        <v>82</v>
      </c>
      <c r="B3366" s="8">
        <v>44</v>
      </c>
      <c r="C3366" s="8">
        <v>3551</v>
      </c>
      <c r="D3366" s="16">
        <v>-1.240232E-2</v>
      </c>
      <c r="E3366">
        <v>-6.2011599999999998E-3</v>
      </c>
    </row>
    <row r="3367" spans="1:5" x14ac:dyDescent="0.3">
      <c r="A3367" s="8">
        <v>82</v>
      </c>
      <c r="B3367" s="8">
        <v>45</v>
      </c>
      <c r="C3367" s="8">
        <v>3606</v>
      </c>
      <c r="D3367" s="16">
        <v>-1.3406609999999999E-3</v>
      </c>
      <c r="E3367">
        <v>-6.7033049999999997E-4</v>
      </c>
    </row>
    <row r="3368" spans="1:5" x14ac:dyDescent="0.3">
      <c r="A3368" s="8">
        <v>82</v>
      </c>
      <c r="B3368" s="8">
        <v>46</v>
      </c>
      <c r="C3368" s="8">
        <v>3596</v>
      </c>
      <c r="D3368" s="16">
        <v>-4.7399040000000003E-2</v>
      </c>
      <c r="E3368">
        <v>-2.3699520000000002E-2</v>
      </c>
    </row>
    <row r="3369" spans="1:5" x14ac:dyDescent="0.3">
      <c r="A3369" s="8">
        <v>82</v>
      </c>
      <c r="B3369" s="8">
        <v>47</v>
      </c>
      <c r="C3369" s="8">
        <v>3604</v>
      </c>
      <c r="D3369" s="16">
        <v>-3.9238509999999997E-2</v>
      </c>
      <c r="E3369">
        <v>-1.9619254999999999E-2</v>
      </c>
    </row>
    <row r="3370" spans="1:5" x14ac:dyDescent="0.3">
      <c r="A3370" s="8">
        <v>82</v>
      </c>
      <c r="B3370" s="8">
        <v>48</v>
      </c>
      <c r="C3370" s="8">
        <v>3574</v>
      </c>
      <c r="D3370" s="16">
        <v>-2.8329480000000001E-2</v>
      </c>
      <c r="E3370">
        <v>-1.416474E-2</v>
      </c>
    </row>
    <row r="3371" spans="1:5" x14ac:dyDescent="0.3">
      <c r="A3371" s="8">
        <v>82</v>
      </c>
      <c r="B3371" s="8">
        <v>49</v>
      </c>
      <c r="C3371" s="8">
        <v>3582</v>
      </c>
      <c r="D3371" s="16">
        <v>-8.5028559999999996E-3</v>
      </c>
      <c r="E3371">
        <v>-4.2514279999999998E-3</v>
      </c>
    </row>
    <row r="3372" spans="1:5" x14ac:dyDescent="0.3">
      <c r="A3372" s="8">
        <v>82</v>
      </c>
      <c r="B3372" s="8">
        <v>50</v>
      </c>
      <c r="C3372" s="8">
        <v>3618</v>
      </c>
      <c r="D3372" s="16">
        <v>-2.1295979999999999E-2</v>
      </c>
      <c r="E3372">
        <v>-1.064799E-2</v>
      </c>
    </row>
    <row r="3373" spans="1:5" x14ac:dyDescent="0.3">
      <c r="A3373" s="8">
        <v>82</v>
      </c>
      <c r="B3373" s="8">
        <v>51</v>
      </c>
      <c r="C3373" s="8">
        <v>3569</v>
      </c>
      <c r="D3373" s="16">
        <v>-1.8823880000000001E-2</v>
      </c>
      <c r="E3373">
        <v>-9.4119400000000006E-3</v>
      </c>
    </row>
    <row r="3374" spans="1:5" x14ac:dyDescent="0.3">
      <c r="A3374" s="8">
        <v>82</v>
      </c>
      <c r="B3374" s="8">
        <v>52</v>
      </c>
      <c r="C3374" s="8">
        <v>3585</v>
      </c>
      <c r="D3374" s="16">
        <v>-4.8505409999999999E-3</v>
      </c>
      <c r="E3374">
        <v>-2.4252704999999999E-3</v>
      </c>
    </row>
    <row r="3375" spans="1:5" x14ac:dyDescent="0.3">
      <c r="A3375" s="8">
        <v>82</v>
      </c>
      <c r="B3375" s="8">
        <v>53</v>
      </c>
      <c r="C3375" s="8">
        <v>3604</v>
      </c>
      <c r="D3375" s="16">
        <v>-3.6194270000000001E-2</v>
      </c>
      <c r="E3375">
        <v>-1.8097135E-2</v>
      </c>
    </row>
    <row r="3376" spans="1:5" x14ac:dyDescent="0.3">
      <c r="A3376" s="8">
        <v>82</v>
      </c>
      <c r="B3376" s="8">
        <v>54</v>
      </c>
      <c r="C3376" s="8">
        <v>3585</v>
      </c>
      <c r="D3376" s="16">
        <v>-2.488458E-2</v>
      </c>
      <c r="E3376">
        <v>-1.244229E-2</v>
      </c>
    </row>
    <row r="3377" spans="1:5" x14ac:dyDescent="0.3">
      <c r="A3377" s="8">
        <v>82</v>
      </c>
      <c r="B3377" s="8">
        <v>55</v>
      </c>
      <c r="C3377" s="8">
        <v>3605</v>
      </c>
      <c r="D3377" s="16">
        <v>1.6037429999999999E-4</v>
      </c>
      <c r="E3377">
        <v>8.0187149999999993E-5</v>
      </c>
    </row>
    <row r="3378" spans="1:5" x14ac:dyDescent="0.3">
      <c r="A3378" s="8">
        <v>82</v>
      </c>
      <c r="B3378" s="8">
        <v>56</v>
      </c>
      <c r="C3378" s="8">
        <v>3601</v>
      </c>
      <c r="D3378" s="16">
        <v>-5.2729760000000001E-2</v>
      </c>
      <c r="E3378">
        <v>-2.636488E-2</v>
      </c>
    </row>
    <row r="3379" spans="1:5" x14ac:dyDescent="0.3">
      <c r="A3379" s="8">
        <v>82</v>
      </c>
      <c r="B3379" s="8">
        <v>57</v>
      </c>
      <c r="C3379" s="8">
        <v>3617</v>
      </c>
      <c r="D3379" s="16">
        <v>1.5401939999999999E-2</v>
      </c>
      <c r="E3379">
        <v>7.7009699999999997E-3</v>
      </c>
    </row>
    <row r="3380" spans="1:5" x14ac:dyDescent="0.3">
      <c r="A3380" s="8">
        <v>82</v>
      </c>
      <c r="B3380" s="8">
        <v>58</v>
      </c>
      <c r="C3380" s="8">
        <v>3587</v>
      </c>
      <c r="D3380" s="16">
        <v>-2.6861360000000001E-2</v>
      </c>
      <c r="E3380">
        <v>-1.343068E-2</v>
      </c>
    </row>
    <row r="3381" spans="1:5" x14ac:dyDescent="0.3">
      <c r="A3381" s="8">
        <v>82</v>
      </c>
      <c r="B3381" s="8">
        <v>59</v>
      </c>
      <c r="C3381" s="8">
        <v>3621</v>
      </c>
      <c r="D3381" s="16">
        <v>-9.3680710000000004E-3</v>
      </c>
      <c r="E3381">
        <v>-4.6840355000000002E-3</v>
      </c>
    </row>
    <row r="3382" spans="1:5" x14ac:dyDescent="0.3">
      <c r="A3382" s="8">
        <v>82</v>
      </c>
      <c r="B3382" s="8">
        <v>60</v>
      </c>
      <c r="C3382" s="8">
        <v>3598</v>
      </c>
      <c r="D3382" s="16">
        <v>-1.09111E-2</v>
      </c>
      <c r="E3382">
        <v>-5.45555E-3</v>
      </c>
    </row>
    <row r="3383" spans="1:5" x14ac:dyDescent="0.3">
      <c r="A3383" s="8">
        <v>82</v>
      </c>
      <c r="B3383" s="8">
        <v>61</v>
      </c>
      <c r="C3383" s="8">
        <v>3606</v>
      </c>
      <c r="D3383" s="16">
        <v>-3.0061270000000001E-2</v>
      </c>
      <c r="E3383">
        <v>-1.5030635000000001E-2</v>
      </c>
    </row>
    <row r="3384" spans="1:5" x14ac:dyDescent="0.3">
      <c r="A3384" s="8">
        <v>82</v>
      </c>
      <c r="B3384" s="8">
        <v>62</v>
      </c>
      <c r="C3384" s="8">
        <v>3623</v>
      </c>
      <c r="D3384" s="16">
        <v>-3.0827529999999999E-2</v>
      </c>
      <c r="E3384">
        <v>-1.5413764999999999E-2</v>
      </c>
    </row>
    <row r="3385" spans="1:5" x14ac:dyDescent="0.3">
      <c r="A3385" s="8">
        <v>82</v>
      </c>
      <c r="B3385" s="8">
        <v>63</v>
      </c>
      <c r="C3385" s="8">
        <v>3619</v>
      </c>
      <c r="D3385" s="16">
        <v>-4.7410359999999999E-2</v>
      </c>
      <c r="E3385">
        <v>-2.3705179999999999E-2</v>
      </c>
    </row>
    <row r="3386" spans="1:5" x14ac:dyDescent="0.3">
      <c r="A3386" s="8">
        <v>82</v>
      </c>
      <c r="B3386" s="8">
        <v>64</v>
      </c>
      <c r="C3386" s="8">
        <v>3567</v>
      </c>
      <c r="D3386" s="16">
        <v>-1.4386090000000001E-2</v>
      </c>
      <c r="E3386">
        <v>-7.1930450000000003E-3</v>
      </c>
    </row>
    <row r="3387" spans="1:5" x14ac:dyDescent="0.3">
      <c r="A3387" s="8">
        <v>82</v>
      </c>
      <c r="B3387" s="8">
        <v>65</v>
      </c>
      <c r="C3387" s="8">
        <v>3607</v>
      </c>
      <c r="D3387" s="16">
        <v>-1.493594E-2</v>
      </c>
      <c r="E3387">
        <v>-7.46797E-3</v>
      </c>
    </row>
    <row r="3388" spans="1:5" x14ac:dyDescent="0.3">
      <c r="A3388" s="8">
        <v>82</v>
      </c>
      <c r="B3388" s="8">
        <v>66</v>
      </c>
      <c r="C3388" s="8">
        <v>3617</v>
      </c>
      <c r="D3388" s="16">
        <v>6.6956849999999998E-3</v>
      </c>
      <c r="E3388">
        <v>3.3478424999999999E-3</v>
      </c>
    </row>
    <row r="3389" spans="1:5" x14ac:dyDescent="0.3">
      <c r="A3389" s="8">
        <v>82</v>
      </c>
      <c r="B3389" s="8">
        <v>67</v>
      </c>
      <c r="C3389" s="8">
        <v>3595</v>
      </c>
      <c r="D3389" s="16">
        <v>-7.8763050000000001E-2</v>
      </c>
      <c r="E3389">
        <v>-3.9381525000000001E-2</v>
      </c>
    </row>
    <row r="3390" spans="1:5" x14ac:dyDescent="0.3">
      <c r="A3390" s="8">
        <v>82</v>
      </c>
      <c r="B3390" s="8">
        <v>68</v>
      </c>
      <c r="C3390" s="8">
        <v>3566</v>
      </c>
      <c r="D3390" s="16">
        <v>-1.4927350000000001E-2</v>
      </c>
      <c r="E3390">
        <v>-7.4636750000000003E-3</v>
      </c>
    </row>
    <row r="3391" spans="1:5" x14ac:dyDescent="0.3">
      <c r="A3391" s="8">
        <v>82</v>
      </c>
      <c r="B3391" s="8">
        <v>69</v>
      </c>
      <c r="C3391" s="8">
        <v>3603</v>
      </c>
      <c r="D3391" s="16">
        <v>-2.278235E-2</v>
      </c>
      <c r="E3391">
        <v>-1.1391175E-2</v>
      </c>
    </row>
    <row r="3392" spans="1:5" x14ac:dyDescent="0.3">
      <c r="A3392" s="8">
        <v>82</v>
      </c>
      <c r="B3392" s="8">
        <v>70</v>
      </c>
      <c r="C3392" s="8">
        <v>3603</v>
      </c>
      <c r="D3392" s="16">
        <v>2.595884E-2</v>
      </c>
      <c r="E3392">
        <v>1.297942E-2</v>
      </c>
    </row>
    <row r="3393" spans="1:5" x14ac:dyDescent="0.3">
      <c r="A3393" s="8">
        <v>82</v>
      </c>
      <c r="B3393" s="8">
        <v>71</v>
      </c>
      <c r="C3393" s="8">
        <v>3585</v>
      </c>
      <c r="D3393" s="16">
        <v>-1.1280429999999999E-2</v>
      </c>
      <c r="E3393">
        <v>-5.6402149999999996E-3</v>
      </c>
    </row>
    <row r="3394" spans="1:5" x14ac:dyDescent="0.3">
      <c r="A3394" s="8">
        <v>82</v>
      </c>
      <c r="B3394" s="8">
        <v>72</v>
      </c>
      <c r="C3394" s="8">
        <v>3574</v>
      </c>
      <c r="D3394" s="16">
        <v>-1.1925349999999999E-2</v>
      </c>
      <c r="E3394">
        <v>-5.9626749999999997E-3</v>
      </c>
    </row>
    <row r="3395" spans="1:5" x14ac:dyDescent="0.3">
      <c r="A3395" s="8">
        <v>82</v>
      </c>
      <c r="B3395" s="8">
        <v>73</v>
      </c>
      <c r="C3395" s="8">
        <v>3619</v>
      </c>
      <c r="D3395" s="16">
        <v>-5.4135729999999996E-3</v>
      </c>
      <c r="E3395">
        <v>-2.7067864999999998E-3</v>
      </c>
    </row>
    <row r="3396" spans="1:5" x14ac:dyDescent="0.3">
      <c r="A3396" s="8">
        <v>82</v>
      </c>
      <c r="B3396" s="8">
        <v>74</v>
      </c>
      <c r="C3396" s="8">
        <v>3596</v>
      </c>
      <c r="D3396" s="16">
        <v>-3.5452419999999998E-2</v>
      </c>
      <c r="E3396">
        <v>-1.7726209999999999E-2</v>
      </c>
    </row>
    <row r="3397" spans="1:5" x14ac:dyDescent="0.3">
      <c r="A3397" s="8">
        <v>82</v>
      </c>
      <c r="B3397" s="8">
        <v>75</v>
      </c>
      <c r="C3397" s="8">
        <v>3587</v>
      </c>
      <c r="D3397" s="16">
        <v>1.9544499999999999E-2</v>
      </c>
      <c r="E3397">
        <v>9.7722499999999997E-3</v>
      </c>
    </row>
    <row r="3398" spans="1:5" x14ac:dyDescent="0.3">
      <c r="A3398" s="8">
        <v>82</v>
      </c>
      <c r="B3398" s="8">
        <v>76</v>
      </c>
      <c r="C3398" s="8">
        <v>3610</v>
      </c>
      <c r="D3398" s="16">
        <v>-1.157307E-2</v>
      </c>
      <c r="E3398">
        <v>-5.7865349999999998E-3</v>
      </c>
    </row>
    <row r="3399" spans="1:5" x14ac:dyDescent="0.3">
      <c r="A3399" s="8">
        <v>82</v>
      </c>
      <c r="B3399" s="8">
        <v>77</v>
      </c>
      <c r="C3399" s="8">
        <v>3602</v>
      </c>
      <c r="D3399" s="16">
        <v>5.3271289999999999E-3</v>
      </c>
      <c r="E3399">
        <v>2.6635644999999999E-3</v>
      </c>
    </row>
    <row r="3400" spans="1:5" x14ac:dyDescent="0.3">
      <c r="A3400" s="8">
        <v>82</v>
      </c>
      <c r="B3400" s="8">
        <v>78</v>
      </c>
      <c r="C3400" s="8">
        <v>3608</v>
      </c>
      <c r="D3400" s="16">
        <v>-4.4593849999999997E-2</v>
      </c>
      <c r="E3400">
        <v>-2.2296924999999999E-2</v>
      </c>
    </row>
    <row r="3401" spans="1:5" x14ac:dyDescent="0.3">
      <c r="A3401" s="8">
        <v>82</v>
      </c>
      <c r="B3401" s="8">
        <v>79</v>
      </c>
      <c r="C3401" s="8">
        <v>3564</v>
      </c>
      <c r="D3401" s="16">
        <v>-7.722263E-3</v>
      </c>
      <c r="E3401">
        <v>-3.8611315E-3</v>
      </c>
    </row>
    <row r="3402" spans="1:5" x14ac:dyDescent="0.3">
      <c r="A3402" s="8">
        <v>82</v>
      </c>
      <c r="B3402" s="8">
        <v>80</v>
      </c>
      <c r="C3402" s="8">
        <v>3602</v>
      </c>
      <c r="D3402" s="16">
        <v>1.1094069999999999E-2</v>
      </c>
      <c r="E3402">
        <v>5.5470349999999996E-3</v>
      </c>
    </row>
    <row r="3403" spans="1:5" x14ac:dyDescent="0.3">
      <c r="A3403" s="8">
        <v>82</v>
      </c>
      <c r="B3403" s="8">
        <v>81</v>
      </c>
      <c r="C3403" s="8">
        <v>3606</v>
      </c>
      <c r="D3403" s="16">
        <v>2.5334059999999999E-2</v>
      </c>
      <c r="E3403">
        <v>1.2667029999999999E-2</v>
      </c>
    </row>
    <row r="3404" spans="1:5" x14ac:dyDescent="0.3">
      <c r="A3404" s="8">
        <v>82</v>
      </c>
      <c r="B3404" s="8">
        <v>82</v>
      </c>
      <c r="C3404" s="8">
        <v>3881</v>
      </c>
      <c r="D3404" s="16">
        <v>1.0126710000000001</v>
      </c>
      <c r="E3404"/>
    </row>
    <row r="3405" spans="1:5" x14ac:dyDescent="0.3">
      <c r="A3405" s="8">
        <v>83</v>
      </c>
      <c r="B3405" s="8">
        <v>1</v>
      </c>
      <c r="C3405" s="8">
        <v>3642</v>
      </c>
      <c r="D3405" s="16">
        <v>-1.306095E-2</v>
      </c>
      <c r="E3405">
        <v>-6.530475E-3</v>
      </c>
    </row>
    <row r="3406" spans="1:5" x14ac:dyDescent="0.3">
      <c r="A3406" s="8">
        <v>83</v>
      </c>
      <c r="B3406" s="8">
        <v>2</v>
      </c>
      <c r="C3406" s="8">
        <v>3628</v>
      </c>
      <c r="D3406" s="16">
        <v>-3.6059649999999999E-2</v>
      </c>
      <c r="E3406">
        <v>-1.8029824999999999E-2</v>
      </c>
    </row>
    <row r="3407" spans="1:5" x14ac:dyDescent="0.3">
      <c r="A3407" s="8">
        <v>83</v>
      </c>
      <c r="B3407" s="8">
        <v>3</v>
      </c>
      <c r="C3407" s="8">
        <v>3632</v>
      </c>
      <c r="D3407" s="16">
        <v>-4.1611830000000002E-2</v>
      </c>
      <c r="E3407">
        <v>-2.0805915000000001E-2</v>
      </c>
    </row>
    <row r="3408" spans="1:5" x14ac:dyDescent="0.3">
      <c r="A3408" s="8">
        <v>83</v>
      </c>
      <c r="B3408" s="8">
        <v>4</v>
      </c>
      <c r="C3408" s="8">
        <v>3596</v>
      </c>
      <c r="D3408" s="16">
        <v>-2.9234739999999999E-2</v>
      </c>
      <c r="E3408">
        <v>-1.4617369999999999E-2</v>
      </c>
    </row>
    <row r="3409" spans="1:5" x14ac:dyDescent="0.3">
      <c r="A3409" s="8">
        <v>83</v>
      </c>
      <c r="B3409" s="8">
        <v>5</v>
      </c>
      <c r="C3409" s="8">
        <v>3617</v>
      </c>
      <c r="D3409" s="16">
        <v>-5.9517840000000002E-2</v>
      </c>
      <c r="E3409">
        <v>-2.9758920000000001E-2</v>
      </c>
    </row>
    <row r="3410" spans="1:5" x14ac:dyDescent="0.3">
      <c r="A3410" s="8">
        <v>83</v>
      </c>
      <c r="B3410" s="8">
        <v>6</v>
      </c>
      <c r="C3410" s="8">
        <v>3614</v>
      </c>
      <c r="D3410" s="16">
        <v>-1.8802989999999999E-2</v>
      </c>
      <c r="E3410">
        <v>-9.4014949999999993E-3</v>
      </c>
    </row>
    <row r="3411" spans="1:5" x14ac:dyDescent="0.3">
      <c r="A3411" s="8">
        <v>83</v>
      </c>
      <c r="B3411" s="8">
        <v>7</v>
      </c>
      <c r="C3411" s="8">
        <v>3595</v>
      </c>
      <c r="D3411" s="16">
        <v>-6.8735569999999996E-2</v>
      </c>
      <c r="E3411">
        <v>-3.4367784999999998E-2</v>
      </c>
    </row>
    <row r="3412" spans="1:5" x14ac:dyDescent="0.3">
      <c r="A3412" s="8">
        <v>83</v>
      </c>
      <c r="B3412" s="8">
        <v>8</v>
      </c>
      <c r="C3412" s="8">
        <v>3620</v>
      </c>
      <c r="D3412" s="16">
        <v>-1.5099899999999999E-2</v>
      </c>
      <c r="E3412">
        <v>-7.5499499999999997E-3</v>
      </c>
    </row>
    <row r="3413" spans="1:5" x14ac:dyDescent="0.3">
      <c r="A3413" s="8">
        <v>83</v>
      </c>
      <c r="B3413" s="8">
        <v>9</v>
      </c>
      <c r="C3413" s="8">
        <v>3640</v>
      </c>
      <c r="D3413" s="16">
        <v>-1.4879409999999999E-2</v>
      </c>
      <c r="E3413">
        <v>-7.4397049999999996E-3</v>
      </c>
    </row>
    <row r="3414" spans="1:5" x14ac:dyDescent="0.3">
      <c r="A3414" s="8">
        <v>83</v>
      </c>
      <c r="B3414" s="8">
        <v>10</v>
      </c>
      <c r="C3414" s="8">
        <v>3638</v>
      </c>
      <c r="D3414" s="16">
        <v>1.1816789999999999E-3</v>
      </c>
      <c r="E3414">
        <v>5.9083949999999997E-4</v>
      </c>
    </row>
    <row r="3415" spans="1:5" x14ac:dyDescent="0.3">
      <c r="A3415" s="8">
        <v>83</v>
      </c>
      <c r="B3415" s="8">
        <v>11</v>
      </c>
      <c r="C3415" s="8">
        <v>3620</v>
      </c>
      <c r="D3415" s="16">
        <v>3.6265020000000002E-3</v>
      </c>
      <c r="E3415">
        <v>1.8132510000000001E-3</v>
      </c>
    </row>
    <row r="3416" spans="1:5" x14ac:dyDescent="0.3">
      <c r="A3416" s="8">
        <v>83</v>
      </c>
      <c r="B3416" s="8">
        <v>12</v>
      </c>
      <c r="C3416" s="8">
        <v>3639</v>
      </c>
      <c r="D3416" s="16">
        <v>-1.425804E-2</v>
      </c>
      <c r="E3416">
        <v>-7.1290199999999998E-3</v>
      </c>
    </row>
    <row r="3417" spans="1:5" x14ac:dyDescent="0.3">
      <c r="A3417" s="8">
        <v>83</v>
      </c>
      <c r="B3417" s="8">
        <v>13</v>
      </c>
      <c r="C3417" s="8">
        <v>3621</v>
      </c>
      <c r="D3417" s="16">
        <v>-2.6194690000000002E-4</v>
      </c>
      <c r="E3417">
        <v>-1.3097345000000001E-4</v>
      </c>
    </row>
    <row r="3418" spans="1:5" x14ac:dyDescent="0.3">
      <c r="A3418" s="8">
        <v>83</v>
      </c>
      <c r="B3418" s="8">
        <v>14</v>
      </c>
      <c r="C3418" s="8">
        <v>3620</v>
      </c>
      <c r="D3418" s="16">
        <v>-1.8168259999999999E-2</v>
      </c>
      <c r="E3418">
        <v>-9.0841299999999993E-3</v>
      </c>
    </row>
    <row r="3419" spans="1:5" x14ac:dyDescent="0.3">
      <c r="A3419" s="8">
        <v>83</v>
      </c>
      <c r="B3419" s="8">
        <v>15</v>
      </c>
      <c r="C3419" s="8">
        <v>3630</v>
      </c>
      <c r="D3419" s="16">
        <v>-8.8064100000000006E-3</v>
      </c>
      <c r="E3419">
        <v>-4.4032050000000003E-3</v>
      </c>
    </row>
    <row r="3420" spans="1:5" x14ac:dyDescent="0.3">
      <c r="A3420" s="8">
        <v>83</v>
      </c>
      <c r="B3420" s="8">
        <v>16</v>
      </c>
      <c r="C3420" s="8">
        <v>3615</v>
      </c>
      <c r="D3420" s="16">
        <v>-5.2831099999999997E-3</v>
      </c>
      <c r="E3420">
        <v>-2.6415549999999999E-3</v>
      </c>
    </row>
    <row r="3421" spans="1:5" x14ac:dyDescent="0.3">
      <c r="A3421" s="8">
        <v>83</v>
      </c>
      <c r="B3421" s="8">
        <v>17</v>
      </c>
      <c r="C3421" s="8">
        <v>3621</v>
      </c>
      <c r="D3421" s="16">
        <v>2.0619849999999999E-2</v>
      </c>
      <c r="E3421">
        <v>1.0309924999999999E-2</v>
      </c>
    </row>
    <row r="3422" spans="1:5" x14ac:dyDescent="0.3">
      <c r="A3422" s="8">
        <v>83</v>
      </c>
      <c r="B3422" s="8">
        <v>18</v>
      </c>
      <c r="C3422" s="8">
        <v>3628</v>
      </c>
      <c r="D3422" s="16">
        <v>-3.233917E-2</v>
      </c>
      <c r="E3422">
        <v>-1.6169585E-2</v>
      </c>
    </row>
    <row r="3423" spans="1:5" x14ac:dyDescent="0.3">
      <c r="A3423" s="8">
        <v>83</v>
      </c>
      <c r="B3423" s="8">
        <v>19</v>
      </c>
      <c r="C3423" s="8">
        <v>3593</v>
      </c>
      <c r="D3423" s="16">
        <v>2.5248070000000001E-2</v>
      </c>
      <c r="E3423">
        <v>1.2624035E-2</v>
      </c>
    </row>
    <row r="3424" spans="1:5" x14ac:dyDescent="0.3">
      <c r="A3424" s="8">
        <v>83</v>
      </c>
      <c r="B3424" s="8">
        <v>20</v>
      </c>
      <c r="C3424" s="8">
        <v>3606</v>
      </c>
      <c r="D3424" s="16">
        <v>-1.6425390000000002E-2</v>
      </c>
      <c r="E3424">
        <v>-8.2126950000000008E-3</v>
      </c>
    </row>
    <row r="3425" spans="1:5" x14ac:dyDescent="0.3">
      <c r="A3425" s="8">
        <v>83</v>
      </c>
      <c r="B3425" s="8">
        <v>21</v>
      </c>
      <c r="C3425" s="8">
        <v>3648</v>
      </c>
      <c r="D3425" s="16">
        <v>-2.2125539999999998E-3</v>
      </c>
      <c r="E3425">
        <v>-1.1062769999999999E-3</v>
      </c>
    </row>
    <row r="3426" spans="1:5" x14ac:dyDescent="0.3">
      <c r="A3426" s="8">
        <v>83</v>
      </c>
      <c r="B3426" s="8">
        <v>22</v>
      </c>
      <c r="C3426" s="8">
        <v>3605</v>
      </c>
      <c r="D3426" s="16">
        <v>-2.4423520000000001E-2</v>
      </c>
      <c r="E3426">
        <v>-1.221176E-2</v>
      </c>
    </row>
    <row r="3427" spans="1:5" x14ac:dyDescent="0.3">
      <c r="A3427" s="8">
        <v>83</v>
      </c>
      <c r="B3427" s="8">
        <v>23</v>
      </c>
      <c r="C3427" s="8">
        <v>3625</v>
      </c>
      <c r="D3427" s="16">
        <v>-3.4843840000000001E-2</v>
      </c>
      <c r="E3427">
        <v>-1.742192E-2</v>
      </c>
    </row>
    <row r="3428" spans="1:5" x14ac:dyDescent="0.3">
      <c r="A3428" s="8">
        <v>83</v>
      </c>
      <c r="B3428" s="8">
        <v>24</v>
      </c>
      <c r="C3428" s="8">
        <v>3649</v>
      </c>
      <c r="D3428" s="16">
        <v>-6.6769159999999994E-2</v>
      </c>
      <c r="E3428">
        <v>-3.3384579999999997E-2</v>
      </c>
    </row>
    <row r="3429" spans="1:5" x14ac:dyDescent="0.3">
      <c r="A3429" s="8">
        <v>83</v>
      </c>
      <c r="B3429" s="8">
        <v>25</v>
      </c>
      <c r="C3429" s="8">
        <v>3606</v>
      </c>
      <c r="D3429" s="16">
        <v>-2.3984229999999999E-2</v>
      </c>
      <c r="E3429">
        <v>-1.1992114999999999E-2</v>
      </c>
    </row>
    <row r="3430" spans="1:5" x14ac:dyDescent="0.3">
      <c r="A3430" s="8">
        <v>83</v>
      </c>
      <c r="B3430" s="8">
        <v>26</v>
      </c>
      <c r="C3430" s="8">
        <v>3643</v>
      </c>
      <c r="D3430" s="16">
        <v>1.0045449999999999E-2</v>
      </c>
      <c r="E3430">
        <v>5.0227249999999996E-3</v>
      </c>
    </row>
    <row r="3431" spans="1:5" x14ac:dyDescent="0.3">
      <c r="A3431" s="8">
        <v>83</v>
      </c>
      <c r="B3431" s="8">
        <v>27</v>
      </c>
      <c r="C3431" s="8">
        <v>3612</v>
      </c>
      <c r="D3431" s="16">
        <v>-2.8748780000000002E-2</v>
      </c>
      <c r="E3431">
        <v>-1.4374390000000001E-2</v>
      </c>
    </row>
    <row r="3432" spans="1:5" x14ac:dyDescent="0.3">
      <c r="A3432" s="8">
        <v>83</v>
      </c>
      <c r="B3432" s="8">
        <v>28</v>
      </c>
      <c r="C3432" s="8">
        <v>3571</v>
      </c>
      <c r="D3432" s="16">
        <v>-2.3477560000000001E-2</v>
      </c>
      <c r="E3432">
        <v>-1.1738780000000001E-2</v>
      </c>
    </row>
    <row r="3433" spans="1:5" x14ac:dyDescent="0.3">
      <c r="A3433" s="8">
        <v>83</v>
      </c>
      <c r="B3433" s="8">
        <v>29</v>
      </c>
      <c r="C3433" s="8">
        <v>3580</v>
      </c>
      <c r="D3433" s="16">
        <v>1.3273979999999999E-2</v>
      </c>
      <c r="E3433">
        <v>6.6369899999999997E-3</v>
      </c>
    </row>
    <row r="3434" spans="1:5" x14ac:dyDescent="0.3">
      <c r="A3434" s="8">
        <v>83</v>
      </c>
      <c r="B3434" s="8">
        <v>30</v>
      </c>
      <c r="C3434" s="8">
        <v>3609</v>
      </c>
      <c r="D3434" s="16">
        <v>-3.2162419999999997E-2</v>
      </c>
      <c r="E3434">
        <v>-1.6081209999999999E-2</v>
      </c>
    </row>
    <row r="3435" spans="1:5" x14ac:dyDescent="0.3">
      <c r="A3435" s="8">
        <v>83</v>
      </c>
      <c r="B3435" s="8">
        <v>31</v>
      </c>
      <c r="C3435" s="8">
        <v>3536</v>
      </c>
      <c r="D3435" s="16">
        <v>-9.8974079999999999E-3</v>
      </c>
      <c r="E3435">
        <v>-4.948704E-3</v>
      </c>
    </row>
    <row r="3436" spans="1:5" x14ac:dyDescent="0.3">
      <c r="A3436" s="8">
        <v>83</v>
      </c>
      <c r="B3436" s="8">
        <v>32</v>
      </c>
      <c r="C3436" s="8">
        <v>3592</v>
      </c>
      <c r="D3436" s="16">
        <v>-2.0682140000000001E-3</v>
      </c>
      <c r="E3436">
        <v>-1.034107E-3</v>
      </c>
    </row>
    <row r="3437" spans="1:5" x14ac:dyDescent="0.3">
      <c r="A3437" s="8">
        <v>83</v>
      </c>
      <c r="B3437" s="8">
        <v>33</v>
      </c>
      <c r="C3437" s="8">
        <v>3636</v>
      </c>
      <c r="D3437" s="16">
        <v>-2.4745260000000002E-2</v>
      </c>
      <c r="E3437">
        <v>-1.2372630000000001E-2</v>
      </c>
    </row>
    <row r="3438" spans="1:5" x14ac:dyDescent="0.3">
      <c r="A3438" s="8">
        <v>83</v>
      </c>
      <c r="B3438" s="8">
        <v>34</v>
      </c>
      <c r="C3438" s="8">
        <v>3635</v>
      </c>
      <c r="D3438" s="16">
        <v>5.3029920000000003E-3</v>
      </c>
      <c r="E3438">
        <v>2.6514960000000001E-3</v>
      </c>
    </row>
    <row r="3439" spans="1:5" x14ac:dyDescent="0.3">
      <c r="A3439" s="8">
        <v>83</v>
      </c>
      <c r="B3439" s="8">
        <v>35</v>
      </c>
      <c r="C3439" s="8">
        <v>3613</v>
      </c>
      <c r="D3439" s="16">
        <v>2.1184620000000001E-2</v>
      </c>
      <c r="E3439">
        <v>1.0592310000000001E-2</v>
      </c>
    </row>
    <row r="3440" spans="1:5" x14ac:dyDescent="0.3">
      <c r="A3440" s="8">
        <v>83</v>
      </c>
      <c r="B3440" s="8">
        <v>36</v>
      </c>
      <c r="C3440" s="8">
        <v>3618</v>
      </c>
      <c r="D3440" s="16">
        <v>-2.7082780000000001E-2</v>
      </c>
      <c r="E3440">
        <v>-1.354139E-2</v>
      </c>
    </row>
    <row r="3441" spans="1:5" x14ac:dyDescent="0.3">
      <c r="A3441" s="8">
        <v>83</v>
      </c>
      <c r="B3441" s="8">
        <v>37</v>
      </c>
      <c r="C3441" s="8">
        <v>3589</v>
      </c>
      <c r="D3441" s="16">
        <v>-5.775868E-2</v>
      </c>
      <c r="E3441">
        <v>-2.887934E-2</v>
      </c>
    </row>
    <row r="3442" spans="1:5" x14ac:dyDescent="0.3">
      <c r="A3442" s="8">
        <v>83</v>
      </c>
      <c r="B3442" s="8">
        <v>38</v>
      </c>
      <c r="C3442" s="8">
        <v>3635</v>
      </c>
      <c r="D3442" s="16">
        <v>-1.3482350000000001E-2</v>
      </c>
      <c r="E3442">
        <v>-6.7411750000000003E-3</v>
      </c>
    </row>
    <row r="3443" spans="1:5" x14ac:dyDescent="0.3">
      <c r="A3443" s="8">
        <v>83</v>
      </c>
      <c r="B3443" s="8">
        <v>39</v>
      </c>
      <c r="C3443" s="8">
        <v>3611</v>
      </c>
      <c r="D3443" s="16">
        <v>-3.8577630000000002E-2</v>
      </c>
      <c r="E3443">
        <v>-1.9288815000000001E-2</v>
      </c>
    </row>
    <row r="3444" spans="1:5" x14ac:dyDescent="0.3">
      <c r="A3444" s="8">
        <v>83</v>
      </c>
      <c r="B3444" s="8">
        <v>40</v>
      </c>
      <c r="C3444" s="8">
        <v>3633</v>
      </c>
      <c r="D3444" s="16">
        <v>-2.0154930000000001E-2</v>
      </c>
      <c r="E3444">
        <v>-1.0077465000000001E-2</v>
      </c>
    </row>
    <row r="3445" spans="1:5" x14ac:dyDescent="0.3">
      <c r="A3445" s="8">
        <v>83</v>
      </c>
      <c r="B3445" s="8">
        <v>41</v>
      </c>
      <c r="C3445" s="8">
        <v>3575</v>
      </c>
      <c r="D3445" s="16">
        <v>-1.5944900000000001E-2</v>
      </c>
      <c r="E3445">
        <v>-7.9724500000000007E-3</v>
      </c>
    </row>
    <row r="3446" spans="1:5" x14ac:dyDescent="0.3">
      <c r="A3446" s="8">
        <v>83</v>
      </c>
      <c r="B3446" s="8">
        <v>42</v>
      </c>
      <c r="C3446" s="8">
        <v>3622</v>
      </c>
      <c r="D3446" s="16">
        <v>-3.7203350000000003E-2</v>
      </c>
      <c r="E3446">
        <v>-1.8601675000000002E-2</v>
      </c>
    </row>
    <row r="3447" spans="1:5" x14ac:dyDescent="0.3">
      <c r="A3447" s="8">
        <v>83</v>
      </c>
      <c r="B3447" s="8">
        <v>43</v>
      </c>
      <c r="C3447" s="8">
        <v>3596</v>
      </c>
      <c r="D3447" s="16">
        <v>-2.1540449999999999E-2</v>
      </c>
      <c r="E3447">
        <v>-1.0770225E-2</v>
      </c>
    </row>
    <row r="3448" spans="1:5" x14ac:dyDescent="0.3">
      <c r="A3448" s="8">
        <v>83</v>
      </c>
      <c r="B3448" s="8">
        <v>44</v>
      </c>
      <c r="C3448" s="8">
        <v>3579</v>
      </c>
      <c r="D3448" s="16">
        <v>-3.777337E-3</v>
      </c>
      <c r="E3448">
        <v>-1.8886685E-3</v>
      </c>
    </row>
    <row r="3449" spans="1:5" x14ac:dyDescent="0.3">
      <c r="A3449" s="8">
        <v>83</v>
      </c>
      <c r="B3449" s="8">
        <v>45</v>
      </c>
      <c r="C3449" s="8">
        <v>3626</v>
      </c>
      <c r="D3449" s="16">
        <v>-2.7495269999999999E-2</v>
      </c>
      <c r="E3449">
        <v>-1.3747634999999999E-2</v>
      </c>
    </row>
    <row r="3450" spans="1:5" x14ac:dyDescent="0.3">
      <c r="A3450" s="8">
        <v>83</v>
      </c>
      <c r="B3450" s="8">
        <v>46</v>
      </c>
      <c r="C3450" s="8">
        <v>3616</v>
      </c>
      <c r="D3450" s="16">
        <v>-4.1974839999999999E-2</v>
      </c>
      <c r="E3450">
        <v>-2.098742E-2</v>
      </c>
    </row>
    <row r="3451" spans="1:5" x14ac:dyDescent="0.3">
      <c r="A3451" s="8">
        <v>83</v>
      </c>
      <c r="B3451" s="8">
        <v>47</v>
      </c>
      <c r="C3451" s="8">
        <v>3627</v>
      </c>
      <c r="D3451" s="16">
        <v>3.265958E-4</v>
      </c>
      <c r="E3451">
        <v>1.632979E-4</v>
      </c>
    </row>
    <row r="3452" spans="1:5" x14ac:dyDescent="0.3">
      <c r="A3452" s="8">
        <v>83</v>
      </c>
      <c r="B3452" s="8">
        <v>48</v>
      </c>
      <c r="C3452" s="8">
        <v>3600</v>
      </c>
      <c r="D3452" s="16">
        <v>2.2795800000000001E-2</v>
      </c>
      <c r="E3452">
        <v>1.1397900000000001E-2</v>
      </c>
    </row>
    <row r="3453" spans="1:5" x14ac:dyDescent="0.3">
      <c r="A3453" s="8">
        <v>83</v>
      </c>
      <c r="B3453" s="8">
        <v>49</v>
      </c>
      <c r="C3453" s="8">
        <v>3611</v>
      </c>
      <c r="D3453" s="16">
        <v>4.983889E-3</v>
      </c>
      <c r="E3453">
        <v>2.4919445E-3</v>
      </c>
    </row>
    <row r="3454" spans="1:5" x14ac:dyDescent="0.3">
      <c r="A3454" s="8">
        <v>83</v>
      </c>
      <c r="B3454" s="8">
        <v>50</v>
      </c>
      <c r="C3454" s="8">
        <v>3633</v>
      </c>
      <c r="D3454" s="16">
        <v>4.5279809999999997E-2</v>
      </c>
      <c r="E3454">
        <v>2.2639904999999998E-2</v>
      </c>
    </row>
    <row r="3455" spans="1:5" x14ac:dyDescent="0.3">
      <c r="A3455" s="8">
        <v>83</v>
      </c>
      <c r="B3455" s="8">
        <v>51</v>
      </c>
      <c r="C3455" s="8">
        <v>3602</v>
      </c>
      <c r="D3455" s="16">
        <v>5.2367510000000004E-3</v>
      </c>
      <c r="E3455">
        <v>2.6183755000000002E-3</v>
      </c>
    </row>
    <row r="3456" spans="1:5" x14ac:dyDescent="0.3">
      <c r="A3456" s="8">
        <v>83</v>
      </c>
      <c r="B3456" s="8">
        <v>52</v>
      </c>
      <c r="C3456" s="8">
        <v>3602</v>
      </c>
      <c r="D3456" s="16">
        <v>-3.3435510000000002E-2</v>
      </c>
      <c r="E3456">
        <v>-1.6717755000000001E-2</v>
      </c>
    </row>
    <row r="3457" spans="1:5" x14ac:dyDescent="0.3">
      <c r="A3457" s="8">
        <v>83</v>
      </c>
      <c r="B3457" s="8">
        <v>53</v>
      </c>
      <c r="C3457" s="8">
        <v>3617</v>
      </c>
      <c r="D3457" s="16">
        <v>-3.1661540000000002E-2</v>
      </c>
      <c r="E3457">
        <v>-1.5830770000000001E-2</v>
      </c>
    </row>
    <row r="3458" spans="1:5" x14ac:dyDescent="0.3">
      <c r="A3458" s="8">
        <v>83</v>
      </c>
      <c r="B3458" s="8">
        <v>54</v>
      </c>
      <c r="C3458" s="8">
        <v>3600</v>
      </c>
      <c r="D3458" s="16">
        <v>-1.5936240000000001E-2</v>
      </c>
      <c r="E3458">
        <v>-7.9681200000000004E-3</v>
      </c>
    </row>
    <row r="3459" spans="1:5" x14ac:dyDescent="0.3">
      <c r="A3459" s="8">
        <v>83</v>
      </c>
      <c r="B3459" s="8">
        <v>55</v>
      </c>
      <c r="C3459" s="8">
        <v>3617</v>
      </c>
      <c r="D3459" s="16">
        <v>-1.5734930000000001E-2</v>
      </c>
      <c r="E3459">
        <v>-7.8674650000000006E-3</v>
      </c>
    </row>
    <row r="3460" spans="1:5" x14ac:dyDescent="0.3">
      <c r="A3460" s="8">
        <v>83</v>
      </c>
      <c r="B3460" s="8">
        <v>56</v>
      </c>
      <c r="C3460" s="8">
        <v>3635</v>
      </c>
      <c r="D3460" s="16">
        <v>1.883634E-2</v>
      </c>
      <c r="E3460">
        <v>9.41817E-3</v>
      </c>
    </row>
    <row r="3461" spans="1:5" x14ac:dyDescent="0.3">
      <c r="A3461" s="8">
        <v>83</v>
      </c>
      <c r="B3461" s="8">
        <v>57</v>
      </c>
      <c r="C3461" s="8">
        <v>3642</v>
      </c>
      <c r="D3461" s="16">
        <v>-2.8079409999999999E-2</v>
      </c>
      <c r="E3461">
        <v>-1.4039705E-2</v>
      </c>
    </row>
    <row r="3462" spans="1:5" x14ac:dyDescent="0.3">
      <c r="A3462" s="8">
        <v>83</v>
      </c>
      <c r="B3462" s="8">
        <v>58</v>
      </c>
      <c r="C3462" s="8">
        <v>3611</v>
      </c>
      <c r="D3462" s="16">
        <v>-1.1833410000000001E-2</v>
      </c>
      <c r="E3462">
        <v>-5.9167050000000004E-3</v>
      </c>
    </row>
    <row r="3463" spans="1:5" x14ac:dyDescent="0.3">
      <c r="A3463" s="8">
        <v>83</v>
      </c>
      <c r="B3463" s="8">
        <v>59</v>
      </c>
      <c r="C3463" s="8">
        <v>3636</v>
      </c>
      <c r="D3463" s="16">
        <v>9.6022750000000004E-3</v>
      </c>
      <c r="E3463">
        <v>4.8011375000000002E-3</v>
      </c>
    </row>
    <row r="3464" spans="1:5" x14ac:dyDescent="0.3">
      <c r="A3464" s="8">
        <v>83</v>
      </c>
      <c r="B3464" s="8">
        <v>60</v>
      </c>
      <c r="C3464" s="8">
        <v>3620</v>
      </c>
      <c r="D3464" s="16">
        <v>8.6262040000000002E-3</v>
      </c>
      <c r="E3464">
        <v>4.3131020000000001E-3</v>
      </c>
    </row>
    <row r="3465" spans="1:5" x14ac:dyDescent="0.3">
      <c r="A3465" s="8">
        <v>83</v>
      </c>
      <c r="B3465" s="8">
        <v>61</v>
      </c>
      <c r="C3465" s="8">
        <v>3621</v>
      </c>
      <c r="D3465" s="16">
        <v>-2.979944E-2</v>
      </c>
      <c r="E3465">
        <v>-1.489972E-2</v>
      </c>
    </row>
    <row r="3466" spans="1:5" x14ac:dyDescent="0.3">
      <c r="A3466" s="8">
        <v>83</v>
      </c>
      <c r="B3466" s="8">
        <v>62</v>
      </c>
      <c r="C3466" s="8">
        <v>3639</v>
      </c>
      <c r="D3466" s="16">
        <v>4.7680720000000003E-2</v>
      </c>
      <c r="E3466">
        <v>2.3840360000000001E-2</v>
      </c>
    </row>
    <row r="3467" spans="1:5" x14ac:dyDescent="0.3">
      <c r="A3467" s="8">
        <v>83</v>
      </c>
      <c r="B3467" s="8">
        <v>63</v>
      </c>
      <c r="C3467" s="8">
        <v>3634</v>
      </c>
      <c r="D3467" s="16">
        <v>-3.7875869999999999E-2</v>
      </c>
      <c r="E3467">
        <v>-1.8937934999999999E-2</v>
      </c>
    </row>
    <row r="3468" spans="1:5" x14ac:dyDescent="0.3">
      <c r="A3468" s="8">
        <v>83</v>
      </c>
      <c r="B3468" s="8">
        <v>64</v>
      </c>
      <c r="C3468" s="8">
        <v>3599</v>
      </c>
      <c r="D3468" s="16">
        <v>-1.8233630000000001E-2</v>
      </c>
      <c r="E3468">
        <v>-9.1168150000000003E-3</v>
      </c>
    </row>
    <row r="3469" spans="1:5" x14ac:dyDescent="0.3">
      <c r="A3469" s="8">
        <v>83</v>
      </c>
      <c r="B3469" s="8">
        <v>65</v>
      </c>
      <c r="C3469" s="8">
        <v>3639</v>
      </c>
      <c r="D3469" s="16">
        <v>-2.0242909999999999E-2</v>
      </c>
      <c r="E3469">
        <v>-1.0121455E-2</v>
      </c>
    </row>
    <row r="3470" spans="1:5" x14ac:dyDescent="0.3">
      <c r="A3470" s="8">
        <v>83</v>
      </c>
      <c r="B3470" s="8">
        <v>66</v>
      </c>
      <c r="C3470" s="8">
        <v>3635</v>
      </c>
      <c r="D3470" s="16">
        <v>-1.2500209999999999E-2</v>
      </c>
      <c r="E3470">
        <v>-6.2501049999999997E-3</v>
      </c>
    </row>
    <row r="3471" spans="1:5" x14ac:dyDescent="0.3">
      <c r="A3471" s="8">
        <v>83</v>
      </c>
      <c r="B3471" s="8">
        <v>67</v>
      </c>
      <c r="C3471" s="8">
        <v>3625</v>
      </c>
      <c r="D3471" s="16">
        <v>9.7821269999999998E-3</v>
      </c>
      <c r="E3471">
        <v>4.8910634999999999E-3</v>
      </c>
    </row>
    <row r="3472" spans="1:5" x14ac:dyDescent="0.3">
      <c r="A3472" s="8">
        <v>83</v>
      </c>
      <c r="B3472" s="8">
        <v>68</v>
      </c>
      <c r="C3472" s="8">
        <v>3591</v>
      </c>
      <c r="D3472" s="16">
        <v>1.2931720000000001E-2</v>
      </c>
      <c r="E3472">
        <v>6.4658600000000004E-3</v>
      </c>
    </row>
    <row r="3473" spans="1:5" x14ac:dyDescent="0.3">
      <c r="A3473" s="8">
        <v>83</v>
      </c>
      <c r="B3473" s="8">
        <v>69</v>
      </c>
      <c r="C3473" s="8">
        <v>3621</v>
      </c>
      <c r="D3473" s="16">
        <v>-1.798982E-2</v>
      </c>
      <c r="E3473">
        <v>-8.9949100000000001E-3</v>
      </c>
    </row>
    <row r="3474" spans="1:5" x14ac:dyDescent="0.3">
      <c r="A3474" s="8">
        <v>83</v>
      </c>
      <c r="B3474" s="8">
        <v>70</v>
      </c>
      <c r="C3474" s="8">
        <v>3611</v>
      </c>
      <c r="D3474" s="16">
        <v>-2.7107619999999999E-2</v>
      </c>
      <c r="E3474">
        <v>-1.3553809999999999E-2</v>
      </c>
    </row>
    <row r="3475" spans="1:5" x14ac:dyDescent="0.3">
      <c r="A3475" s="8">
        <v>83</v>
      </c>
      <c r="B3475" s="8">
        <v>71</v>
      </c>
      <c r="C3475" s="8">
        <v>3600</v>
      </c>
      <c r="D3475" s="16">
        <v>3.2658260000000001E-2</v>
      </c>
      <c r="E3475">
        <v>1.6329130000000001E-2</v>
      </c>
    </row>
    <row r="3476" spans="1:5" x14ac:dyDescent="0.3">
      <c r="A3476" s="8">
        <v>83</v>
      </c>
      <c r="B3476" s="8">
        <v>72</v>
      </c>
      <c r="C3476" s="8">
        <v>3608</v>
      </c>
      <c r="D3476" s="16">
        <v>-1.428858E-2</v>
      </c>
      <c r="E3476">
        <v>-7.1442900000000002E-3</v>
      </c>
    </row>
    <row r="3477" spans="1:5" x14ac:dyDescent="0.3">
      <c r="A3477" s="8">
        <v>83</v>
      </c>
      <c r="B3477" s="8">
        <v>73</v>
      </c>
      <c r="C3477" s="8">
        <v>3633</v>
      </c>
      <c r="D3477" s="16">
        <v>-1.2675820000000001E-2</v>
      </c>
      <c r="E3477">
        <v>-6.3379100000000004E-3</v>
      </c>
    </row>
    <row r="3478" spans="1:5" x14ac:dyDescent="0.3">
      <c r="A3478" s="8">
        <v>83</v>
      </c>
      <c r="B3478" s="8">
        <v>74</v>
      </c>
      <c r="C3478" s="8">
        <v>3612</v>
      </c>
      <c r="D3478" s="16">
        <v>-2.4127289999999999E-2</v>
      </c>
      <c r="E3478">
        <v>-1.2063645E-2</v>
      </c>
    </row>
    <row r="3479" spans="1:5" x14ac:dyDescent="0.3">
      <c r="A3479" s="8">
        <v>83</v>
      </c>
      <c r="B3479" s="8">
        <v>75</v>
      </c>
      <c r="C3479" s="8">
        <v>3613</v>
      </c>
      <c r="D3479" s="16">
        <v>-4.9902910000000002E-2</v>
      </c>
      <c r="E3479">
        <v>-2.4951455000000001E-2</v>
      </c>
    </row>
    <row r="3480" spans="1:5" x14ac:dyDescent="0.3">
      <c r="A3480" s="8">
        <v>83</v>
      </c>
      <c r="B3480" s="8">
        <v>76</v>
      </c>
      <c r="C3480" s="8">
        <v>3635</v>
      </c>
      <c r="D3480" s="16">
        <v>-2.7863789999999999E-2</v>
      </c>
      <c r="E3480">
        <v>-1.3931895E-2</v>
      </c>
    </row>
    <row r="3481" spans="1:5" x14ac:dyDescent="0.3">
      <c r="A3481" s="8">
        <v>83</v>
      </c>
      <c r="B3481" s="8">
        <v>77</v>
      </c>
      <c r="C3481" s="8">
        <v>3629</v>
      </c>
      <c r="D3481" s="16">
        <v>-5.1758000000000004E-3</v>
      </c>
      <c r="E3481">
        <v>-2.5879000000000002E-3</v>
      </c>
    </row>
    <row r="3482" spans="1:5" x14ac:dyDescent="0.3">
      <c r="A3482" s="8">
        <v>83</v>
      </c>
      <c r="B3482" s="8">
        <v>78</v>
      </c>
      <c r="C3482" s="8">
        <v>3627</v>
      </c>
      <c r="D3482" s="16">
        <v>2.8745969999999999E-2</v>
      </c>
      <c r="E3482">
        <v>1.4372985E-2</v>
      </c>
    </row>
    <row r="3483" spans="1:5" x14ac:dyDescent="0.3">
      <c r="A3483" s="8">
        <v>83</v>
      </c>
      <c r="B3483" s="8">
        <v>79</v>
      </c>
      <c r="C3483" s="8">
        <v>3591</v>
      </c>
      <c r="D3483" s="16">
        <v>-6.8095039999999996E-4</v>
      </c>
      <c r="E3483">
        <v>-3.4047519999999998E-4</v>
      </c>
    </row>
    <row r="3484" spans="1:5" x14ac:dyDescent="0.3">
      <c r="A3484" s="8">
        <v>83</v>
      </c>
      <c r="B3484" s="8">
        <v>80</v>
      </c>
      <c r="C3484" s="8">
        <v>3623</v>
      </c>
      <c r="D3484" s="16">
        <v>2.4715790000000001E-2</v>
      </c>
      <c r="E3484">
        <v>1.2357895000000001E-2</v>
      </c>
    </row>
    <row r="3485" spans="1:5" x14ac:dyDescent="0.3">
      <c r="A3485" s="8">
        <v>83</v>
      </c>
      <c r="B3485" s="8">
        <v>81</v>
      </c>
      <c r="C3485" s="8">
        <v>3629</v>
      </c>
      <c r="D3485" s="16">
        <v>-2.582067E-2</v>
      </c>
      <c r="E3485">
        <v>-1.2910335E-2</v>
      </c>
    </row>
    <row r="3486" spans="1:5" x14ac:dyDescent="0.3">
      <c r="A3486" s="8">
        <v>83</v>
      </c>
      <c r="B3486" s="8">
        <v>82</v>
      </c>
      <c r="C3486" s="8">
        <v>3619</v>
      </c>
      <c r="D3486" s="16">
        <v>-1.1666370000000001E-2</v>
      </c>
      <c r="E3486">
        <v>-5.8331850000000003E-3</v>
      </c>
    </row>
    <row r="3487" spans="1:5" x14ac:dyDescent="0.3">
      <c r="A3487" s="8">
        <v>83</v>
      </c>
      <c r="B3487" s="8">
        <v>83</v>
      </c>
      <c r="C3487" s="8">
        <v>3905</v>
      </c>
      <c r="D3487" s="16">
        <v>1.0632790000000001</v>
      </c>
      <c r="E3487"/>
    </row>
    <row r="3488" spans="1:5" x14ac:dyDescent="0.3">
      <c r="A3488" s="8">
        <v>84</v>
      </c>
      <c r="B3488" s="8">
        <v>1</v>
      </c>
      <c r="C3488" s="8">
        <v>3597</v>
      </c>
      <c r="D3488" s="16">
        <v>-4.0753070000000002E-2</v>
      </c>
      <c r="E3488">
        <v>-2.0376535000000001E-2</v>
      </c>
    </row>
    <row r="3489" spans="1:5" x14ac:dyDescent="0.3">
      <c r="A3489" s="8">
        <v>84</v>
      </c>
      <c r="B3489" s="8">
        <v>2</v>
      </c>
      <c r="C3489" s="8">
        <v>3582</v>
      </c>
      <c r="D3489" s="16">
        <v>-4.338417E-2</v>
      </c>
      <c r="E3489">
        <v>-2.1692085E-2</v>
      </c>
    </row>
    <row r="3490" spans="1:5" x14ac:dyDescent="0.3">
      <c r="A3490" s="8">
        <v>84</v>
      </c>
      <c r="B3490" s="8">
        <v>3</v>
      </c>
      <c r="C3490" s="8">
        <v>3590</v>
      </c>
      <c r="D3490" s="16">
        <v>-1.4401870000000001E-2</v>
      </c>
      <c r="E3490">
        <v>-7.2009350000000003E-3</v>
      </c>
    </row>
    <row r="3491" spans="1:5" x14ac:dyDescent="0.3">
      <c r="A3491" s="8">
        <v>84</v>
      </c>
      <c r="B3491" s="8">
        <v>4</v>
      </c>
      <c r="C3491" s="8">
        <v>3548</v>
      </c>
      <c r="D3491" s="16">
        <v>-1.7453489999999999E-2</v>
      </c>
      <c r="E3491">
        <v>-8.7267449999999993E-3</v>
      </c>
    </row>
    <row r="3492" spans="1:5" x14ac:dyDescent="0.3">
      <c r="A3492" s="8">
        <v>84</v>
      </c>
      <c r="B3492" s="8">
        <v>5</v>
      </c>
      <c r="C3492" s="8">
        <v>3569</v>
      </c>
      <c r="D3492" s="16">
        <v>4.2730360000000002E-2</v>
      </c>
      <c r="E3492">
        <v>2.1365180000000001E-2</v>
      </c>
    </row>
    <row r="3493" spans="1:5" x14ac:dyDescent="0.3">
      <c r="A3493" s="8">
        <v>84</v>
      </c>
      <c r="B3493" s="8">
        <v>6</v>
      </c>
      <c r="C3493" s="8">
        <v>3572</v>
      </c>
      <c r="D3493" s="16">
        <v>-9.6853960000000006E-3</v>
      </c>
      <c r="E3493">
        <v>-4.8426980000000003E-3</v>
      </c>
    </row>
    <row r="3494" spans="1:5" x14ac:dyDescent="0.3">
      <c r="A3494" s="8">
        <v>84</v>
      </c>
      <c r="B3494" s="8">
        <v>7</v>
      </c>
      <c r="C3494" s="8">
        <v>3540</v>
      </c>
      <c r="D3494" s="16">
        <v>-4.6855250000000001E-2</v>
      </c>
      <c r="E3494">
        <v>-2.3427625000000001E-2</v>
      </c>
    </row>
    <row r="3495" spans="1:5" x14ac:dyDescent="0.3">
      <c r="A3495" s="8">
        <v>84</v>
      </c>
      <c r="B3495" s="8">
        <v>8</v>
      </c>
      <c r="C3495" s="8">
        <v>3566</v>
      </c>
      <c r="D3495" s="16">
        <v>-2.7815240000000001E-2</v>
      </c>
      <c r="E3495">
        <v>-1.3907620000000001E-2</v>
      </c>
    </row>
    <row r="3496" spans="1:5" x14ac:dyDescent="0.3">
      <c r="A3496" s="8">
        <v>84</v>
      </c>
      <c r="B3496" s="8">
        <v>9</v>
      </c>
      <c r="C3496" s="8">
        <v>3580</v>
      </c>
      <c r="D3496" s="16">
        <v>1.668087E-2</v>
      </c>
      <c r="E3496">
        <v>8.3404350000000002E-3</v>
      </c>
    </row>
    <row r="3497" spans="1:5" x14ac:dyDescent="0.3">
      <c r="A3497" s="8">
        <v>84</v>
      </c>
      <c r="B3497" s="8">
        <v>10</v>
      </c>
      <c r="C3497" s="8">
        <v>3581</v>
      </c>
      <c r="D3497" s="16">
        <v>3.2257380000000002E-2</v>
      </c>
      <c r="E3497">
        <v>1.6128690000000001E-2</v>
      </c>
    </row>
    <row r="3498" spans="1:5" x14ac:dyDescent="0.3">
      <c r="A3498" s="8">
        <v>84</v>
      </c>
      <c r="B3498" s="8">
        <v>11</v>
      </c>
      <c r="C3498" s="8">
        <v>3570</v>
      </c>
      <c r="D3498" s="16">
        <v>-1.531953E-2</v>
      </c>
      <c r="E3498">
        <v>-7.6597649999999998E-3</v>
      </c>
    </row>
    <row r="3499" spans="1:5" x14ac:dyDescent="0.3">
      <c r="A3499" s="8">
        <v>84</v>
      </c>
      <c r="B3499" s="8">
        <v>12</v>
      </c>
      <c r="C3499" s="8">
        <v>3587</v>
      </c>
      <c r="D3499" s="16">
        <v>1.497572E-3</v>
      </c>
      <c r="E3499">
        <v>7.4878599999999998E-4</v>
      </c>
    </row>
    <row r="3500" spans="1:5" x14ac:dyDescent="0.3">
      <c r="A3500" s="8">
        <v>84</v>
      </c>
      <c r="B3500" s="8">
        <v>13</v>
      </c>
      <c r="C3500" s="8">
        <v>3576</v>
      </c>
      <c r="D3500" s="16">
        <v>-3.192599E-3</v>
      </c>
      <c r="E3500">
        <v>-1.5962995E-3</v>
      </c>
    </row>
    <row r="3501" spans="1:5" x14ac:dyDescent="0.3">
      <c r="A3501" s="8">
        <v>84</v>
      </c>
      <c r="B3501" s="8">
        <v>14</v>
      </c>
      <c r="C3501" s="8">
        <v>3559</v>
      </c>
      <c r="D3501" s="16">
        <v>-6.8677600000000005E-2</v>
      </c>
      <c r="E3501">
        <v>-3.4338800000000003E-2</v>
      </c>
    </row>
    <row r="3502" spans="1:5" x14ac:dyDescent="0.3">
      <c r="A3502" s="8">
        <v>84</v>
      </c>
      <c r="B3502" s="8">
        <v>15</v>
      </c>
      <c r="C3502" s="8">
        <v>3592</v>
      </c>
      <c r="D3502" s="16">
        <v>8.030077E-3</v>
      </c>
      <c r="E3502">
        <v>4.0150385E-3</v>
      </c>
    </row>
    <row r="3503" spans="1:5" x14ac:dyDescent="0.3">
      <c r="A3503" s="8">
        <v>84</v>
      </c>
      <c r="B3503" s="8">
        <v>16</v>
      </c>
      <c r="C3503" s="8">
        <v>3560</v>
      </c>
      <c r="D3503" s="16">
        <v>-2.6718189999999999E-2</v>
      </c>
      <c r="E3503">
        <v>-1.3359095E-2</v>
      </c>
    </row>
    <row r="3504" spans="1:5" x14ac:dyDescent="0.3">
      <c r="A3504" s="8">
        <v>84</v>
      </c>
      <c r="B3504" s="8">
        <v>17</v>
      </c>
      <c r="C3504" s="8">
        <v>3582</v>
      </c>
      <c r="D3504" s="16">
        <v>-2.1656060000000001E-2</v>
      </c>
      <c r="E3504">
        <v>-1.0828030000000001E-2</v>
      </c>
    </row>
    <row r="3505" spans="1:5" x14ac:dyDescent="0.3">
      <c r="A3505" s="8">
        <v>84</v>
      </c>
      <c r="B3505" s="8">
        <v>18</v>
      </c>
      <c r="C3505" s="8">
        <v>3581</v>
      </c>
      <c r="D3505" s="16">
        <v>-5.3870990000000001E-2</v>
      </c>
      <c r="E3505">
        <v>-2.6935495E-2</v>
      </c>
    </row>
    <row r="3506" spans="1:5" x14ac:dyDescent="0.3">
      <c r="A3506" s="8">
        <v>84</v>
      </c>
      <c r="B3506" s="8">
        <v>19</v>
      </c>
      <c r="C3506" s="8">
        <v>3544</v>
      </c>
      <c r="D3506" s="16">
        <v>-3.015806E-2</v>
      </c>
      <c r="E3506">
        <v>-1.507903E-2</v>
      </c>
    </row>
    <row r="3507" spans="1:5" x14ac:dyDescent="0.3">
      <c r="A3507" s="8">
        <v>84</v>
      </c>
      <c r="B3507" s="8">
        <v>20</v>
      </c>
      <c r="C3507" s="8">
        <v>3555</v>
      </c>
      <c r="D3507" s="16">
        <v>1.6914810000000001E-3</v>
      </c>
      <c r="E3507">
        <v>8.4574050000000005E-4</v>
      </c>
    </row>
    <row r="3508" spans="1:5" x14ac:dyDescent="0.3">
      <c r="A3508" s="8">
        <v>84</v>
      </c>
      <c r="B3508" s="8">
        <v>21</v>
      </c>
      <c r="C3508" s="8">
        <v>3604</v>
      </c>
      <c r="D3508" s="16">
        <v>-4.8415109999999997E-2</v>
      </c>
      <c r="E3508">
        <v>-2.4207554999999999E-2</v>
      </c>
    </row>
    <row r="3509" spans="1:5" x14ac:dyDescent="0.3">
      <c r="A3509" s="8">
        <v>84</v>
      </c>
      <c r="B3509" s="8">
        <v>22</v>
      </c>
      <c r="C3509" s="8">
        <v>3560</v>
      </c>
      <c r="D3509" s="16">
        <v>-3.0729650000000001E-2</v>
      </c>
      <c r="E3509">
        <v>-1.5364825E-2</v>
      </c>
    </row>
    <row r="3510" spans="1:5" x14ac:dyDescent="0.3">
      <c r="A3510" s="8">
        <v>84</v>
      </c>
      <c r="B3510" s="8">
        <v>23</v>
      </c>
      <c r="C3510" s="8">
        <v>3564</v>
      </c>
      <c r="D3510" s="16">
        <v>-3.7394879999999998E-2</v>
      </c>
      <c r="E3510">
        <v>-1.8697439999999999E-2</v>
      </c>
    </row>
    <row r="3511" spans="1:5" x14ac:dyDescent="0.3">
      <c r="A3511" s="8">
        <v>84</v>
      </c>
      <c r="B3511" s="8">
        <v>24</v>
      </c>
      <c r="C3511" s="8">
        <v>3588</v>
      </c>
      <c r="D3511" s="16">
        <v>-6.5284850000000005E-2</v>
      </c>
      <c r="E3511">
        <v>-3.2642425000000003E-2</v>
      </c>
    </row>
    <row r="3512" spans="1:5" x14ac:dyDescent="0.3">
      <c r="A3512" s="8">
        <v>84</v>
      </c>
      <c r="B3512" s="8">
        <v>25</v>
      </c>
      <c r="C3512" s="8">
        <v>3562</v>
      </c>
      <c r="D3512" s="16">
        <v>-1.5606780000000001E-2</v>
      </c>
      <c r="E3512">
        <v>-7.8033900000000003E-3</v>
      </c>
    </row>
    <row r="3513" spans="1:5" x14ac:dyDescent="0.3">
      <c r="A3513" s="8">
        <v>84</v>
      </c>
      <c r="B3513" s="8">
        <v>26</v>
      </c>
      <c r="C3513" s="8">
        <v>3595</v>
      </c>
      <c r="D3513" s="16">
        <v>7.75978E-3</v>
      </c>
      <c r="E3513">
        <v>3.87989E-3</v>
      </c>
    </row>
    <row r="3514" spans="1:5" x14ac:dyDescent="0.3">
      <c r="A3514" s="8">
        <v>84</v>
      </c>
      <c r="B3514" s="8">
        <v>27</v>
      </c>
      <c r="C3514" s="8">
        <v>3544</v>
      </c>
      <c r="D3514" s="16">
        <v>-4.458529E-2</v>
      </c>
      <c r="E3514">
        <v>-2.2292645E-2</v>
      </c>
    </row>
    <row r="3515" spans="1:5" x14ac:dyDescent="0.3">
      <c r="A3515" s="8">
        <v>84</v>
      </c>
      <c r="B3515" s="8">
        <v>28</v>
      </c>
      <c r="C3515" s="8">
        <v>3535</v>
      </c>
      <c r="D3515" s="16">
        <v>6.2236829999999998E-3</v>
      </c>
      <c r="E3515">
        <v>3.1118414999999999E-3</v>
      </c>
    </row>
    <row r="3516" spans="1:5" x14ac:dyDescent="0.3">
      <c r="A3516" s="8">
        <v>84</v>
      </c>
      <c r="B3516" s="8">
        <v>29</v>
      </c>
      <c r="C3516" s="8">
        <v>3543</v>
      </c>
      <c r="D3516" s="16">
        <v>3.8044040000000001E-2</v>
      </c>
      <c r="E3516">
        <v>1.9022020000000001E-2</v>
      </c>
    </row>
    <row r="3517" spans="1:5" x14ac:dyDescent="0.3">
      <c r="A3517" s="8">
        <v>84</v>
      </c>
      <c r="B3517" s="8">
        <v>30</v>
      </c>
      <c r="C3517" s="8">
        <v>3556</v>
      </c>
      <c r="D3517" s="16">
        <v>-2.6253289999999999E-2</v>
      </c>
      <c r="E3517">
        <v>-1.3126644999999999E-2</v>
      </c>
    </row>
    <row r="3518" spans="1:5" x14ac:dyDescent="0.3">
      <c r="A3518" s="8">
        <v>84</v>
      </c>
      <c r="B3518" s="8">
        <v>31</v>
      </c>
      <c r="C3518" s="8">
        <v>3482</v>
      </c>
      <c r="D3518" s="16">
        <v>1.3491349999999999E-2</v>
      </c>
      <c r="E3518">
        <v>6.7456749999999996E-3</v>
      </c>
    </row>
    <row r="3519" spans="1:5" x14ac:dyDescent="0.3">
      <c r="A3519" s="8">
        <v>84</v>
      </c>
      <c r="B3519" s="8">
        <v>32</v>
      </c>
      <c r="C3519" s="8">
        <v>3549</v>
      </c>
      <c r="D3519" s="16">
        <v>6.4225860000000001E-3</v>
      </c>
      <c r="E3519">
        <v>3.211293E-3</v>
      </c>
    </row>
    <row r="3520" spans="1:5" x14ac:dyDescent="0.3">
      <c r="A3520" s="8">
        <v>84</v>
      </c>
      <c r="B3520" s="8">
        <v>33</v>
      </c>
      <c r="C3520" s="8">
        <v>3581</v>
      </c>
      <c r="D3520" s="16">
        <v>-4.0247489999999997E-2</v>
      </c>
      <c r="E3520">
        <v>-2.0123744999999998E-2</v>
      </c>
    </row>
    <row r="3521" spans="1:5" x14ac:dyDescent="0.3">
      <c r="A3521" s="8">
        <v>84</v>
      </c>
      <c r="B3521" s="8">
        <v>34</v>
      </c>
      <c r="C3521" s="8">
        <v>3587</v>
      </c>
      <c r="D3521" s="16">
        <v>3.4996270000000003E-2</v>
      </c>
      <c r="E3521">
        <v>1.7498135000000001E-2</v>
      </c>
    </row>
    <row r="3522" spans="1:5" x14ac:dyDescent="0.3">
      <c r="A3522" s="8">
        <v>84</v>
      </c>
      <c r="B3522" s="8">
        <v>35</v>
      </c>
      <c r="C3522" s="8">
        <v>3577</v>
      </c>
      <c r="D3522" s="16">
        <v>3.2076529999999999E-2</v>
      </c>
      <c r="E3522">
        <v>1.6038264999999999E-2</v>
      </c>
    </row>
    <row r="3523" spans="1:5" x14ac:dyDescent="0.3">
      <c r="A3523" s="8">
        <v>84</v>
      </c>
      <c r="B3523" s="8">
        <v>36</v>
      </c>
      <c r="C3523" s="8">
        <v>3554</v>
      </c>
      <c r="D3523" s="16">
        <v>-8.0362599999999999E-3</v>
      </c>
      <c r="E3523">
        <v>-4.01813E-3</v>
      </c>
    </row>
    <row r="3524" spans="1:5" x14ac:dyDescent="0.3">
      <c r="A3524" s="8">
        <v>84</v>
      </c>
      <c r="B3524" s="8">
        <v>37</v>
      </c>
      <c r="C3524" s="8">
        <v>3538</v>
      </c>
      <c r="D3524" s="16">
        <v>-1.7167419999999999E-2</v>
      </c>
      <c r="E3524">
        <v>-8.5837099999999996E-3</v>
      </c>
    </row>
    <row r="3525" spans="1:5" x14ac:dyDescent="0.3">
      <c r="A3525" s="8">
        <v>84</v>
      </c>
      <c r="B3525" s="8">
        <v>38</v>
      </c>
      <c r="C3525" s="8">
        <v>3595</v>
      </c>
      <c r="D3525" s="16">
        <v>2.5733160000000001E-2</v>
      </c>
      <c r="E3525">
        <v>1.2866580000000001E-2</v>
      </c>
    </row>
    <row r="3526" spans="1:5" x14ac:dyDescent="0.3">
      <c r="A3526" s="8">
        <v>84</v>
      </c>
      <c r="B3526" s="8">
        <v>39</v>
      </c>
      <c r="C3526" s="8">
        <v>3571</v>
      </c>
      <c r="D3526" s="16">
        <v>-3.3067979999999997E-2</v>
      </c>
      <c r="E3526">
        <v>-1.6533989999999998E-2</v>
      </c>
    </row>
    <row r="3527" spans="1:5" x14ac:dyDescent="0.3">
      <c r="A3527" s="8">
        <v>84</v>
      </c>
      <c r="B3527" s="8">
        <v>40</v>
      </c>
      <c r="C3527" s="8">
        <v>3580</v>
      </c>
      <c r="D3527" s="16">
        <v>-9.2695550000000005E-3</v>
      </c>
      <c r="E3527">
        <v>-4.6347775000000003E-3</v>
      </c>
    </row>
    <row r="3528" spans="1:5" x14ac:dyDescent="0.3">
      <c r="A3528" s="8">
        <v>84</v>
      </c>
      <c r="B3528" s="8">
        <v>41</v>
      </c>
      <c r="C3528" s="8">
        <v>3530</v>
      </c>
      <c r="D3528" s="16">
        <v>1.3397279999999999E-2</v>
      </c>
      <c r="E3528">
        <v>6.6986399999999996E-3</v>
      </c>
    </row>
    <row r="3529" spans="1:5" x14ac:dyDescent="0.3">
      <c r="A3529" s="8">
        <v>84</v>
      </c>
      <c r="B3529" s="8">
        <v>42</v>
      </c>
      <c r="C3529" s="8">
        <v>3571</v>
      </c>
      <c r="D3529" s="16">
        <v>2.3348629999999999E-2</v>
      </c>
      <c r="E3529">
        <v>1.1674314999999999E-2</v>
      </c>
    </row>
    <row r="3530" spans="1:5" x14ac:dyDescent="0.3">
      <c r="A3530" s="8">
        <v>84</v>
      </c>
      <c r="B3530" s="8">
        <v>43</v>
      </c>
      <c r="C3530" s="8">
        <v>3543</v>
      </c>
      <c r="D3530" s="16">
        <v>-5.3624909999999998E-2</v>
      </c>
      <c r="E3530">
        <v>-2.6812454999999999E-2</v>
      </c>
    </row>
    <row r="3531" spans="1:5" x14ac:dyDescent="0.3">
      <c r="A3531" s="8">
        <v>84</v>
      </c>
      <c r="B3531" s="8">
        <v>44</v>
      </c>
      <c r="C3531" s="8">
        <v>3533</v>
      </c>
      <c r="D3531" s="16">
        <v>8.1804890000000009E-3</v>
      </c>
      <c r="E3531">
        <v>4.0902445000000004E-3</v>
      </c>
    </row>
    <row r="3532" spans="1:5" x14ac:dyDescent="0.3">
      <c r="A3532" s="8">
        <v>84</v>
      </c>
      <c r="B3532" s="8">
        <v>45</v>
      </c>
      <c r="C3532" s="8">
        <v>3589</v>
      </c>
      <c r="D3532" s="16">
        <v>1.24712E-2</v>
      </c>
      <c r="E3532">
        <v>6.2356E-3</v>
      </c>
    </row>
    <row r="3533" spans="1:5" x14ac:dyDescent="0.3">
      <c r="A3533" s="8">
        <v>84</v>
      </c>
      <c r="B3533" s="8">
        <v>46</v>
      </c>
      <c r="C3533" s="8">
        <v>3569</v>
      </c>
      <c r="D3533" s="16">
        <v>-1.8653389999999999E-2</v>
      </c>
      <c r="E3533">
        <v>-9.3266949999999994E-3</v>
      </c>
    </row>
    <row r="3534" spans="1:5" x14ac:dyDescent="0.3">
      <c r="A3534" s="8">
        <v>84</v>
      </c>
      <c r="B3534" s="8">
        <v>47</v>
      </c>
      <c r="C3534" s="8">
        <v>3567</v>
      </c>
      <c r="D3534" s="16">
        <v>-4.4578159999999999E-2</v>
      </c>
      <c r="E3534">
        <v>-2.2289079999999999E-2</v>
      </c>
    </row>
    <row r="3535" spans="1:5" x14ac:dyDescent="0.3">
      <c r="A3535" s="8">
        <v>84</v>
      </c>
      <c r="B3535" s="8">
        <v>48</v>
      </c>
      <c r="C3535" s="8">
        <v>3551</v>
      </c>
      <c r="D3535" s="16">
        <v>-6.7965460000000005E-2</v>
      </c>
      <c r="E3535">
        <v>-3.3982730000000003E-2</v>
      </c>
    </row>
    <row r="3536" spans="1:5" x14ac:dyDescent="0.3">
      <c r="A3536" s="8">
        <v>84</v>
      </c>
      <c r="B3536" s="8">
        <v>49</v>
      </c>
      <c r="C3536" s="8">
        <v>3563</v>
      </c>
      <c r="D3536" s="16">
        <v>-4.6665650000000003E-2</v>
      </c>
      <c r="E3536">
        <v>-2.3332825000000001E-2</v>
      </c>
    </row>
    <row r="3537" spans="1:5" x14ac:dyDescent="0.3">
      <c r="A3537" s="8">
        <v>84</v>
      </c>
      <c r="B3537" s="8">
        <v>50</v>
      </c>
      <c r="C3537" s="8">
        <v>3589</v>
      </c>
      <c r="D3537" s="16">
        <v>5.8214639999999998E-2</v>
      </c>
      <c r="E3537">
        <v>2.9107319999999999E-2</v>
      </c>
    </row>
    <row r="3538" spans="1:5" x14ac:dyDescent="0.3">
      <c r="A3538" s="8">
        <v>84</v>
      </c>
      <c r="B3538" s="8">
        <v>51</v>
      </c>
      <c r="C3538" s="8">
        <v>3552</v>
      </c>
      <c r="D3538" s="16">
        <v>-3.6862590000000001E-2</v>
      </c>
      <c r="E3538">
        <v>-1.8431295E-2</v>
      </c>
    </row>
    <row r="3539" spans="1:5" x14ac:dyDescent="0.3">
      <c r="A3539" s="8">
        <v>84</v>
      </c>
      <c r="B3539" s="8">
        <v>52</v>
      </c>
      <c r="C3539" s="8">
        <v>3565</v>
      </c>
      <c r="D3539" s="16">
        <v>-8.2055180000000005E-2</v>
      </c>
      <c r="E3539">
        <v>-4.1027590000000003E-2</v>
      </c>
    </row>
    <row r="3540" spans="1:5" x14ac:dyDescent="0.3">
      <c r="A3540" s="8">
        <v>84</v>
      </c>
      <c r="B3540" s="8">
        <v>53</v>
      </c>
      <c r="C3540" s="8">
        <v>3558</v>
      </c>
      <c r="D3540" s="16">
        <v>-1.0737409999999999E-2</v>
      </c>
      <c r="E3540">
        <v>-5.3687049999999997E-3</v>
      </c>
    </row>
    <row r="3541" spans="1:5" x14ac:dyDescent="0.3">
      <c r="A3541" s="8">
        <v>84</v>
      </c>
      <c r="B3541" s="8">
        <v>54</v>
      </c>
      <c r="C3541" s="8">
        <v>3547</v>
      </c>
      <c r="D3541" s="16">
        <v>-2.353854E-2</v>
      </c>
      <c r="E3541">
        <v>-1.176927E-2</v>
      </c>
    </row>
    <row r="3542" spans="1:5" x14ac:dyDescent="0.3">
      <c r="A3542" s="8">
        <v>84</v>
      </c>
      <c r="B3542" s="8">
        <v>55</v>
      </c>
      <c r="C3542" s="8">
        <v>3577</v>
      </c>
      <c r="D3542" s="16">
        <v>-2.0087580000000001E-2</v>
      </c>
      <c r="E3542">
        <v>-1.004379E-2</v>
      </c>
    </row>
    <row r="3543" spans="1:5" x14ac:dyDescent="0.3">
      <c r="A3543" s="8">
        <v>84</v>
      </c>
      <c r="B3543" s="8">
        <v>56</v>
      </c>
      <c r="C3543" s="8">
        <v>3585</v>
      </c>
      <c r="D3543" s="16">
        <v>1.309373E-2</v>
      </c>
      <c r="E3543">
        <v>6.5468649999999998E-3</v>
      </c>
    </row>
    <row r="3544" spans="1:5" x14ac:dyDescent="0.3">
      <c r="A3544" s="8">
        <v>84</v>
      </c>
      <c r="B3544" s="8">
        <v>57</v>
      </c>
      <c r="C3544" s="8">
        <v>3594</v>
      </c>
      <c r="D3544" s="16">
        <v>5.9512480000000001E-3</v>
      </c>
      <c r="E3544">
        <v>2.9756240000000001E-3</v>
      </c>
    </row>
    <row r="3545" spans="1:5" x14ac:dyDescent="0.3">
      <c r="A3545" s="8">
        <v>84</v>
      </c>
      <c r="B3545" s="8">
        <v>58</v>
      </c>
      <c r="C3545" s="8">
        <v>3558</v>
      </c>
      <c r="D3545" s="16">
        <v>6.5263219999999999E-6</v>
      </c>
      <c r="E3545">
        <v>3.2631609999999999E-6</v>
      </c>
    </row>
    <row r="3546" spans="1:5" x14ac:dyDescent="0.3">
      <c r="A3546" s="8">
        <v>84</v>
      </c>
      <c r="B3546" s="8">
        <v>59</v>
      </c>
      <c r="C3546" s="8">
        <v>3592</v>
      </c>
      <c r="D3546" s="16">
        <v>7.979791E-2</v>
      </c>
      <c r="E3546">
        <v>3.9898955E-2</v>
      </c>
    </row>
    <row r="3547" spans="1:5" x14ac:dyDescent="0.3">
      <c r="A3547" s="8">
        <v>84</v>
      </c>
      <c r="B3547" s="8">
        <v>60</v>
      </c>
      <c r="C3547" s="8">
        <v>3575</v>
      </c>
      <c r="D3547" s="16">
        <v>-4.1618339999999997E-2</v>
      </c>
      <c r="E3547">
        <v>-2.0809169999999998E-2</v>
      </c>
    </row>
    <row r="3548" spans="1:5" x14ac:dyDescent="0.3">
      <c r="A3548" s="8">
        <v>84</v>
      </c>
      <c r="B3548" s="8">
        <v>61</v>
      </c>
      <c r="C3548" s="8">
        <v>3571</v>
      </c>
      <c r="D3548" s="16">
        <v>-2.1505449999999999E-2</v>
      </c>
      <c r="E3548">
        <v>-1.0752724999999999E-2</v>
      </c>
    </row>
    <row r="3549" spans="1:5" x14ac:dyDescent="0.3">
      <c r="A3549" s="8">
        <v>84</v>
      </c>
      <c r="B3549" s="8">
        <v>62</v>
      </c>
      <c r="C3549" s="8">
        <v>3598</v>
      </c>
      <c r="D3549" s="16">
        <v>-3.108064E-2</v>
      </c>
      <c r="E3549">
        <v>-1.554032E-2</v>
      </c>
    </row>
    <row r="3550" spans="1:5" x14ac:dyDescent="0.3">
      <c r="A3550" s="8">
        <v>84</v>
      </c>
      <c r="B3550" s="8">
        <v>63</v>
      </c>
      <c r="C3550" s="8">
        <v>3588</v>
      </c>
      <c r="D3550" s="16">
        <v>-1.714456E-2</v>
      </c>
      <c r="E3550">
        <v>-8.5722799999999998E-3</v>
      </c>
    </row>
    <row r="3551" spans="1:5" x14ac:dyDescent="0.3">
      <c r="A3551" s="8">
        <v>84</v>
      </c>
      <c r="B3551" s="8">
        <v>64</v>
      </c>
      <c r="C3551" s="8">
        <v>3559</v>
      </c>
      <c r="D3551" s="16">
        <v>2.9679760000000002E-3</v>
      </c>
      <c r="E3551">
        <v>1.4839880000000001E-3</v>
      </c>
    </row>
    <row r="3552" spans="1:5" x14ac:dyDescent="0.3">
      <c r="A3552" s="8">
        <v>84</v>
      </c>
      <c r="B3552" s="8">
        <v>65</v>
      </c>
      <c r="C3552" s="8">
        <v>3584</v>
      </c>
      <c r="D3552" s="16">
        <v>-3.2313219999999997E-2</v>
      </c>
      <c r="E3552">
        <v>-1.6156609999999998E-2</v>
      </c>
    </row>
    <row r="3553" spans="1:5" x14ac:dyDescent="0.3">
      <c r="A3553" s="8">
        <v>84</v>
      </c>
      <c r="B3553" s="8">
        <v>66</v>
      </c>
      <c r="C3553" s="8">
        <v>3600</v>
      </c>
      <c r="D3553" s="16">
        <v>5.5292819999999999E-3</v>
      </c>
      <c r="E3553">
        <v>2.764641E-3</v>
      </c>
    </row>
    <row r="3554" spans="1:5" x14ac:dyDescent="0.3">
      <c r="A3554" s="8">
        <v>84</v>
      </c>
      <c r="B3554" s="8">
        <v>67</v>
      </c>
      <c r="C3554" s="8">
        <v>3575</v>
      </c>
      <c r="D3554" s="16">
        <v>4.0978550000000002E-2</v>
      </c>
      <c r="E3554">
        <v>2.0489275000000001E-2</v>
      </c>
    </row>
    <row r="3555" spans="1:5" x14ac:dyDescent="0.3">
      <c r="A3555" s="8">
        <v>84</v>
      </c>
      <c r="B3555" s="8">
        <v>68</v>
      </c>
      <c r="C3555" s="8">
        <v>3546</v>
      </c>
      <c r="D3555" s="16">
        <v>-3.6323669999999998E-4</v>
      </c>
      <c r="E3555">
        <v>-1.8161834999999999E-4</v>
      </c>
    </row>
    <row r="3556" spans="1:5" x14ac:dyDescent="0.3">
      <c r="A3556" s="8">
        <v>84</v>
      </c>
      <c r="B3556" s="8">
        <v>69</v>
      </c>
      <c r="C3556" s="8">
        <v>3569</v>
      </c>
      <c r="D3556" s="16">
        <v>-4.8256739999999999E-2</v>
      </c>
      <c r="E3556">
        <v>-2.412837E-2</v>
      </c>
    </row>
    <row r="3557" spans="1:5" x14ac:dyDescent="0.3">
      <c r="A3557" s="8">
        <v>84</v>
      </c>
      <c r="B3557" s="8">
        <v>70</v>
      </c>
      <c r="C3557" s="8">
        <v>3566</v>
      </c>
      <c r="D3557" s="16">
        <v>-2.2717979999999999E-2</v>
      </c>
      <c r="E3557">
        <v>-1.1358989999999999E-2</v>
      </c>
    </row>
    <row r="3558" spans="1:5" x14ac:dyDescent="0.3">
      <c r="A3558" s="8">
        <v>84</v>
      </c>
      <c r="B3558" s="8">
        <v>71</v>
      </c>
      <c r="C3558" s="8">
        <v>3550</v>
      </c>
      <c r="D3558" s="16">
        <v>-1.718214E-3</v>
      </c>
      <c r="E3558">
        <v>-8.5910700000000001E-4</v>
      </c>
    </row>
    <row r="3559" spans="1:5" x14ac:dyDescent="0.3">
      <c r="A3559" s="8">
        <v>84</v>
      </c>
      <c r="B3559" s="8">
        <v>72</v>
      </c>
      <c r="C3559" s="8">
        <v>3545</v>
      </c>
      <c r="D3559" s="16">
        <v>2.641596E-3</v>
      </c>
      <c r="E3559">
        <v>1.320798E-3</v>
      </c>
    </row>
    <row r="3560" spans="1:5" x14ac:dyDescent="0.3">
      <c r="A3560" s="8">
        <v>84</v>
      </c>
      <c r="B3560" s="8">
        <v>73</v>
      </c>
      <c r="C3560" s="8">
        <v>3575</v>
      </c>
      <c r="D3560" s="16">
        <v>-6.1898700000000001E-3</v>
      </c>
      <c r="E3560">
        <v>-3.094935E-3</v>
      </c>
    </row>
    <row r="3561" spans="1:5" x14ac:dyDescent="0.3">
      <c r="A3561" s="8">
        <v>84</v>
      </c>
      <c r="B3561" s="8">
        <v>74</v>
      </c>
      <c r="C3561" s="8">
        <v>3562</v>
      </c>
      <c r="D3561" s="16">
        <v>2.46813E-2</v>
      </c>
      <c r="E3561">
        <v>1.234065E-2</v>
      </c>
    </row>
    <row r="3562" spans="1:5" x14ac:dyDescent="0.3">
      <c r="A3562" s="8">
        <v>84</v>
      </c>
      <c r="B3562" s="8">
        <v>75</v>
      </c>
      <c r="C3562" s="8">
        <v>3551</v>
      </c>
      <c r="D3562" s="16">
        <v>-3.3219270000000002E-2</v>
      </c>
      <c r="E3562">
        <v>-1.6609635000000001E-2</v>
      </c>
    </row>
    <row r="3563" spans="1:5" x14ac:dyDescent="0.3">
      <c r="A3563" s="8">
        <v>84</v>
      </c>
      <c r="B3563" s="8">
        <v>76</v>
      </c>
      <c r="C3563" s="8">
        <v>3567</v>
      </c>
      <c r="D3563" s="16">
        <v>-3.2580659999999997E-2</v>
      </c>
      <c r="E3563">
        <v>-1.6290329999999999E-2</v>
      </c>
    </row>
    <row r="3564" spans="1:5" x14ac:dyDescent="0.3">
      <c r="A3564" s="8">
        <v>84</v>
      </c>
      <c r="B3564" s="8">
        <v>77</v>
      </c>
      <c r="C3564" s="8">
        <v>3585</v>
      </c>
      <c r="D3564" s="16">
        <v>-4.9932860000000004E-3</v>
      </c>
      <c r="E3564">
        <v>-2.4966430000000002E-3</v>
      </c>
    </row>
    <row r="3565" spans="1:5" x14ac:dyDescent="0.3">
      <c r="A3565" s="8">
        <v>84</v>
      </c>
      <c r="B3565" s="8">
        <v>78</v>
      </c>
      <c r="C3565" s="8">
        <v>3576</v>
      </c>
      <c r="D3565" s="16">
        <v>-2.5304989999999999E-2</v>
      </c>
      <c r="E3565">
        <v>-1.2652495E-2</v>
      </c>
    </row>
    <row r="3566" spans="1:5" x14ac:dyDescent="0.3">
      <c r="A3566" s="8">
        <v>84</v>
      </c>
      <c r="B3566" s="8">
        <v>79</v>
      </c>
      <c r="C3566" s="8">
        <v>3541</v>
      </c>
      <c r="D3566" s="16">
        <v>2.0251740000000001E-2</v>
      </c>
      <c r="E3566">
        <v>1.012587E-2</v>
      </c>
    </row>
    <row r="3567" spans="1:5" x14ac:dyDescent="0.3">
      <c r="A3567" s="8">
        <v>84</v>
      </c>
      <c r="B3567" s="8">
        <v>80</v>
      </c>
      <c r="C3567" s="8">
        <v>3585</v>
      </c>
      <c r="D3567" s="16">
        <v>-4.242489E-2</v>
      </c>
      <c r="E3567">
        <v>-2.1212445E-2</v>
      </c>
    </row>
    <row r="3568" spans="1:5" x14ac:dyDescent="0.3">
      <c r="A3568" s="8">
        <v>84</v>
      </c>
      <c r="B3568" s="8">
        <v>81</v>
      </c>
      <c r="C3568" s="8">
        <v>3569</v>
      </c>
      <c r="D3568" s="16">
        <v>-8.1837720000000006E-3</v>
      </c>
      <c r="E3568">
        <v>-4.0918860000000003E-3</v>
      </c>
    </row>
    <row r="3569" spans="1:5" x14ac:dyDescent="0.3">
      <c r="A3569" s="8">
        <v>84</v>
      </c>
      <c r="B3569" s="8">
        <v>82</v>
      </c>
      <c r="C3569" s="8">
        <v>3568</v>
      </c>
      <c r="D3569" s="16">
        <v>-4.7644449999999998E-2</v>
      </c>
      <c r="E3569">
        <v>-2.3822224999999999E-2</v>
      </c>
    </row>
    <row r="3570" spans="1:5" x14ac:dyDescent="0.3">
      <c r="A3570" s="8">
        <v>84</v>
      </c>
      <c r="B3570" s="8">
        <v>83</v>
      </c>
      <c r="C3570" s="8">
        <v>3592</v>
      </c>
      <c r="D3570" s="16">
        <v>-2.163928E-2</v>
      </c>
      <c r="E3570">
        <v>-1.081964E-2</v>
      </c>
    </row>
    <row r="3571" spans="1:5" x14ac:dyDescent="0.3">
      <c r="A3571" s="8">
        <v>84</v>
      </c>
      <c r="B3571" s="8">
        <v>84</v>
      </c>
      <c r="C3571" s="8">
        <v>3848</v>
      </c>
      <c r="D3571" s="16">
        <v>1.013112</v>
      </c>
      <c r="E3571"/>
    </row>
    <row r="3572" spans="1:5" x14ac:dyDescent="0.3">
      <c r="A3572" s="8">
        <v>85</v>
      </c>
      <c r="B3572" s="8">
        <v>1</v>
      </c>
      <c r="C3572" s="8">
        <v>3610</v>
      </c>
      <c r="D3572" s="16">
        <v>-2.2067259999999998E-2</v>
      </c>
      <c r="E3572">
        <v>-1.1033629999999999E-2</v>
      </c>
    </row>
    <row r="3573" spans="1:5" x14ac:dyDescent="0.3">
      <c r="A3573" s="8">
        <v>85</v>
      </c>
      <c r="B3573" s="8">
        <v>2</v>
      </c>
      <c r="C3573" s="8">
        <v>3592</v>
      </c>
      <c r="D3573" s="16">
        <v>2.1815609999999999E-2</v>
      </c>
      <c r="E3573">
        <v>1.0907805E-2</v>
      </c>
    </row>
    <row r="3574" spans="1:5" x14ac:dyDescent="0.3">
      <c r="A3574" s="8">
        <v>85</v>
      </c>
      <c r="B3574" s="8">
        <v>3</v>
      </c>
      <c r="C3574" s="8">
        <v>3621</v>
      </c>
      <c r="D3574" s="16">
        <v>-3.9641080000000002E-2</v>
      </c>
      <c r="E3574">
        <v>-1.9820540000000001E-2</v>
      </c>
    </row>
    <row r="3575" spans="1:5" x14ac:dyDescent="0.3">
      <c r="A3575" s="8">
        <v>85</v>
      </c>
      <c r="B3575" s="8">
        <v>4</v>
      </c>
      <c r="C3575" s="8">
        <v>3578</v>
      </c>
      <c r="D3575" s="16">
        <v>-1.9665869999999998E-2</v>
      </c>
      <c r="E3575">
        <v>-9.8329349999999992E-3</v>
      </c>
    </row>
    <row r="3576" spans="1:5" x14ac:dyDescent="0.3">
      <c r="A3576" s="8">
        <v>85</v>
      </c>
      <c r="B3576" s="8">
        <v>5</v>
      </c>
      <c r="C3576" s="8">
        <v>3584</v>
      </c>
      <c r="D3576" s="16">
        <v>-4.8654219999999998E-2</v>
      </c>
      <c r="E3576">
        <v>-2.4327109999999999E-2</v>
      </c>
    </row>
    <row r="3577" spans="1:5" x14ac:dyDescent="0.3">
      <c r="A3577" s="8">
        <v>85</v>
      </c>
      <c r="B3577" s="8">
        <v>6</v>
      </c>
      <c r="C3577" s="8">
        <v>3591</v>
      </c>
      <c r="D3577" s="16">
        <v>-9.9169099999999993E-3</v>
      </c>
      <c r="E3577">
        <v>-4.9584549999999996E-3</v>
      </c>
    </row>
    <row r="3578" spans="1:5" x14ac:dyDescent="0.3">
      <c r="A3578" s="8">
        <v>85</v>
      </c>
      <c r="B3578" s="8">
        <v>7</v>
      </c>
      <c r="C3578" s="8">
        <v>3552</v>
      </c>
      <c r="D3578" s="16">
        <v>9.2496620000000005E-3</v>
      </c>
      <c r="E3578">
        <v>4.6248310000000003E-3</v>
      </c>
    </row>
    <row r="3579" spans="1:5" x14ac:dyDescent="0.3">
      <c r="A3579" s="8">
        <v>85</v>
      </c>
      <c r="B3579" s="8">
        <v>8</v>
      </c>
      <c r="C3579" s="8">
        <v>3594</v>
      </c>
      <c r="D3579" s="16">
        <v>1.3324610000000001E-2</v>
      </c>
      <c r="E3579">
        <v>6.6623050000000003E-3</v>
      </c>
    </row>
    <row r="3580" spans="1:5" x14ac:dyDescent="0.3">
      <c r="A3580" s="8">
        <v>85</v>
      </c>
      <c r="B3580" s="8">
        <v>9</v>
      </c>
      <c r="C3580" s="8">
        <v>3595</v>
      </c>
      <c r="D3580" s="16">
        <v>-3.2269079999999999E-2</v>
      </c>
      <c r="E3580">
        <v>-1.6134539999999999E-2</v>
      </c>
    </row>
    <row r="3581" spans="1:5" x14ac:dyDescent="0.3">
      <c r="A3581" s="8">
        <v>85</v>
      </c>
      <c r="B3581" s="8">
        <v>10</v>
      </c>
      <c r="C3581" s="8">
        <v>3598</v>
      </c>
      <c r="D3581" s="16">
        <v>5.6977149999999999E-3</v>
      </c>
      <c r="E3581">
        <v>2.8488574999999999E-3</v>
      </c>
    </row>
    <row r="3582" spans="1:5" x14ac:dyDescent="0.3">
      <c r="A3582" s="8">
        <v>85</v>
      </c>
      <c r="B3582" s="8">
        <v>11</v>
      </c>
      <c r="C3582" s="8">
        <v>3597</v>
      </c>
      <c r="D3582" s="16">
        <v>-3.411583E-2</v>
      </c>
      <c r="E3582">
        <v>-1.7057915E-2</v>
      </c>
    </row>
    <row r="3583" spans="1:5" x14ac:dyDescent="0.3">
      <c r="A3583" s="8">
        <v>85</v>
      </c>
      <c r="B3583" s="8">
        <v>12</v>
      </c>
      <c r="C3583" s="8">
        <v>3606</v>
      </c>
      <c r="D3583" s="16">
        <v>8.9726270000000004E-3</v>
      </c>
      <c r="E3583">
        <v>4.4863135000000002E-3</v>
      </c>
    </row>
    <row r="3584" spans="1:5" x14ac:dyDescent="0.3">
      <c r="A3584" s="8">
        <v>85</v>
      </c>
      <c r="B3584" s="8">
        <v>13</v>
      </c>
      <c r="C3584" s="8">
        <v>3591</v>
      </c>
      <c r="D3584" s="16">
        <v>-2.1321099999999999E-2</v>
      </c>
      <c r="E3584">
        <v>-1.066055E-2</v>
      </c>
    </row>
    <row r="3585" spans="1:5" x14ac:dyDescent="0.3">
      <c r="A3585" s="8">
        <v>85</v>
      </c>
      <c r="B3585" s="8">
        <v>14</v>
      </c>
      <c r="C3585" s="8">
        <v>3584</v>
      </c>
      <c r="D3585" s="16">
        <v>-1.3035140000000001E-2</v>
      </c>
      <c r="E3585">
        <v>-6.5175700000000003E-3</v>
      </c>
    </row>
    <row r="3586" spans="1:5" x14ac:dyDescent="0.3">
      <c r="A3586" s="8">
        <v>85</v>
      </c>
      <c r="B3586" s="8">
        <v>15</v>
      </c>
      <c r="C3586" s="8">
        <v>3606</v>
      </c>
      <c r="D3586" s="16">
        <v>-1.253309E-2</v>
      </c>
      <c r="E3586">
        <v>-6.2665450000000001E-3</v>
      </c>
    </row>
    <row r="3587" spans="1:5" x14ac:dyDescent="0.3">
      <c r="A3587" s="8">
        <v>85</v>
      </c>
      <c r="B3587" s="8">
        <v>16</v>
      </c>
      <c r="C3587" s="8">
        <v>3582</v>
      </c>
      <c r="D3587" s="16">
        <v>-3.4333219999999999E-3</v>
      </c>
      <c r="E3587">
        <v>-1.716661E-3</v>
      </c>
    </row>
    <row r="3588" spans="1:5" x14ac:dyDescent="0.3">
      <c r="A3588" s="8">
        <v>85</v>
      </c>
      <c r="B3588" s="8">
        <v>17</v>
      </c>
      <c r="C3588" s="8">
        <v>3597</v>
      </c>
      <c r="D3588" s="16">
        <v>-2.800795E-2</v>
      </c>
      <c r="E3588">
        <v>-1.4003975E-2</v>
      </c>
    </row>
    <row r="3589" spans="1:5" x14ac:dyDescent="0.3">
      <c r="A3589" s="8">
        <v>85</v>
      </c>
      <c r="B3589" s="8">
        <v>18</v>
      </c>
      <c r="C3589" s="8">
        <v>3610</v>
      </c>
      <c r="D3589" s="16">
        <v>8.6394740000000003E-4</v>
      </c>
      <c r="E3589">
        <v>4.3197370000000001E-4</v>
      </c>
    </row>
    <row r="3590" spans="1:5" x14ac:dyDescent="0.3">
      <c r="A3590" s="8">
        <v>85</v>
      </c>
      <c r="B3590" s="8">
        <v>19</v>
      </c>
      <c r="C3590" s="8">
        <v>3566</v>
      </c>
      <c r="D3590" s="16">
        <v>7.5929559999999999E-4</v>
      </c>
      <c r="E3590">
        <v>3.7964779999999999E-4</v>
      </c>
    </row>
    <row r="3591" spans="1:5" x14ac:dyDescent="0.3">
      <c r="A3591" s="8">
        <v>85</v>
      </c>
      <c r="B3591" s="8">
        <v>20</v>
      </c>
      <c r="C3591" s="8">
        <v>3583</v>
      </c>
      <c r="D3591" s="16">
        <v>-3.6350340000000002E-2</v>
      </c>
      <c r="E3591">
        <v>-1.8175170000000001E-2</v>
      </c>
    </row>
    <row r="3592" spans="1:5" x14ac:dyDescent="0.3">
      <c r="A3592" s="8">
        <v>85</v>
      </c>
      <c r="B3592" s="8">
        <v>21</v>
      </c>
      <c r="C3592" s="8">
        <v>3621</v>
      </c>
      <c r="D3592" s="16">
        <v>-5.8329560000000003E-3</v>
      </c>
      <c r="E3592">
        <v>-2.9164780000000001E-3</v>
      </c>
    </row>
    <row r="3593" spans="1:5" x14ac:dyDescent="0.3">
      <c r="A3593" s="8">
        <v>85</v>
      </c>
      <c r="B3593" s="8">
        <v>22</v>
      </c>
      <c r="C3593" s="8">
        <v>3588</v>
      </c>
      <c r="D3593" s="16">
        <v>1.521351E-2</v>
      </c>
      <c r="E3593">
        <v>7.6067549999999998E-3</v>
      </c>
    </row>
    <row r="3594" spans="1:5" x14ac:dyDescent="0.3">
      <c r="A3594" s="8">
        <v>85</v>
      </c>
      <c r="B3594" s="8">
        <v>23</v>
      </c>
      <c r="C3594" s="8">
        <v>3584</v>
      </c>
      <c r="D3594" s="16">
        <v>-2.6956109999999998E-2</v>
      </c>
      <c r="E3594">
        <v>-1.3478054999999999E-2</v>
      </c>
    </row>
    <row r="3595" spans="1:5" x14ac:dyDescent="0.3">
      <c r="A3595" s="8">
        <v>85</v>
      </c>
      <c r="B3595" s="8">
        <v>24</v>
      </c>
      <c r="C3595" s="8">
        <v>3619</v>
      </c>
      <c r="D3595" s="16">
        <v>-1.7060280000000001E-2</v>
      </c>
      <c r="E3595">
        <v>-8.5301400000000003E-3</v>
      </c>
    </row>
    <row r="3596" spans="1:5" x14ac:dyDescent="0.3">
      <c r="A3596" s="8">
        <v>85</v>
      </c>
      <c r="B3596" s="8">
        <v>25</v>
      </c>
      <c r="C3596" s="8">
        <v>3587</v>
      </c>
      <c r="D3596" s="16">
        <v>-6.298107E-2</v>
      </c>
      <c r="E3596">
        <v>-3.1490535E-2</v>
      </c>
    </row>
    <row r="3597" spans="1:5" x14ac:dyDescent="0.3">
      <c r="A3597" s="8">
        <v>85</v>
      </c>
      <c r="B3597" s="8">
        <v>26</v>
      </c>
      <c r="C3597" s="8">
        <v>3616</v>
      </c>
      <c r="D3597" s="16">
        <v>-2.0789129999999999E-2</v>
      </c>
      <c r="E3597">
        <v>-1.0394565E-2</v>
      </c>
    </row>
    <row r="3598" spans="1:5" x14ac:dyDescent="0.3">
      <c r="A3598" s="8">
        <v>85</v>
      </c>
      <c r="B3598" s="8">
        <v>27</v>
      </c>
      <c r="C3598" s="8">
        <v>3586</v>
      </c>
      <c r="D3598" s="16">
        <v>7.7060380000000001E-3</v>
      </c>
      <c r="E3598">
        <v>3.8530190000000001E-3</v>
      </c>
    </row>
    <row r="3599" spans="1:5" x14ac:dyDescent="0.3">
      <c r="A3599" s="8">
        <v>85</v>
      </c>
      <c r="B3599" s="8">
        <v>28</v>
      </c>
      <c r="C3599" s="8">
        <v>3533</v>
      </c>
      <c r="D3599" s="16">
        <v>-1.7950379999999998E-2</v>
      </c>
      <c r="E3599">
        <v>-8.9751899999999992E-3</v>
      </c>
    </row>
    <row r="3600" spans="1:5" x14ac:dyDescent="0.3">
      <c r="A3600" s="8">
        <v>85</v>
      </c>
      <c r="B3600" s="8">
        <v>29</v>
      </c>
      <c r="C3600" s="8">
        <v>3560</v>
      </c>
      <c r="D3600" s="16">
        <v>-3.3858779999999998E-2</v>
      </c>
      <c r="E3600">
        <v>-1.6929389999999999E-2</v>
      </c>
    </row>
    <row r="3601" spans="1:5" x14ac:dyDescent="0.3">
      <c r="A3601" s="8">
        <v>85</v>
      </c>
      <c r="B3601" s="8">
        <v>30</v>
      </c>
      <c r="C3601" s="8">
        <v>3576</v>
      </c>
      <c r="D3601" s="16">
        <v>-2.74802E-2</v>
      </c>
      <c r="E3601">
        <v>-1.37401E-2</v>
      </c>
    </row>
    <row r="3602" spans="1:5" x14ac:dyDescent="0.3">
      <c r="A3602" s="8">
        <v>85</v>
      </c>
      <c r="B3602" s="8">
        <v>31</v>
      </c>
      <c r="C3602" s="8">
        <v>3499</v>
      </c>
      <c r="D3602" s="16">
        <v>-1.378244E-2</v>
      </c>
      <c r="E3602">
        <v>-6.89122E-3</v>
      </c>
    </row>
    <row r="3603" spans="1:5" x14ac:dyDescent="0.3">
      <c r="A3603" s="8">
        <v>85</v>
      </c>
      <c r="B3603" s="8">
        <v>32</v>
      </c>
      <c r="C3603" s="8">
        <v>3562</v>
      </c>
      <c r="D3603" s="16">
        <v>-5.5406190000000001E-2</v>
      </c>
      <c r="E3603">
        <v>-2.7703095E-2</v>
      </c>
    </row>
    <row r="3604" spans="1:5" x14ac:dyDescent="0.3">
      <c r="A3604" s="8">
        <v>85</v>
      </c>
      <c r="B3604" s="8">
        <v>33</v>
      </c>
      <c r="C3604" s="8">
        <v>3607</v>
      </c>
      <c r="D3604" s="16">
        <v>5.830552E-2</v>
      </c>
      <c r="E3604">
        <v>2.915276E-2</v>
      </c>
    </row>
    <row r="3605" spans="1:5" x14ac:dyDescent="0.3">
      <c r="A3605" s="8">
        <v>85</v>
      </c>
      <c r="B3605" s="8">
        <v>34</v>
      </c>
      <c r="C3605" s="8">
        <v>3602</v>
      </c>
      <c r="D3605" s="16">
        <v>-6.1510080000000002E-2</v>
      </c>
      <c r="E3605">
        <v>-3.0755040000000001E-2</v>
      </c>
    </row>
    <row r="3606" spans="1:5" x14ac:dyDescent="0.3">
      <c r="A3606" s="8">
        <v>85</v>
      </c>
      <c r="B3606" s="8">
        <v>35</v>
      </c>
      <c r="C3606" s="8">
        <v>3599</v>
      </c>
      <c r="D3606" s="16">
        <v>-5.2817860000000001E-2</v>
      </c>
      <c r="E3606">
        <v>-2.6408930000000001E-2</v>
      </c>
    </row>
    <row r="3607" spans="1:5" x14ac:dyDescent="0.3">
      <c r="A3607" s="8">
        <v>85</v>
      </c>
      <c r="B3607" s="8">
        <v>36</v>
      </c>
      <c r="C3607" s="8">
        <v>3582</v>
      </c>
      <c r="D3607" s="16">
        <v>-4.1210610000000002E-2</v>
      </c>
      <c r="E3607">
        <v>-2.0605305000000001E-2</v>
      </c>
    </row>
    <row r="3608" spans="1:5" x14ac:dyDescent="0.3">
      <c r="A3608" s="8">
        <v>85</v>
      </c>
      <c r="B3608" s="8">
        <v>37</v>
      </c>
      <c r="C3608" s="8">
        <v>3563</v>
      </c>
      <c r="D3608" s="16">
        <v>-2.8462539999999999E-3</v>
      </c>
      <c r="E3608">
        <v>-1.4231269999999999E-3</v>
      </c>
    </row>
    <row r="3609" spans="1:5" x14ac:dyDescent="0.3">
      <c r="A3609" s="8">
        <v>85</v>
      </c>
      <c r="B3609" s="8">
        <v>38</v>
      </c>
      <c r="C3609" s="8">
        <v>3602</v>
      </c>
      <c r="D3609" s="16">
        <v>-1.5814809999999999E-2</v>
      </c>
      <c r="E3609">
        <v>-7.9074049999999993E-3</v>
      </c>
    </row>
    <row r="3610" spans="1:5" x14ac:dyDescent="0.3">
      <c r="A3610" s="8">
        <v>85</v>
      </c>
      <c r="B3610" s="8">
        <v>39</v>
      </c>
      <c r="C3610" s="8">
        <v>3575</v>
      </c>
      <c r="D3610" s="16">
        <v>-2.8384980000000001E-2</v>
      </c>
      <c r="E3610">
        <v>-1.419249E-2</v>
      </c>
    </row>
    <row r="3611" spans="1:5" x14ac:dyDescent="0.3">
      <c r="A3611" s="8">
        <v>85</v>
      </c>
      <c r="B3611" s="8">
        <v>40</v>
      </c>
      <c r="C3611" s="8">
        <v>3607</v>
      </c>
      <c r="D3611" s="16">
        <v>-2.3570199999999999E-2</v>
      </c>
      <c r="E3611">
        <v>-1.17851E-2</v>
      </c>
    </row>
    <row r="3612" spans="1:5" x14ac:dyDescent="0.3">
      <c r="A3612" s="8">
        <v>85</v>
      </c>
      <c r="B3612" s="8">
        <v>41</v>
      </c>
      <c r="C3612" s="8">
        <v>3553</v>
      </c>
      <c r="D3612" s="16">
        <v>-2.8008990000000001E-2</v>
      </c>
      <c r="E3612">
        <v>-1.4004495E-2</v>
      </c>
    </row>
    <row r="3613" spans="1:5" x14ac:dyDescent="0.3">
      <c r="A3613" s="8">
        <v>85</v>
      </c>
      <c r="B3613" s="8">
        <v>42</v>
      </c>
      <c r="C3613" s="8">
        <v>3583</v>
      </c>
      <c r="D3613" s="16">
        <v>-1.205634E-2</v>
      </c>
      <c r="E3613">
        <v>-6.0281700000000002E-3</v>
      </c>
    </row>
    <row r="3614" spans="1:5" x14ac:dyDescent="0.3">
      <c r="A3614" s="8">
        <v>85</v>
      </c>
      <c r="B3614" s="8">
        <v>43</v>
      </c>
      <c r="C3614" s="8">
        <v>3550</v>
      </c>
      <c r="D3614" s="16">
        <v>7.9322720000000006E-3</v>
      </c>
      <c r="E3614">
        <v>3.9661360000000003E-3</v>
      </c>
    </row>
    <row r="3615" spans="1:5" x14ac:dyDescent="0.3">
      <c r="A3615" s="8">
        <v>85</v>
      </c>
      <c r="B3615" s="8">
        <v>44</v>
      </c>
      <c r="C3615" s="8">
        <v>3546</v>
      </c>
      <c r="D3615" s="16">
        <v>6.926349E-3</v>
      </c>
      <c r="E3615">
        <v>3.4631745E-3</v>
      </c>
    </row>
    <row r="3616" spans="1:5" x14ac:dyDescent="0.3">
      <c r="A3616" s="8">
        <v>85</v>
      </c>
      <c r="B3616" s="8">
        <v>45</v>
      </c>
      <c r="C3616" s="8">
        <v>3613</v>
      </c>
      <c r="D3616" s="16">
        <v>-1.2742969999999999E-2</v>
      </c>
      <c r="E3616">
        <v>-6.3714849999999996E-3</v>
      </c>
    </row>
    <row r="3617" spans="1:5" x14ac:dyDescent="0.3">
      <c r="A3617" s="8">
        <v>85</v>
      </c>
      <c r="B3617" s="8">
        <v>46</v>
      </c>
      <c r="C3617" s="8">
        <v>3591</v>
      </c>
      <c r="D3617" s="16">
        <v>-2.4463359999999999E-3</v>
      </c>
      <c r="E3617">
        <v>-1.223168E-3</v>
      </c>
    </row>
    <row r="3618" spans="1:5" x14ac:dyDescent="0.3">
      <c r="A3618" s="8">
        <v>85</v>
      </c>
      <c r="B3618" s="8">
        <v>47</v>
      </c>
      <c r="C3618" s="8">
        <v>3592</v>
      </c>
      <c r="D3618" s="16">
        <v>-4.9630109999999998E-3</v>
      </c>
      <c r="E3618">
        <v>-2.4815054999999999E-3</v>
      </c>
    </row>
    <row r="3619" spans="1:5" x14ac:dyDescent="0.3">
      <c r="A3619" s="8">
        <v>85</v>
      </c>
      <c r="B3619" s="8">
        <v>48</v>
      </c>
      <c r="C3619" s="8">
        <v>3566</v>
      </c>
      <c r="D3619" s="16">
        <v>3.9875130000000002E-2</v>
      </c>
      <c r="E3619">
        <v>1.9937565000000001E-2</v>
      </c>
    </row>
    <row r="3620" spans="1:5" x14ac:dyDescent="0.3">
      <c r="A3620" s="8">
        <v>85</v>
      </c>
      <c r="B3620" s="8">
        <v>49</v>
      </c>
      <c r="C3620" s="8">
        <v>3595</v>
      </c>
      <c r="D3620" s="16">
        <v>-4.3664870000000001E-4</v>
      </c>
      <c r="E3620">
        <v>-2.1832435E-4</v>
      </c>
    </row>
    <row r="3621" spans="1:5" x14ac:dyDescent="0.3">
      <c r="A3621" s="8">
        <v>85</v>
      </c>
      <c r="B3621" s="8">
        <v>50</v>
      </c>
      <c r="C3621" s="8">
        <v>3609</v>
      </c>
      <c r="D3621" s="16">
        <v>-2.6629759999999999E-2</v>
      </c>
      <c r="E3621">
        <v>-1.3314879999999999E-2</v>
      </c>
    </row>
    <row r="3622" spans="1:5" x14ac:dyDescent="0.3">
      <c r="A3622" s="8">
        <v>85</v>
      </c>
      <c r="B3622" s="8">
        <v>51</v>
      </c>
      <c r="C3622" s="8">
        <v>3561</v>
      </c>
      <c r="D3622" s="16">
        <v>2.977192E-2</v>
      </c>
      <c r="E3622">
        <v>1.488596E-2</v>
      </c>
    </row>
    <row r="3623" spans="1:5" x14ac:dyDescent="0.3">
      <c r="A3623" s="8">
        <v>85</v>
      </c>
      <c r="B3623" s="8">
        <v>52</v>
      </c>
      <c r="C3623" s="8">
        <v>3575</v>
      </c>
      <c r="D3623" s="16">
        <v>-4.3958900000000002E-2</v>
      </c>
      <c r="E3623">
        <v>-2.1979450000000001E-2</v>
      </c>
    </row>
    <row r="3624" spans="1:5" x14ac:dyDescent="0.3">
      <c r="A3624" s="8">
        <v>85</v>
      </c>
      <c r="B3624" s="8">
        <v>53</v>
      </c>
      <c r="C3624" s="8">
        <v>3578</v>
      </c>
      <c r="D3624" s="16">
        <v>-2.4751749999999999E-2</v>
      </c>
      <c r="E3624">
        <v>-1.2375875E-2</v>
      </c>
    </row>
    <row r="3625" spans="1:5" x14ac:dyDescent="0.3">
      <c r="A3625" s="8">
        <v>85</v>
      </c>
      <c r="B3625" s="8">
        <v>54</v>
      </c>
      <c r="C3625" s="8">
        <v>3577</v>
      </c>
      <c r="D3625" s="16">
        <v>-3.4284620000000002E-2</v>
      </c>
      <c r="E3625">
        <v>-1.7142310000000001E-2</v>
      </c>
    </row>
    <row r="3626" spans="1:5" x14ac:dyDescent="0.3">
      <c r="A3626" s="8">
        <v>85</v>
      </c>
      <c r="B3626" s="8">
        <v>55</v>
      </c>
      <c r="C3626" s="8">
        <v>3592</v>
      </c>
      <c r="D3626" s="16">
        <v>9.7251669999999998E-3</v>
      </c>
      <c r="E3626">
        <v>4.8625834999999999E-3</v>
      </c>
    </row>
    <row r="3627" spans="1:5" x14ac:dyDescent="0.3">
      <c r="A3627" s="8">
        <v>85</v>
      </c>
      <c r="B3627" s="8">
        <v>56</v>
      </c>
      <c r="C3627" s="8">
        <v>3607</v>
      </c>
      <c r="D3627" s="16">
        <v>-1.5406929999999999E-2</v>
      </c>
      <c r="E3627">
        <v>-7.7034649999999996E-3</v>
      </c>
    </row>
    <row r="3628" spans="1:5" x14ac:dyDescent="0.3">
      <c r="A3628" s="8">
        <v>85</v>
      </c>
      <c r="B3628" s="8">
        <v>57</v>
      </c>
      <c r="C3628" s="8">
        <v>3619</v>
      </c>
      <c r="D3628" s="16">
        <v>-2.9902990000000001E-2</v>
      </c>
      <c r="E3628">
        <v>-1.4951495E-2</v>
      </c>
    </row>
    <row r="3629" spans="1:5" x14ac:dyDescent="0.3">
      <c r="A3629" s="8">
        <v>85</v>
      </c>
      <c r="B3629" s="8">
        <v>58</v>
      </c>
      <c r="C3629" s="8">
        <v>3588</v>
      </c>
      <c r="D3629" s="16">
        <v>-1.9719359999999998E-2</v>
      </c>
      <c r="E3629">
        <v>-9.8596799999999991E-3</v>
      </c>
    </row>
    <row r="3630" spans="1:5" x14ac:dyDescent="0.3">
      <c r="A3630" s="8">
        <v>85</v>
      </c>
      <c r="B3630" s="8">
        <v>59</v>
      </c>
      <c r="C3630" s="8">
        <v>3607</v>
      </c>
      <c r="D3630" s="16">
        <v>-1.2158769999999999E-2</v>
      </c>
      <c r="E3630">
        <v>-6.0793849999999997E-3</v>
      </c>
    </row>
    <row r="3631" spans="1:5" x14ac:dyDescent="0.3">
      <c r="A3631" s="8">
        <v>85</v>
      </c>
      <c r="B3631" s="8">
        <v>60</v>
      </c>
      <c r="C3631" s="8">
        <v>3579</v>
      </c>
      <c r="D3631" s="16">
        <v>3.614266E-2</v>
      </c>
      <c r="E3631">
        <v>1.807133E-2</v>
      </c>
    </row>
    <row r="3632" spans="1:5" x14ac:dyDescent="0.3">
      <c r="A3632" s="8">
        <v>85</v>
      </c>
      <c r="B3632" s="8">
        <v>61</v>
      </c>
      <c r="C3632" s="8">
        <v>3593</v>
      </c>
      <c r="D3632" s="16">
        <v>4.0913130000000001E-3</v>
      </c>
      <c r="E3632">
        <v>2.0456565E-3</v>
      </c>
    </row>
    <row r="3633" spans="1:5" x14ac:dyDescent="0.3">
      <c r="A3633" s="8">
        <v>85</v>
      </c>
      <c r="B3633" s="8">
        <v>62</v>
      </c>
      <c r="C3633" s="8">
        <v>3617</v>
      </c>
      <c r="D3633" s="16">
        <v>-2.0605689999999999E-2</v>
      </c>
      <c r="E3633">
        <v>-1.0302845E-2</v>
      </c>
    </row>
    <row r="3634" spans="1:5" x14ac:dyDescent="0.3">
      <c r="A3634" s="8">
        <v>85</v>
      </c>
      <c r="B3634" s="8">
        <v>63</v>
      </c>
      <c r="C3634" s="8">
        <v>3615</v>
      </c>
      <c r="D3634" s="16">
        <v>-2.1316660000000001E-2</v>
      </c>
      <c r="E3634">
        <v>-1.0658330000000001E-2</v>
      </c>
    </row>
    <row r="3635" spans="1:5" x14ac:dyDescent="0.3">
      <c r="A3635" s="8">
        <v>85</v>
      </c>
      <c r="B3635" s="8">
        <v>64</v>
      </c>
      <c r="C3635" s="8">
        <v>3579</v>
      </c>
      <c r="D3635" s="16">
        <v>-1.405928E-2</v>
      </c>
      <c r="E3635">
        <v>-7.0296400000000002E-3</v>
      </c>
    </row>
    <row r="3636" spans="1:5" x14ac:dyDescent="0.3">
      <c r="A3636" s="8">
        <v>85</v>
      </c>
      <c r="B3636" s="8">
        <v>65</v>
      </c>
      <c r="C3636" s="8">
        <v>3599</v>
      </c>
      <c r="D3636" s="16">
        <v>-1.365574E-2</v>
      </c>
      <c r="E3636">
        <v>-6.8278699999999998E-3</v>
      </c>
    </row>
    <row r="3637" spans="1:5" x14ac:dyDescent="0.3">
      <c r="A3637" s="8">
        <v>85</v>
      </c>
      <c r="B3637" s="8">
        <v>66</v>
      </c>
      <c r="C3637" s="8">
        <v>3608</v>
      </c>
      <c r="D3637" s="16">
        <v>-2.4306299999999999E-2</v>
      </c>
      <c r="E3637">
        <v>-1.215315E-2</v>
      </c>
    </row>
    <row r="3638" spans="1:5" x14ac:dyDescent="0.3">
      <c r="A3638" s="8">
        <v>85</v>
      </c>
      <c r="B3638" s="8">
        <v>67</v>
      </c>
      <c r="C3638" s="8">
        <v>3594</v>
      </c>
      <c r="D3638" s="16">
        <v>-2.0987410000000001E-2</v>
      </c>
      <c r="E3638">
        <v>-1.0493705000000001E-2</v>
      </c>
    </row>
    <row r="3639" spans="1:5" x14ac:dyDescent="0.3">
      <c r="A3639" s="8">
        <v>85</v>
      </c>
      <c r="B3639" s="8">
        <v>68</v>
      </c>
      <c r="C3639" s="8">
        <v>3563</v>
      </c>
      <c r="D3639" s="16">
        <v>1.8912600000000001E-3</v>
      </c>
      <c r="E3639">
        <v>9.4563000000000004E-4</v>
      </c>
    </row>
    <row r="3640" spans="1:5" x14ac:dyDescent="0.3">
      <c r="A3640" s="8">
        <v>85</v>
      </c>
      <c r="B3640" s="8">
        <v>69</v>
      </c>
      <c r="C3640" s="8">
        <v>3590</v>
      </c>
      <c r="D3640" s="16">
        <v>1.6408519999999999E-2</v>
      </c>
      <c r="E3640">
        <v>8.2042599999999997E-3</v>
      </c>
    </row>
    <row r="3641" spans="1:5" x14ac:dyDescent="0.3">
      <c r="A3641" s="8">
        <v>85</v>
      </c>
      <c r="B3641" s="8">
        <v>70</v>
      </c>
      <c r="C3641" s="8">
        <v>3587</v>
      </c>
      <c r="D3641" s="16">
        <v>-1.8039260000000001E-2</v>
      </c>
      <c r="E3641">
        <v>-9.0196300000000007E-3</v>
      </c>
    </row>
    <row r="3642" spans="1:5" x14ac:dyDescent="0.3">
      <c r="A3642" s="8">
        <v>85</v>
      </c>
      <c r="B3642" s="8">
        <v>71</v>
      </c>
      <c r="C3642" s="8">
        <v>3572</v>
      </c>
      <c r="D3642" s="16">
        <v>-6.3857280000000002E-3</v>
      </c>
      <c r="E3642">
        <v>-3.1928640000000001E-3</v>
      </c>
    </row>
    <row r="3643" spans="1:5" x14ac:dyDescent="0.3">
      <c r="A3643" s="8">
        <v>85</v>
      </c>
      <c r="B3643" s="8">
        <v>72</v>
      </c>
      <c r="C3643" s="8">
        <v>3563</v>
      </c>
      <c r="D3643" s="16">
        <v>-2.366279E-2</v>
      </c>
      <c r="E3643">
        <v>-1.1831395E-2</v>
      </c>
    </row>
    <row r="3644" spans="1:5" x14ac:dyDescent="0.3">
      <c r="A3644" s="8">
        <v>85</v>
      </c>
      <c r="B3644" s="8">
        <v>73</v>
      </c>
      <c r="C3644" s="8">
        <v>3607</v>
      </c>
      <c r="D3644" s="16">
        <v>-8.8119649999999997E-3</v>
      </c>
      <c r="E3644">
        <v>-4.4059824999999999E-3</v>
      </c>
    </row>
    <row r="3645" spans="1:5" x14ac:dyDescent="0.3">
      <c r="A3645" s="8">
        <v>85</v>
      </c>
      <c r="B3645" s="8">
        <v>74</v>
      </c>
      <c r="C3645" s="8">
        <v>3591</v>
      </c>
      <c r="D3645" s="16">
        <v>-2.6303819999999999E-2</v>
      </c>
      <c r="E3645">
        <v>-1.3151909999999999E-2</v>
      </c>
    </row>
    <row r="3646" spans="1:5" x14ac:dyDescent="0.3">
      <c r="A3646" s="8">
        <v>85</v>
      </c>
      <c r="B3646" s="8">
        <v>75</v>
      </c>
      <c r="C3646" s="8">
        <v>3577</v>
      </c>
      <c r="D3646" s="16">
        <v>-3.6547389999999999E-2</v>
      </c>
      <c r="E3646">
        <v>-1.8273695E-2</v>
      </c>
    </row>
    <row r="3647" spans="1:5" x14ac:dyDescent="0.3">
      <c r="A3647" s="8">
        <v>85</v>
      </c>
      <c r="B3647" s="8">
        <v>76</v>
      </c>
      <c r="C3647" s="8">
        <v>3605</v>
      </c>
      <c r="D3647" s="16">
        <v>-3.678389E-2</v>
      </c>
      <c r="E3647">
        <v>-1.8391945E-2</v>
      </c>
    </row>
    <row r="3648" spans="1:5" x14ac:dyDescent="0.3">
      <c r="A3648" s="8">
        <v>85</v>
      </c>
      <c r="B3648" s="8">
        <v>77</v>
      </c>
      <c r="C3648" s="8">
        <v>3610</v>
      </c>
      <c r="D3648" s="16">
        <v>7.1049609999999999E-3</v>
      </c>
      <c r="E3648">
        <v>3.5524805E-3</v>
      </c>
    </row>
    <row r="3649" spans="1:5" x14ac:dyDescent="0.3">
      <c r="A3649" s="8">
        <v>85</v>
      </c>
      <c r="B3649" s="8">
        <v>78</v>
      </c>
      <c r="C3649" s="8">
        <v>3600</v>
      </c>
      <c r="D3649" s="16">
        <v>-1.785786E-2</v>
      </c>
      <c r="E3649">
        <v>-8.9289299999999999E-3</v>
      </c>
    </row>
    <row r="3650" spans="1:5" x14ac:dyDescent="0.3">
      <c r="A3650" s="8">
        <v>85</v>
      </c>
      <c r="B3650" s="8">
        <v>79</v>
      </c>
      <c r="C3650" s="8">
        <v>3565</v>
      </c>
      <c r="D3650" s="16">
        <v>-4.9949340000000002E-2</v>
      </c>
      <c r="E3650">
        <v>-2.4974670000000001E-2</v>
      </c>
    </row>
    <row r="3651" spans="1:5" x14ac:dyDescent="0.3">
      <c r="A3651" s="8">
        <v>85</v>
      </c>
      <c r="B3651" s="8">
        <v>80</v>
      </c>
      <c r="C3651" s="8">
        <v>3604</v>
      </c>
      <c r="D3651" s="16">
        <v>3.478647E-2</v>
      </c>
      <c r="E3651">
        <v>1.7393235E-2</v>
      </c>
    </row>
    <row r="3652" spans="1:5" x14ac:dyDescent="0.3">
      <c r="A3652" s="8">
        <v>85</v>
      </c>
      <c r="B3652" s="8">
        <v>81</v>
      </c>
      <c r="C3652" s="8">
        <v>3598</v>
      </c>
      <c r="D3652" s="16">
        <v>2.71436E-2</v>
      </c>
      <c r="E3652">
        <v>1.35718E-2</v>
      </c>
    </row>
    <row r="3653" spans="1:5" x14ac:dyDescent="0.3">
      <c r="A3653" s="8">
        <v>85</v>
      </c>
      <c r="B3653" s="8">
        <v>82</v>
      </c>
      <c r="C3653" s="8">
        <v>3597</v>
      </c>
      <c r="D3653" s="16">
        <v>2.8974949999999999E-3</v>
      </c>
      <c r="E3653">
        <v>1.4487475E-3</v>
      </c>
    </row>
    <row r="3654" spans="1:5" x14ac:dyDescent="0.3">
      <c r="A3654" s="8">
        <v>85</v>
      </c>
      <c r="B3654" s="8">
        <v>83</v>
      </c>
      <c r="C3654" s="8">
        <v>3609</v>
      </c>
      <c r="D3654" s="16">
        <v>-2.6625059999999999E-2</v>
      </c>
      <c r="E3654">
        <v>-1.331253E-2</v>
      </c>
    </row>
    <row r="3655" spans="1:5" x14ac:dyDescent="0.3">
      <c r="A3655" s="8">
        <v>85</v>
      </c>
      <c r="B3655" s="8">
        <v>84</v>
      </c>
      <c r="C3655" s="8">
        <v>3575</v>
      </c>
      <c r="D3655" s="16">
        <v>-4.1018440000000003E-2</v>
      </c>
      <c r="E3655">
        <v>-2.0509220000000002E-2</v>
      </c>
    </row>
    <row r="3656" spans="1:5" x14ac:dyDescent="0.3">
      <c r="A3656" s="8">
        <v>85</v>
      </c>
      <c r="B3656" s="8">
        <v>85</v>
      </c>
      <c r="C3656" s="8">
        <v>3871</v>
      </c>
      <c r="D3656" s="16">
        <v>1.0723579999999999</v>
      </c>
      <c r="E3656"/>
    </row>
    <row r="3657" spans="1:5" x14ac:dyDescent="0.3">
      <c r="A3657" s="8">
        <v>86</v>
      </c>
      <c r="B3657" s="8">
        <v>1</v>
      </c>
      <c r="C3657" s="8">
        <v>3607</v>
      </c>
      <c r="D3657" s="16">
        <v>-1.8575870000000001E-2</v>
      </c>
      <c r="E3657">
        <v>-9.2879350000000006E-3</v>
      </c>
    </row>
    <row r="3658" spans="1:5" x14ac:dyDescent="0.3">
      <c r="A3658" s="8">
        <v>86</v>
      </c>
      <c r="B3658" s="8">
        <v>2</v>
      </c>
      <c r="C3658" s="8">
        <v>3585</v>
      </c>
      <c r="D3658" s="16">
        <v>2.0148169999999999E-3</v>
      </c>
      <c r="E3658">
        <v>1.0074085E-3</v>
      </c>
    </row>
    <row r="3659" spans="1:5" x14ac:dyDescent="0.3">
      <c r="A3659" s="8">
        <v>86</v>
      </c>
      <c r="B3659" s="8">
        <v>3</v>
      </c>
      <c r="C3659" s="8">
        <v>3592</v>
      </c>
      <c r="D3659" s="16">
        <v>-2.437638E-2</v>
      </c>
      <c r="E3659">
        <v>-1.218819E-2</v>
      </c>
    </row>
    <row r="3660" spans="1:5" x14ac:dyDescent="0.3">
      <c r="A3660" s="8">
        <v>86</v>
      </c>
      <c r="B3660" s="8">
        <v>4</v>
      </c>
      <c r="C3660" s="8">
        <v>3567</v>
      </c>
      <c r="D3660" s="16">
        <v>1.7366070000000001E-2</v>
      </c>
      <c r="E3660">
        <v>8.6830350000000004E-3</v>
      </c>
    </row>
    <row r="3661" spans="1:5" x14ac:dyDescent="0.3">
      <c r="A3661" s="8">
        <v>86</v>
      </c>
      <c r="B3661" s="8">
        <v>5</v>
      </c>
      <c r="C3661" s="8">
        <v>3571</v>
      </c>
      <c r="D3661" s="16">
        <v>-2.368263E-2</v>
      </c>
      <c r="E3661">
        <v>-1.1841315E-2</v>
      </c>
    </row>
    <row r="3662" spans="1:5" x14ac:dyDescent="0.3">
      <c r="A3662" s="8">
        <v>86</v>
      </c>
      <c r="B3662" s="8">
        <v>6</v>
      </c>
      <c r="C3662" s="8">
        <v>3589</v>
      </c>
      <c r="D3662" s="16">
        <v>-2.78564E-2</v>
      </c>
      <c r="E3662">
        <v>-1.39282E-2</v>
      </c>
    </row>
    <row r="3663" spans="1:5" x14ac:dyDescent="0.3">
      <c r="A3663" s="8">
        <v>86</v>
      </c>
      <c r="B3663" s="8">
        <v>7</v>
      </c>
      <c r="C3663" s="8">
        <v>3549</v>
      </c>
      <c r="D3663" s="16">
        <v>-1.436101E-3</v>
      </c>
      <c r="E3663">
        <v>-7.1805049999999998E-4</v>
      </c>
    </row>
    <row r="3664" spans="1:5" x14ac:dyDescent="0.3">
      <c r="A3664" s="8">
        <v>86</v>
      </c>
      <c r="B3664" s="8">
        <v>8</v>
      </c>
      <c r="C3664" s="8">
        <v>3585</v>
      </c>
      <c r="D3664" s="16">
        <v>2.160374E-2</v>
      </c>
      <c r="E3664">
        <v>1.080187E-2</v>
      </c>
    </row>
    <row r="3665" spans="1:5" x14ac:dyDescent="0.3">
      <c r="A3665" s="8">
        <v>86</v>
      </c>
      <c r="B3665" s="8">
        <v>9</v>
      </c>
      <c r="C3665" s="8">
        <v>3596</v>
      </c>
      <c r="D3665" s="16">
        <v>-7.0817089999999999E-2</v>
      </c>
      <c r="E3665">
        <v>-3.5408545E-2</v>
      </c>
    </row>
    <row r="3666" spans="1:5" x14ac:dyDescent="0.3">
      <c r="A3666" s="8">
        <v>86</v>
      </c>
      <c r="B3666" s="8">
        <v>10</v>
      </c>
      <c r="C3666" s="8">
        <v>3598</v>
      </c>
      <c r="D3666" s="16">
        <v>-7.1581950000000005E-2</v>
      </c>
      <c r="E3666">
        <v>-3.5790975000000003E-2</v>
      </c>
    </row>
    <row r="3667" spans="1:5" x14ac:dyDescent="0.3">
      <c r="A3667" s="8">
        <v>86</v>
      </c>
      <c r="B3667" s="8">
        <v>11</v>
      </c>
      <c r="C3667" s="8">
        <v>3581</v>
      </c>
      <c r="D3667" s="16">
        <v>1.289797E-2</v>
      </c>
      <c r="E3667">
        <v>6.448985E-3</v>
      </c>
    </row>
    <row r="3668" spans="1:5" x14ac:dyDescent="0.3">
      <c r="A3668" s="8">
        <v>86</v>
      </c>
      <c r="B3668" s="8">
        <v>12</v>
      </c>
      <c r="C3668" s="8">
        <v>3592</v>
      </c>
      <c r="D3668" s="16">
        <v>-3.2658710000000001E-2</v>
      </c>
      <c r="E3668">
        <v>-1.6329355E-2</v>
      </c>
    </row>
    <row r="3669" spans="1:5" x14ac:dyDescent="0.3">
      <c r="A3669" s="8">
        <v>86</v>
      </c>
      <c r="B3669" s="8">
        <v>13</v>
      </c>
      <c r="C3669" s="8">
        <v>3589</v>
      </c>
      <c r="D3669" s="16">
        <v>-2.016774E-2</v>
      </c>
      <c r="E3669">
        <v>-1.008387E-2</v>
      </c>
    </row>
    <row r="3670" spans="1:5" x14ac:dyDescent="0.3">
      <c r="A3670" s="8">
        <v>86</v>
      </c>
      <c r="B3670" s="8">
        <v>14</v>
      </c>
      <c r="C3670" s="8">
        <v>3562</v>
      </c>
      <c r="D3670" s="16">
        <v>-2.210666E-3</v>
      </c>
      <c r="E3670">
        <v>-1.105333E-3</v>
      </c>
    </row>
    <row r="3671" spans="1:5" x14ac:dyDescent="0.3">
      <c r="A3671" s="8">
        <v>86</v>
      </c>
      <c r="B3671" s="8">
        <v>15</v>
      </c>
      <c r="C3671" s="8">
        <v>3604</v>
      </c>
      <c r="D3671" s="16">
        <v>-2.8591490000000001E-2</v>
      </c>
      <c r="E3671">
        <v>-1.4295745E-2</v>
      </c>
    </row>
    <row r="3672" spans="1:5" x14ac:dyDescent="0.3">
      <c r="A3672" s="8">
        <v>86</v>
      </c>
      <c r="B3672" s="8">
        <v>16</v>
      </c>
      <c r="C3672" s="8">
        <v>3580</v>
      </c>
      <c r="D3672" s="16">
        <v>-5.2093319999999997E-3</v>
      </c>
      <c r="E3672">
        <v>-2.6046659999999998E-3</v>
      </c>
    </row>
    <row r="3673" spans="1:5" x14ac:dyDescent="0.3">
      <c r="A3673" s="8">
        <v>86</v>
      </c>
      <c r="B3673" s="8">
        <v>17</v>
      </c>
      <c r="C3673" s="8">
        <v>3586</v>
      </c>
      <c r="D3673" s="16">
        <v>-2.147143E-2</v>
      </c>
      <c r="E3673">
        <v>-1.0735715E-2</v>
      </c>
    </row>
    <row r="3674" spans="1:5" x14ac:dyDescent="0.3">
      <c r="A3674" s="8">
        <v>86</v>
      </c>
      <c r="B3674" s="8">
        <v>18</v>
      </c>
      <c r="C3674" s="8">
        <v>3594</v>
      </c>
      <c r="D3674" s="16">
        <v>-4.9198169999999999E-2</v>
      </c>
      <c r="E3674">
        <v>-2.4599085E-2</v>
      </c>
    </row>
    <row r="3675" spans="1:5" x14ac:dyDescent="0.3">
      <c r="A3675" s="8">
        <v>86</v>
      </c>
      <c r="B3675" s="8">
        <v>19</v>
      </c>
      <c r="C3675" s="8">
        <v>3555</v>
      </c>
      <c r="D3675" s="16">
        <v>-1.4285840000000001E-3</v>
      </c>
      <c r="E3675">
        <v>-7.1429200000000005E-4</v>
      </c>
    </row>
    <row r="3676" spans="1:5" x14ac:dyDescent="0.3">
      <c r="A3676" s="8">
        <v>86</v>
      </c>
      <c r="B3676" s="8">
        <v>20</v>
      </c>
      <c r="C3676" s="8">
        <v>3563</v>
      </c>
      <c r="D3676" s="16">
        <v>-6.3285069999999997E-3</v>
      </c>
      <c r="E3676">
        <v>-3.1642534999999999E-3</v>
      </c>
    </row>
    <row r="3677" spans="1:5" x14ac:dyDescent="0.3">
      <c r="A3677" s="8">
        <v>86</v>
      </c>
      <c r="B3677" s="8">
        <v>21</v>
      </c>
      <c r="C3677" s="8">
        <v>3619</v>
      </c>
      <c r="D3677" s="16">
        <v>-4.6788619999999998E-3</v>
      </c>
      <c r="E3677">
        <v>-2.3394309999999999E-3</v>
      </c>
    </row>
    <row r="3678" spans="1:5" x14ac:dyDescent="0.3">
      <c r="A3678" s="8">
        <v>86</v>
      </c>
      <c r="B3678" s="8">
        <v>22</v>
      </c>
      <c r="C3678" s="8">
        <v>3578</v>
      </c>
      <c r="D3678" s="16">
        <v>-1.468739E-2</v>
      </c>
      <c r="E3678">
        <v>-7.3436949999999999E-3</v>
      </c>
    </row>
    <row r="3679" spans="1:5" x14ac:dyDescent="0.3">
      <c r="A3679" s="8">
        <v>86</v>
      </c>
      <c r="B3679" s="8">
        <v>23</v>
      </c>
      <c r="C3679" s="8">
        <v>3575</v>
      </c>
      <c r="D3679" s="16">
        <v>-4.1229500000000002E-2</v>
      </c>
      <c r="E3679">
        <v>-2.0614750000000001E-2</v>
      </c>
    </row>
    <row r="3680" spans="1:5" x14ac:dyDescent="0.3">
      <c r="A3680" s="8">
        <v>86</v>
      </c>
      <c r="B3680" s="8">
        <v>24</v>
      </c>
      <c r="C3680" s="8">
        <v>3598</v>
      </c>
      <c r="D3680" s="16">
        <v>8.5008730000000008E-3</v>
      </c>
      <c r="E3680">
        <v>4.2504365000000004E-3</v>
      </c>
    </row>
    <row r="3681" spans="1:5" x14ac:dyDescent="0.3">
      <c r="A3681" s="8">
        <v>86</v>
      </c>
      <c r="B3681" s="8">
        <v>25</v>
      </c>
      <c r="C3681" s="8">
        <v>3569</v>
      </c>
      <c r="D3681" s="16">
        <v>-7.4719919999999995E-2</v>
      </c>
      <c r="E3681">
        <v>-3.7359959999999998E-2</v>
      </c>
    </row>
    <row r="3682" spans="1:5" x14ac:dyDescent="0.3">
      <c r="A3682" s="8">
        <v>86</v>
      </c>
      <c r="B3682" s="8">
        <v>26</v>
      </c>
      <c r="C3682" s="8">
        <v>3609</v>
      </c>
      <c r="D3682" s="16">
        <v>-2.8876269999999999E-2</v>
      </c>
      <c r="E3682">
        <v>-1.4438135E-2</v>
      </c>
    </row>
    <row r="3683" spans="1:5" x14ac:dyDescent="0.3">
      <c r="A3683" s="8">
        <v>86</v>
      </c>
      <c r="B3683" s="8">
        <v>27</v>
      </c>
      <c r="C3683" s="8">
        <v>3569</v>
      </c>
      <c r="D3683" s="16">
        <v>-3.9122940000000002E-2</v>
      </c>
      <c r="E3683">
        <v>-1.9561470000000001E-2</v>
      </c>
    </row>
    <row r="3684" spans="1:5" x14ac:dyDescent="0.3">
      <c r="A3684" s="8">
        <v>86</v>
      </c>
      <c r="B3684" s="8">
        <v>28</v>
      </c>
      <c r="C3684" s="8">
        <v>3530</v>
      </c>
      <c r="D3684" s="16">
        <v>-2.1031290000000001E-2</v>
      </c>
      <c r="E3684">
        <v>-1.0515645000000001E-2</v>
      </c>
    </row>
    <row r="3685" spans="1:5" x14ac:dyDescent="0.3">
      <c r="A3685" s="8">
        <v>86</v>
      </c>
      <c r="B3685" s="8">
        <v>29</v>
      </c>
      <c r="C3685" s="8">
        <v>3562</v>
      </c>
      <c r="D3685" s="16">
        <v>1.2936029999999999E-2</v>
      </c>
      <c r="E3685">
        <v>6.4680149999999997E-3</v>
      </c>
    </row>
    <row r="3686" spans="1:5" x14ac:dyDescent="0.3">
      <c r="A3686" s="8">
        <v>86</v>
      </c>
      <c r="B3686" s="8">
        <v>30</v>
      </c>
      <c r="C3686" s="8">
        <v>3568</v>
      </c>
      <c r="D3686" s="16">
        <v>-4.8553209999999999E-2</v>
      </c>
      <c r="E3686">
        <v>-2.4276605E-2</v>
      </c>
    </row>
    <row r="3687" spans="1:5" x14ac:dyDescent="0.3">
      <c r="A3687" s="8">
        <v>86</v>
      </c>
      <c r="B3687" s="8">
        <v>31</v>
      </c>
      <c r="C3687" s="8">
        <v>3496</v>
      </c>
      <c r="D3687" s="16">
        <v>-1.0582579999999999E-2</v>
      </c>
      <c r="E3687">
        <v>-5.2912899999999997E-3</v>
      </c>
    </row>
    <row r="3688" spans="1:5" x14ac:dyDescent="0.3">
      <c r="A3688" s="8">
        <v>86</v>
      </c>
      <c r="B3688" s="8">
        <v>32</v>
      </c>
      <c r="C3688" s="8">
        <v>3556</v>
      </c>
      <c r="D3688" s="16">
        <v>-4.1369259999999998E-2</v>
      </c>
      <c r="E3688">
        <v>-2.0684629999999999E-2</v>
      </c>
    </row>
    <row r="3689" spans="1:5" x14ac:dyDescent="0.3">
      <c r="A3689" s="8">
        <v>86</v>
      </c>
      <c r="B3689" s="8">
        <v>33</v>
      </c>
      <c r="C3689" s="8">
        <v>3596</v>
      </c>
      <c r="D3689" s="16">
        <v>4.3413889999999997E-2</v>
      </c>
      <c r="E3689">
        <v>2.1706944999999998E-2</v>
      </c>
    </row>
    <row r="3690" spans="1:5" x14ac:dyDescent="0.3">
      <c r="A3690" s="8">
        <v>86</v>
      </c>
      <c r="B3690" s="8">
        <v>34</v>
      </c>
      <c r="C3690" s="8">
        <v>3590</v>
      </c>
      <c r="D3690" s="16">
        <v>-1.9390190000000002E-2</v>
      </c>
      <c r="E3690">
        <v>-9.6950950000000008E-3</v>
      </c>
    </row>
    <row r="3691" spans="1:5" x14ac:dyDescent="0.3">
      <c r="A3691" s="8">
        <v>86</v>
      </c>
      <c r="B3691" s="8">
        <v>35</v>
      </c>
      <c r="C3691" s="8">
        <v>3576</v>
      </c>
      <c r="D3691" s="16">
        <v>-5.2272039999999999E-2</v>
      </c>
      <c r="E3691">
        <v>-2.6136019999999999E-2</v>
      </c>
    </row>
    <row r="3692" spans="1:5" x14ac:dyDescent="0.3">
      <c r="A3692" s="8">
        <v>86</v>
      </c>
      <c r="B3692" s="8">
        <v>36</v>
      </c>
      <c r="C3692" s="8">
        <v>3574</v>
      </c>
      <c r="D3692" s="16">
        <v>-1.836339E-3</v>
      </c>
      <c r="E3692">
        <v>-9.1816949999999999E-4</v>
      </c>
    </row>
    <row r="3693" spans="1:5" x14ac:dyDescent="0.3">
      <c r="A3693" s="8">
        <v>86</v>
      </c>
      <c r="B3693" s="8">
        <v>37</v>
      </c>
      <c r="C3693" s="8">
        <v>3547</v>
      </c>
      <c r="D3693" s="16">
        <v>-3.6874749999999998E-2</v>
      </c>
      <c r="E3693">
        <v>-1.8437374999999999E-2</v>
      </c>
    </row>
    <row r="3694" spans="1:5" x14ac:dyDescent="0.3">
      <c r="A3694" s="8">
        <v>86</v>
      </c>
      <c r="B3694" s="8">
        <v>38</v>
      </c>
      <c r="C3694" s="8">
        <v>3590</v>
      </c>
      <c r="D3694" s="16">
        <v>-2.6755520000000001E-2</v>
      </c>
      <c r="E3694">
        <v>-1.3377760000000001E-2</v>
      </c>
    </row>
    <row r="3695" spans="1:5" x14ac:dyDescent="0.3">
      <c r="A3695" s="8">
        <v>86</v>
      </c>
      <c r="B3695" s="8">
        <v>39</v>
      </c>
      <c r="C3695" s="8">
        <v>3575</v>
      </c>
      <c r="D3695" s="16">
        <v>-2.0772579999999999E-2</v>
      </c>
      <c r="E3695">
        <v>-1.0386289999999999E-2</v>
      </c>
    </row>
    <row r="3696" spans="1:5" x14ac:dyDescent="0.3">
      <c r="A3696" s="8">
        <v>86</v>
      </c>
      <c r="B3696" s="8">
        <v>40</v>
      </c>
      <c r="C3696" s="8">
        <v>3593</v>
      </c>
      <c r="D3696" s="16">
        <v>-2.5499129999999998E-2</v>
      </c>
      <c r="E3696">
        <v>-1.2749564999999999E-2</v>
      </c>
    </row>
    <row r="3697" spans="1:5" x14ac:dyDescent="0.3">
      <c r="A3697" s="8">
        <v>86</v>
      </c>
      <c r="B3697" s="8">
        <v>41</v>
      </c>
      <c r="C3697" s="8">
        <v>3546</v>
      </c>
      <c r="D3697" s="16">
        <v>-4.164259E-2</v>
      </c>
      <c r="E3697">
        <v>-2.0821295E-2</v>
      </c>
    </row>
    <row r="3698" spans="1:5" x14ac:dyDescent="0.3">
      <c r="A3698" s="8">
        <v>86</v>
      </c>
      <c r="B3698" s="8">
        <v>42</v>
      </c>
      <c r="C3698" s="8">
        <v>3582</v>
      </c>
      <c r="D3698" s="16">
        <v>-3.089273E-2</v>
      </c>
      <c r="E3698">
        <v>-1.5446365E-2</v>
      </c>
    </row>
    <row r="3699" spans="1:5" x14ac:dyDescent="0.3">
      <c r="A3699" s="8">
        <v>86</v>
      </c>
      <c r="B3699" s="8">
        <v>43</v>
      </c>
      <c r="C3699" s="8">
        <v>3545</v>
      </c>
      <c r="D3699" s="16">
        <v>2.5763049999999999E-2</v>
      </c>
      <c r="E3699">
        <v>1.2881525E-2</v>
      </c>
    </row>
    <row r="3700" spans="1:5" x14ac:dyDescent="0.3">
      <c r="A3700" s="8">
        <v>86</v>
      </c>
      <c r="B3700" s="8">
        <v>44</v>
      </c>
      <c r="C3700" s="8">
        <v>3540</v>
      </c>
      <c r="D3700" s="16">
        <v>-1.423402E-2</v>
      </c>
      <c r="E3700">
        <v>-7.11701E-3</v>
      </c>
    </row>
    <row r="3701" spans="1:5" x14ac:dyDescent="0.3">
      <c r="A3701" s="8">
        <v>86</v>
      </c>
      <c r="B3701" s="8">
        <v>45</v>
      </c>
      <c r="C3701" s="8">
        <v>3603</v>
      </c>
      <c r="D3701" s="16">
        <v>1.323889E-3</v>
      </c>
      <c r="E3701">
        <v>6.6194449999999998E-4</v>
      </c>
    </row>
    <row r="3702" spans="1:5" x14ac:dyDescent="0.3">
      <c r="A3702" s="8">
        <v>86</v>
      </c>
      <c r="B3702" s="8">
        <v>46</v>
      </c>
      <c r="C3702" s="8">
        <v>3584</v>
      </c>
      <c r="D3702" s="16">
        <v>5.8196929999999999E-4</v>
      </c>
      <c r="E3702">
        <v>2.9098465E-4</v>
      </c>
    </row>
    <row r="3703" spans="1:5" x14ac:dyDescent="0.3">
      <c r="A3703" s="8">
        <v>86</v>
      </c>
      <c r="B3703" s="8">
        <v>47</v>
      </c>
      <c r="C3703" s="8">
        <v>3590</v>
      </c>
      <c r="D3703" s="16">
        <v>-1.16796E-3</v>
      </c>
      <c r="E3703">
        <v>-5.8398E-4</v>
      </c>
    </row>
    <row r="3704" spans="1:5" x14ac:dyDescent="0.3">
      <c r="A3704" s="8">
        <v>86</v>
      </c>
      <c r="B3704" s="8">
        <v>48</v>
      </c>
      <c r="C3704" s="8">
        <v>3560</v>
      </c>
      <c r="D3704" s="16">
        <v>3.2760980000000002E-2</v>
      </c>
      <c r="E3704">
        <v>1.6380490000000001E-2</v>
      </c>
    </row>
    <row r="3705" spans="1:5" x14ac:dyDescent="0.3">
      <c r="A3705" s="8">
        <v>86</v>
      </c>
      <c r="B3705" s="8">
        <v>49</v>
      </c>
      <c r="C3705" s="8">
        <v>3584</v>
      </c>
      <c r="D3705" s="16">
        <v>3.6625289999999998E-2</v>
      </c>
      <c r="E3705">
        <v>1.8312644999999999E-2</v>
      </c>
    </row>
    <row r="3706" spans="1:5" x14ac:dyDescent="0.3">
      <c r="A3706" s="8">
        <v>86</v>
      </c>
      <c r="B3706" s="8">
        <v>50</v>
      </c>
      <c r="C3706" s="8">
        <v>3606</v>
      </c>
      <c r="D3706" s="16">
        <v>3.7729800000000001E-2</v>
      </c>
      <c r="E3706">
        <v>1.88649E-2</v>
      </c>
    </row>
    <row r="3707" spans="1:5" x14ac:dyDescent="0.3">
      <c r="A3707" s="8">
        <v>86</v>
      </c>
      <c r="B3707" s="8">
        <v>51</v>
      </c>
      <c r="C3707" s="8">
        <v>3568</v>
      </c>
      <c r="D3707" s="16">
        <v>-3.3986370000000002E-2</v>
      </c>
      <c r="E3707">
        <v>-1.6993185000000001E-2</v>
      </c>
    </row>
    <row r="3708" spans="1:5" x14ac:dyDescent="0.3">
      <c r="A3708" s="8">
        <v>86</v>
      </c>
      <c r="B3708" s="8">
        <v>52</v>
      </c>
      <c r="C3708" s="8">
        <v>3561</v>
      </c>
      <c r="D3708" s="16">
        <v>1.8164670000000001E-2</v>
      </c>
      <c r="E3708">
        <v>9.0823350000000004E-3</v>
      </c>
    </row>
    <row r="3709" spans="1:5" x14ac:dyDescent="0.3">
      <c r="A3709" s="8">
        <v>86</v>
      </c>
      <c r="B3709" s="8">
        <v>53</v>
      </c>
      <c r="C3709" s="8">
        <v>3567</v>
      </c>
      <c r="D3709" s="16">
        <v>-2.439589E-2</v>
      </c>
      <c r="E3709">
        <v>-1.2197945E-2</v>
      </c>
    </row>
    <row r="3710" spans="1:5" x14ac:dyDescent="0.3">
      <c r="A3710" s="8">
        <v>86</v>
      </c>
      <c r="B3710" s="8">
        <v>54</v>
      </c>
      <c r="C3710" s="8">
        <v>3567</v>
      </c>
      <c r="D3710" s="16">
        <v>1.9833150000000001E-2</v>
      </c>
      <c r="E3710">
        <v>9.9165750000000004E-3</v>
      </c>
    </row>
    <row r="3711" spans="1:5" x14ac:dyDescent="0.3">
      <c r="A3711" s="8">
        <v>86</v>
      </c>
      <c r="B3711" s="8">
        <v>55</v>
      </c>
      <c r="C3711" s="8">
        <v>3578</v>
      </c>
      <c r="D3711" s="16">
        <v>1.3152240000000001E-2</v>
      </c>
      <c r="E3711">
        <v>6.5761200000000004E-3</v>
      </c>
    </row>
    <row r="3712" spans="1:5" x14ac:dyDescent="0.3">
      <c r="A3712" s="8">
        <v>86</v>
      </c>
      <c r="B3712" s="8">
        <v>56</v>
      </c>
      <c r="C3712" s="8">
        <v>3595</v>
      </c>
      <c r="D3712" s="16">
        <v>-6.1442259999999999E-2</v>
      </c>
      <c r="E3712">
        <v>-3.0721129999999999E-2</v>
      </c>
    </row>
    <row r="3713" spans="1:5" x14ac:dyDescent="0.3">
      <c r="A3713" s="8">
        <v>86</v>
      </c>
      <c r="B3713" s="8">
        <v>57</v>
      </c>
      <c r="C3713" s="8">
        <v>3606</v>
      </c>
      <c r="D3713" s="16">
        <v>-4.649623E-2</v>
      </c>
      <c r="E3713">
        <v>-2.3248115E-2</v>
      </c>
    </row>
    <row r="3714" spans="1:5" x14ac:dyDescent="0.3">
      <c r="A3714" s="8">
        <v>86</v>
      </c>
      <c r="B3714" s="8">
        <v>58</v>
      </c>
      <c r="C3714" s="8">
        <v>3582</v>
      </c>
      <c r="D3714" s="16">
        <v>-9.2455579999999992E-3</v>
      </c>
      <c r="E3714">
        <v>-4.6227789999999996E-3</v>
      </c>
    </row>
    <row r="3715" spans="1:5" x14ac:dyDescent="0.3">
      <c r="A3715" s="8">
        <v>86</v>
      </c>
      <c r="B3715" s="8">
        <v>59</v>
      </c>
      <c r="C3715" s="8">
        <v>3599</v>
      </c>
      <c r="D3715" s="16">
        <v>-3.2542710000000002E-2</v>
      </c>
      <c r="E3715">
        <v>-1.6271355000000001E-2</v>
      </c>
    </row>
    <row r="3716" spans="1:5" x14ac:dyDescent="0.3">
      <c r="A3716" s="8">
        <v>86</v>
      </c>
      <c r="B3716" s="8">
        <v>60</v>
      </c>
      <c r="C3716" s="8">
        <v>3580</v>
      </c>
      <c r="D3716" s="16">
        <v>1.609524E-2</v>
      </c>
      <c r="E3716">
        <v>8.0476200000000001E-3</v>
      </c>
    </row>
    <row r="3717" spans="1:5" x14ac:dyDescent="0.3">
      <c r="A3717" s="8">
        <v>86</v>
      </c>
      <c r="B3717" s="8">
        <v>61</v>
      </c>
      <c r="C3717" s="8">
        <v>3591</v>
      </c>
      <c r="D3717" s="16">
        <v>1.7723510000000001E-2</v>
      </c>
      <c r="E3717">
        <v>8.8617550000000007E-3</v>
      </c>
    </row>
    <row r="3718" spans="1:5" x14ac:dyDescent="0.3">
      <c r="A3718" s="8">
        <v>86</v>
      </c>
      <c r="B3718" s="8">
        <v>62</v>
      </c>
      <c r="C3718" s="8">
        <v>3596</v>
      </c>
      <c r="D3718" s="16">
        <v>-3.168613E-2</v>
      </c>
      <c r="E3718">
        <v>-1.5843065E-2</v>
      </c>
    </row>
    <row r="3719" spans="1:5" x14ac:dyDescent="0.3">
      <c r="A3719" s="8">
        <v>86</v>
      </c>
      <c r="B3719" s="8">
        <v>63</v>
      </c>
      <c r="C3719" s="8">
        <v>3593</v>
      </c>
      <c r="D3719" s="16">
        <v>-4.2886489999999999E-2</v>
      </c>
      <c r="E3719">
        <v>-2.1443245E-2</v>
      </c>
    </row>
    <row r="3720" spans="1:5" x14ac:dyDescent="0.3">
      <c r="A3720" s="8">
        <v>86</v>
      </c>
      <c r="B3720" s="8">
        <v>64</v>
      </c>
      <c r="C3720" s="8">
        <v>3570</v>
      </c>
      <c r="D3720" s="16">
        <v>7.3938659999999996E-4</v>
      </c>
      <c r="E3720">
        <v>3.6969329999999998E-4</v>
      </c>
    </row>
    <row r="3721" spans="1:5" x14ac:dyDescent="0.3">
      <c r="A3721" s="8">
        <v>86</v>
      </c>
      <c r="B3721" s="8">
        <v>65</v>
      </c>
      <c r="C3721" s="8">
        <v>3600</v>
      </c>
      <c r="D3721" s="16">
        <v>1.036163E-2</v>
      </c>
      <c r="E3721">
        <v>5.1808150000000001E-3</v>
      </c>
    </row>
    <row r="3722" spans="1:5" x14ac:dyDescent="0.3">
      <c r="A3722" s="8">
        <v>86</v>
      </c>
      <c r="B3722" s="8">
        <v>66</v>
      </c>
      <c r="C3722" s="8">
        <v>3605</v>
      </c>
      <c r="D3722" s="16">
        <v>-7.5190450000000002E-3</v>
      </c>
      <c r="E3722">
        <v>-3.7595225000000001E-3</v>
      </c>
    </row>
    <row r="3723" spans="1:5" x14ac:dyDescent="0.3">
      <c r="A3723" s="8">
        <v>86</v>
      </c>
      <c r="B3723" s="8">
        <v>67</v>
      </c>
      <c r="C3723" s="8">
        <v>3581</v>
      </c>
      <c r="D3723" s="16">
        <v>-5.8355829999999997E-2</v>
      </c>
      <c r="E3723">
        <v>-2.9177914999999999E-2</v>
      </c>
    </row>
    <row r="3724" spans="1:5" x14ac:dyDescent="0.3">
      <c r="A3724" s="8">
        <v>86</v>
      </c>
      <c r="B3724" s="8">
        <v>68</v>
      </c>
      <c r="C3724" s="8">
        <v>3546</v>
      </c>
      <c r="D3724" s="16">
        <v>-1.3644409999999999E-2</v>
      </c>
      <c r="E3724">
        <v>-6.8222049999999996E-3</v>
      </c>
    </row>
    <row r="3725" spans="1:5" x14ac:dyDescent="0.3">
      <c r="A3725" s="8">
        <v>86</v>
      </c>
      <c r="B3725" s="8">
        <v>69</v>
      </c>
      <c r="C3725" s="8">
        <v>3573</v>
      </c>
      <c r="D3725" s="16">
        <v>-3.67754E-3</v>
      </c>
      <c r="E3725">
        <v>-1.83877E-3</v>
      </c>
    </row>
    <row r="3726" spans="1:5" x14ac:dyDescent="0.3">
      <c r="A3726" s="8">
        <v>86</v>
      </c>
      <c r="B3726" s="8">
        <v>70</v>
      </c>
      <c r="C3726" s="8">
        <v>3570</v>
      </c>
      <c r="D3726" s="16">
        <v>-1.2292049999999999E-3</v>
      </c>
      <c r="E3726">
        <v>-6.1460249999999996E-4</v>
      </c>
    </row>
    <row r="3727" spans="1:5" x14ac:dyDescent="0.3">
      <c r="A3727" s="8">
        <v>86</v>
      </c>
      <c r="B3727" s="8">
        <v>71</v>
      </c>
      <c r="C3727" s="8">
        <v>3568</v>
      </c>
      <c r="D3727" s="16">
        <v>2.3236449999999999E-2</v>
      </c>
      <c r="E3727">
        <v>1.1618224999999999E-2</v>
      </c>
    </row>
    <row r="3728" spans="1:5" x14ac:dyDescent="0.3">
      <c r="A3728" s="8">
        <v>86</v>
      </c>
      <c r="B3728" s="8">
        <v>72</v>
      </c>
      <c r="C3728" s="8">
        <v>3552</v>
      </c>
      <c r="D3728" s="16">
        <v>-1.152911E-2</v>
      </c>
      <c r="E3728">
        <v>-5.7645550000000002E-3</v>
      </c>
    </row>
    <row r="3729" spans="1:5" x14ac:dyDescent="0.3">
      <c r="A3729" s="8">
        <v>86</v>
      </c>
      <c r="B3729" s="8">
        <v>73</v>
      </c>
      <c r="C3729" s="8">
        <v>3583</v>
      </c>
      <c r="D3729" s="16">
        <v>-2.393472E-2</v>
      </c>
      <c r="E3729">
        <v>-1.196736E-2</v>
      </c>
    </row>
    <row r="3730" spans="1:5" x14ac:dyDescent="0.3">
      <c r="A3730" s="8">
        <v>86</v>
      </c>
      <c r="B3730" s="8">
        <v>74</v>
      </c>
      <c r="C3730" s="8">
        <v>3580</v>
      </c>
      <c r="D3730" s="16">
        <v>-3.4616130000000002E-2</v>
      </c>
      <c r="E3730">
        <v>-1.7308065000000001E-2</v>
      </c>
    </row>
    <row r="3731" spans="1:5" x14ac:dyDescent="0.3">
      <c r="A3731" s="8">
        <v>86</v>
      </c>
      <c r="B3731" s="8">
        <v>75</v>
      </c>
      <c r="C3731" s="8">
        <v>3558</v>
      </c>
      <c r="D3731" s="16">
        <v>-4.19145E-2</v>
      </c>
      <c r="E3731">
        <v>-2.095725E-2</v>
      </c>
    </row>
    <row r="3732" spans="1:5" x14ac:dyDescent="0.3">
      <c r="A3732" s="8">
        <v>86</v>
      </c>
      <c r="B3732" s="8">
        <v>76</v>
      </c>
      <c r="C3732" s="8">
        <v>3582</v>
      </c>
      <c r="D3732" s="16">
        <v>-2.8876579999999999E-2</v>
      </c>
      <c r="E3732">
        <v>-1.4438289999999999E-2</v>
      </c>
    </row>
    <row r="3733" spans="1:5" x14ac:dyDescent="0.3">
      <c r="A3733" s="8">
        <v>86</v>
      </c>
      <c r="B3733" s="8">
        <v>77</v>
      </c>
      <c r="C3733" s="8">
        <v>3594</v>
      </c>
      <c r="D3733" s="16">
        <v>-3.7540469999999999E-2</v>
      </c>
      <c r="E3733">
        <v>-1.8770235E-2</v>
      </c>
    </row>
    <row r="3734" spans="1:5" x14ac:dyDescent="0.3">
      <c r="A3734" s="8">
        <v>86</v>
      </c>
      <c r="B3734" s="8">
        <v>78</v>
      </c>
      <c r="C3734" s="8">
        <v>3588</v>
      </c>
      <c r="D3734" s="16">
        <v>-1.1489620000000001E-2</v>
      </c>
      <c r="E3734">
        <v>-5.7448100000000004E-3</v>
      </c>
    </row>
    <row r="3735" spans="1:5" x14ac:dyDescent="0.3">
      <c r="A3735" s="8">
        <v>86</v>
      </c>
      <c r="B3735" s="8">
        <v>79</v>
      </c>
      <c r="C3735" s="8">
        <v>3558</v>
      </c>
      <c r="D3735" s="16">
        <v>-2.2619489999999999E-2</v>
      </c>
      <c r="E3735">
        <v>-1.1309745E-2</v>
      </c>
    </row>
    <row r="3736" spans="1:5" x14ac:dyDescent="0.3">
      <c r="A3736" s="8">
        <v>86</v>
      </c>
      <c r="B3736" s="8">
        <v>80</v>
      </c>
      <c r="C3736" s="8">
        <v>3587</v>
      </c>
      <c r="D3736" s="16">
        <v>1.16887E-2</v>
      </c>
      <c r="E3736">
        <v>5.8443499999999999E-3</v>
      </c>
    </row>
    <row r="3737" spans="1:5" x14ac:dyDescent="0.3">
      <c r="A3737" s="8">
        <v>86</v>
      </c>
      <c r="B3737" s="8">
        <v>81</v>
      </c>
      <c r="C3737" s="8">
        <v>3581</v>
      </c>
      <c r="D3737" s="16">
        <v>9.2264589999999994E-3</v>
      </c>
      <c r="E3737">
        <v>4.6132294999999997E-3</v>
      </c>
    </row>
    <row r="3738" spans="1:5" x14ac:dyDescent="0.3">
      <c r="A3738" s="8">
        <v>86</v>
      </c>
      <c r="B3738" s="8">
        <v>82</v>
      </c>
      <c r="C3738" s="8">
        <v>3579</v>
      </c>
      <c r="D3738" s="16">
        <v>-1.6853599999999999E-3</v>
      </c>
      <c r="E3738">
        <v>-8.4267999999999995E-4</v>
      </c>
    </row>
    <row r="3739" spans="1:5" x14ac:dyDescent="0.3">
      <c r="A3739" s="8">
        <v>86</v>
      </c>
      <c r="B3739" s="8">
        <v>83</v>
      </c>
      <c r="C3739" s="8">
        <v>3610</v>
      </c>
      <c r="D3739" s="16">
        <v>-2.9429799999999999E-2</v>
      </c>
      <c r="E3739">
        <v>-1.47149E-2</v>
      </c>
    </row>
    <row r="3740" spans="1:5" x14ac:dyDescent="0.3">
      <c r="A3740" s="8">
        <v>86</v>
      </c>
      <c r="B3740" s="8">
        <v>84</v>
      </c>
      <c r="C3740" s="8">
        <v>3551</v>
      </c>
      <c r="D3740" s="16">
        <v>8.2805859999999995E-3</v>
      </c>
      <c r="E3740">
        <v>4.1402929999999998E-3</v>
      </c>
    </row>
    <row r="3741" spans="1:5" x14ac:dyDescent="0.3">
      <c r="A3741" s="8">
        <v>86</v>
      </c>
      <c r="B3741" s="8">
        <v>85</v>
      </c>
      <c r="C3741" s="8">
        <v>3580</v>
      </c>
      <c r="D3741" s="16">
        <v>-1.9647520000000002E-2</v>
      </c>
      <c r="E3741">
        <v>-9.8237600000000008E-3</v>
      </c>
    </row>
    <row r="3742" spans="1:5" x14ac:dyDescent="0.3">
      <c r="A3742" s="8">
        <v>86</v>
      </c>
      <c r="B3742" s="8">
        <v>86</v>
      </c>
      <c r="C3742" s="8">
        <v>3861</v>
      </c>
      <c r="D3742" s="16">
        <v>1.1410709999999999</v>
      </c>
      <c r="E374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Inbreeding parents clams</vt:lpstr>
      <vt:lpstr>Coancestry parents clams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Caballero</dc:creator>
  <cp:lastModifiedBy>Armando Caballero</cp:lastModifiedBy>
  <dcterms:created xsi:type="dcterms:W3CDTF">2024-04-09T10:44:18Z</dcterms:created>
  <dcterms:modified xsi:type="dcterms:W3CDTF">2026-07-19T10:11:08Z</dcterms:modified>
</cp:coreProperties>
</file>