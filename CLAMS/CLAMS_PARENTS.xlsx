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ID_MOLLUSCS\FINAL RESULTS\CLAMS\"/>
    </mc:Choice>
  </mc:AlternateContent>
  <bookViews>
    <workbookView xWindow="-108" yWindow="-108" windowWidth="29700" windowHeight="16200"/>
  </bookViews>
  <sheets>
    <sheet name="Inbreeding parents clams" sheetId="1" r:id="rId1"/>
    <sheet name="Coancestry parents clams" sheetId="10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R10" i="1"/>
  <c r="R11" i="1"/>
  <c r="Q11" i="1"/>
  <c r="Q10" i="1"/>
  <c r="Q9" i="1"/>
  <c r="Q8" i="1"/>
  <c r="Q7" i="1"/>
  <c r="Q6" i="1"/>
  <c r="Q5" i="1"/>
  <c r="Q4" i="1"/>
  <c r="F4" i="10"/>
  <c r="F3" i="10"/>
  <c r="N90" i="1" l="1"/>
  <c r="M90" i="1" l="1"/>
  <c r="M89" i="1"/>
  <c r="E90" i="1" l="1"/>
  <c r="E89" i="1"/>
  <c r="Q3" i="1" l="1"/>
  <c r="Q2" i="1"/>
  <c r="R8" i="1" l="1"/>
  <c r="R7" i="1"/>
  <c r="R6" i="1"/>
  <c r="R5" i="1"/>
  <c r="R4" i="1"/>
  <c r="R3" i="1"/>
  <c r="R13" i="1" l="1"/>
  <c r="F89" i="1" l="1"/>
  <c r="G89" i="1"/>
  <c r="H89" i="1"/>
  <c r="I89" i="1"/>
  <c r="J89" i="1"/>
  <c r="K89" i="1"/>
  <c r="L89" i="1"/>
  <c r="N89" i="1"/>
  <c r="C89" i="1" l="1"/>
</calcChain>
</file>

<file path=xl/sharedStrings.xml><?xml version="1.0" encoding="utf-8"?>
<sst xmlns="http://schemas.openxmlformats.org/spreadsheetml/2006/main" count="195" uniqueCount="110">
  <si>
    <t>ovos</t>
  </si>
  <si>
    <t>ovosR</t>
  </si>
  <si>
    <t>long</t>
  </si>
  <si>
    <t>longR</t>
  </si>
  <si>
    <t>pesoR</t>
  </si>
  <si>
    <t>pesohum</t>
  </si>
  <si>
    <t>pesohumR</t>
  </si>
  <si>
    <t>pesoseco</t>
  </si>
  <si>
    <t>pesosecoR</t>
  </si>
  <si>
    <t>Fhom</t>
  </si>
  <si>
    <t>IND</t>
  </si>
  <si>
    <t xml:space="preserve">F1 </t>
  </si>
  <si>
    <t xml:space="preserve">F2 </t>
  </si>
  <si>
    <t xml:space="preserve">F3 </t>
  </si>
  <si>
    <t xml:space="preserve">F4 </t>
  </si>
  <si>
    <t xml:space="preserve">F5 </t>
  </si>
  <si>
    <t xml:space="preserve">F6 </t>
  </si>
  <si>
    <t xml:space="preserve">F7 </t>
  </si>
  <si>
    <t xml:space="preserve">F8 </t>
  </si>
  <si>
    <t xml:space="preserve">F9 </t>
  </si>
  <si>
    <t xml:space="preserve">F12 </t>
  </si>
  <si>
    <t xml:space="preserve">F13 </t>
  </si>
  <si>
    <t xml:space="preserve">F16 </t>
  </si>
  <si>
    <t xml:space="preserve">F18 </t>
  </si>
  <si>
    <t xml:space="preserve">F19 </t>
  </si>
  <si>
    <t xml:space="preserve">F20 </t>
  </si>
  <si>
    <t xml:space="preserve">F24 </t>
  </si>
  <si>
    <t xml:space="preserve">F26 </t>
  </si>
  <si>
    <t xml:space="preserve">F27 </t>
  </si>
  <si>
    <t xml:space="preserve">F29 </t>
  </si>
  <si>
    <t xml:space="preserve">F30 </t>
  </si>
  <si>
    <t xml:space="preserve">F33 </t>
  </si>
  <si>
    <t xml:space="preserve">F34 </t>
  </si>
  <si>
    <t xml:space="preserve">F35 </t>
  </si>
  <si>
    <t xml:space="preserve">F36 </t>
  </si>
  <si>
    <t xml:space="preserve">F38 </t>
  </si>
  <si>
    <t xml:space="preserve">F40 </t>
  </si>
  <si>
    <t xml:space="preserve">F41 </t>
  </si>
  <si>
    <t xml:space="preserve">F42 </t>
  </si>
  <si>
    <t xml:space="preserve">F45 </t>
  </si>
  <si>
    <t xml:space="preserve">F46 </t>
  </si>
  <si>
    <t xml:space="preserve">F48 </t>
  </si>
  <si>
    <t xml:space="preserve">F49 </t>
  </si>
  <si>
    <t xml:space="preserve">F50 </t>
  </si>
  <si>
    <t xml:space="preserve">F51 </t>
  </si>
  <si>
    <t xml:space="preserve">F52 </t>
  </si>
  <si>
    <t xml:space="preserve">F54 </t>
  </si>
  <si>
    <t xml:space="preserve">F55 </t>
  </si>
  <si>
    <t xml:space="preserve">F56 </t>
  </si>
  <si>
    <t xml:space="preserve">F58 </t>
  </si>
  <si>
    <t xml:space="preserve">F61 </t>
  </si>
  <si>
    <t xml:space="preserve">F75 </t>
  </si>
  <si>
    <t xml:space="preserve">F76 </t>
  </si>
  <si>
    <t xml:space="preserve">F78 </t>
  </si>
  <si>
    <t xml:space="preserve">F79 </t>
  </si>
  <si>
    <t xml:space="preserve">M3 </t>
  </si>
  <si>
    <t xml:space="preserve">M4 </t>
  </si>
  <si>
    <t xml:space="preserve">M5 </t>
  </si>
  <si>
    <t xml:space="preserve">M6 </t>
  </si>
  <si>
    <t xml:space="preserve">M7 </t>
  </si>
  <si>
    <t xml:space="preserve">M8 </t>
  </si>
  <si>
    <t xml:space="preserve">M10 </t>
  </si>
  <si>
    <t xml:space="preserve">M11 </t>
  </si>
  <si>
    <t xml:space="preserve">M15 </t>
  </si>
  <si>
    <t xml:space="preserve">M17 </t>
  </si>
  <si>
    <t xml:space="preserve">M20 </t>
  </si>
  <si>
    <t xml:space="preserve">M21 </t>
  </si>
  <si>
    <t xml:space="preserve">M23 </t>
  </si>
  <si>
    <t xml:space="preserve">M24 </t>
  </si>
  <si>
    <t xml:space="preserve">M28 </t>
  </si>
  <si>
    <t xml:space="preserve">M30 </t>
  </si>
  <si>
    <t xml:space="preserve">M32 </t>
  </si>
  <si>
    <t xml:space="preserve">M35 </t>
  </si>
  <si>
    <t xml:space="preserve">M36 </t>
  </si>
  <si>
    <t xml:space="preserve">M41 </t>
  </si>
  <si>
    <t xml:space="preserve">M42 </t>
  </si>
  <si>
    <t xml:space="preserve">M43 </t>
  </si>
  <si>
    <t xml:space="preserve">M44 </t>
  </si>
  <si>
    <t xml:space="preserve">M45 </t>
  </si>
  <si>
    <t xml:space="preserve">M46 </t>
  </si>
  <si>
    <t xml:space="preserve">M47 </t>
  </si>
  <si>
    <t xml:space="preserve">M48 </t>
  </si>
  <si>
    <t xml:space="preserve">M49 </t>
  </si>
  <si>
    <t xml:space="preserve">M50 </t>
  </si>
  <si>
    <t xml:space="preserve">M59 </t>
  </si>
  <si>
    <t xml:space="preserve">M60 </t>
  </si>
  <si>
    <t xml:space="preserve">M61 </t>
  </si>
  <si>
    <t xml:space="preserve">M62 </t>
  </si>
  <si>
    <t xml:space="preserve">M63 </t>
  </si>
  <si>
    <t xml:space="preserve">M65 </t>
  </si>
  <si>
    <t xml:space="preserve">M66 </t>
  </si>
  <si>
    <t xml:space="preserve">M67 </t>
  </si>
  <si>
    <t xml:space="preserve">M68 </t>
  </si>
  <si>
    <t xml:space="preserve">M77 </t>
  </si>
  <si>
    <t xml:space="preserve">M80 </t>
  </si>
  <si>
    <t xml:space="preserve">M82 </t>
  </si>
  <si>
    <t xml:space="preserve">M84 </t>
  </si>
  <si>
    <t>pheFC</t>
  </si>
  <si>
    <t>F</t>
  </si>
  <si>
    <t>SUM</t>
  </si>
  <si>
    <t>N</t>
  </si>
  <si>
    <t>SNP</t>
  </si>
  <si>
    <t>fVR1</t>
  </si>
  <si>
    <t>f=fVR1/2</t>
  </si>
  <si>
    <t>in1</t>
  </si>
  <si>
    <t>ind2</t>
  </si>
  <si>
    <t>sex</t>
  </si>
  <si>
    <t>Fyang</t>
  </si>
  <si>
    <t>M</t>
  </si>
  <si>
    <t>Coancestry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</si>
</sst>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center"/>
    </xf>
    <xf numFmtId="0" fontId="19" fillId="0" borderId="0" xfId="0" applyFont="1"/>
    <xf numFmtId="164" fontId="0" fillId="0" borderId="0" xfId="0" applyNumberFormat="1"/>
    <xf numFmtId="164" fontId="16" fillId="0" borderId="0" xfId="0" applyNumberFormat="1" applyFont="1"/>
    <xf numFmtId="165" fontId="16" fillId="0" borderId="0" xfId="0" applyNumberFormat="1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4" fontId="18" fillId="0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6" fontId="18" fillId="0" borderId="0" xfId="0" applyNumberFormat="1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baseline="0">
                <a:effectLst/>
              </a:rPr>
              <a:t>(A)</a:t>
            </a:r>
            <a:r>
              <a:rPr lang="es-ES" sz="1600" b="1" i="1" baseline="0">
                <a:effectLst/>
              </a:rPr>
              <a:t> Ruditapes philippinarum</a:t>
            </a:r>
            <a:endParaRPr lang="es-ES" sz="16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1460802524945341"/>
          <c:y val="0.20611111111111111"/>
          <c:w val="0.736175716474747"/>
          <c:h val="0.488833843686205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'Inbreeding parents clams'!$P$3:$P$11</c:f>
              <c:numCache>
                <c:formatCode>General</c:formatCode>
                <c:ptCount val="9"/>
                <c:pt idx="0">
                  <c:v>7.0000000000000007E-2</c:v>
                </c:pt>
                <c:pt idx="1">
                  <c:v>0.09</c:v>
                </c:pt>
                <c:pt idx="2">
                  <c:v>0.11</c:v>
                </c:pt>
                <c:pt idx="3">
                  <c:v>0.13</c:v>
                </c:pt>
                <c:pt idx="4">
                  <c:v>0.15</c:v>
                </c:pt>
                <c:pt idx="5">
                  <c:v>0.17</c:v>
                </c:pt>
                <c:pt idx="6">
                  <c:v>0.19</c:v>
                </c:pt>
                <c:pt idx="7">
                  <c:v>0.21</c:v>
                </c:pt>
                <c:pt idx="8">
                  <c:v>0.23</c:v>
                </c:pt>
              </c:numCache>
            </c:numRef>
          </c:cat>
          <c:val>
            <c:numRef>
              <c:f>'Inbreeding parents clams'!$R$3:$R$11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14</c:v>
                </c:pt>
                <c:pt idx="4">
                  <c:v>24</c:v>
                </c:pt>
                <c:pt idx="5">
                  <c:v>27</c:v>
                </c:pt>
                <c:pt idx="6">
                  <c:v>11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E-4727-AAC1-1BF36226E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15"/>
        <c:axId val="1933313424"/>
        <c:axId val="1933308848"/>
      </c:barChart>
      <c:catAx>
        <c:axId val="193331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800" b="1" i="1">
                    <a:solidFill>
                      <a:sysClr val="windowText" lastClr="000000"/>
                    </a:solidFill>
                  </a:rPr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3308848"/>
        <c:crosses val="autoZero"/>
        <c:auto val="1"/>
        <c:lblAlgn val="ctr"/>
        <c:lblOffset val="100"/>
        <c:noMultiLvlLbl val="0"/>
      </c:catAx>
      <c:valAx>
        <c:axId val="1933308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ysClr val="windowText" lastClr="000000"/>
                    </a:solidFill>
                  </a:rPr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331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baseline="0">
                <a:solidFill>
                  <a:sysClr val="windowText" lastClr="000000"/>
                </a:solidFill>
                <a:effectLst/>
              </a:rPr>
              <a:t>(A) </a:t>
            </a:r>
            <a:r>
              <a:rPr lang="es-ES" sz="1600" b="1" i="1" u="none" strike="noStrike" baseline="0">
                <a:solidFill>
                  <a:sysClr val="windowText" lastClr="000000"/>
                </a:solidFill>
                <a:effectLst/>
              </a:rPr>
              <a:t>Ruditapes philippinarum</a:t>
            </a:r>
            <a:endParaRPr lang="es-ES" sz="1600" b="1" i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81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1046762904636918"/>
          <c:y val="0.1947914843977836"/>
          <c:w val="0.67977537182852132"/>
          <c:h val="0.5227704870224555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'Inbreeding parents clams'!$M$2:$M$87</c:f>
              <c:numCache>
                <c:formatCode>General</c:formatCode>
                <c:ptCount val="86"/>
                <c:pt idx="0">
                  <c:v>0.13812199999999999</c:v>
                </c:pt>
                <c:pt idx="1">
                  <c:v>0.16786000000000001</c:v>
                </c:pt>
                <c:pt idx="2">
                  <c:v>0.135487</c:v>
                </c:pt>
                <c:pt idx="3">
                  <c:v>0.144981</c:v>
                </c:pt>
                <c:pt idx="4">
                  <c:v>0.144485</c:v>
                </c:pt>
                <c:pt idx="5">
                  <c:v>0.110583</c:v>
                </c:pt>
                <c:pt idx="6">
                  <c:v>0.136632</c:v>
                </c:pt>
                <c:pt idx="7">
                  <c:v>0.157302</c:v>
                </c:pt>
                <c:pt idx="8">
                  <c:v>0.18834699999999999</c:v>
                </c:pt>
                <c:pt idx="9">
                  <c:v>0.19157399999999999</c:v>
                </c:pt>
                <c:pt idx="10">
                  <c:v>0.122765</c:v>
                </c:pt>
                <c:pt idx="11">
                  <c:v>0.14269899999999999</c:v>
                </c:pt>
                <c:pt idx="12">
                  <c:v>0.124874</c:v>
                </c:pt>
                <c:pt idx="13">
                  <c:v>0.12886700000000001</c:v>
                </c:pt>
                <c:pt idx="14">
                  <c:v>0.104851</c:v>
                </c:pt>
                <c:pt idx="15">
                  <c:v>0.138103</c:v>
                </c:pt>
                <c:pt idx="16">
                  <c:v>0.18603700000000001</c:v>
                </c:pt>
                <c:pt idx="17">
                  <c:v>0.134857</c:v>
                </c:pt>
                <c:pt idx="18">
                  <c:v>0.13070300000000001</c:v>
                </c:pt>
                <c:pt idx="19">
                  <c:v>0.13436000000000001</c:v>
                </c:pt>
                <c:pt idx="20">
                  <c:v>0.151585</c:v>
                </c:pt>
                <c:pt idx="21">
                  <c:v>9.4478999999999994E-2</c:v>
                </c:pt>
                <c:pt idx="22">
                  <c:v>0.17197599999999999</c:v>
                </c:pt>
                <c:pt idx="23">
                  <c:v>0.14438899999999999</c:v>
                </c:pt>
                <c:pt idx="24">
                  <c:v>0.14594599999999999</c:v>
                </c:pt>
                <c:pt idx="25">
                  <c:v>0.106993</c:v>
                </c:pt>
                <c:pt idx="26">
                  <c:v>0.117046</c:v>
                </c:pt>
                <c:pt idx="27">
                  <c:v>9.5506999999999995E-2</c:v>
                </c:pt>
                <c:pt idx="28">
                  <c:v>0.111678</c:v>
                </c:pt>
                <c:pt idx="29">
                  <c:v>0.14716799999999999</c:v>
                </c:pt>
                <c:pt idx="30">
                  <c:v>5.2500999999999999E-2</c:v>
                </c:pt>
                <c:pt idx="31">
                  <c:v>0.157281</c:v>
                </c:pt>
                <c:pt idx="32">
                  <c:v>0.159446</c:v>
                </c:pt>
                <c:pt idx="33">
                  <c:v>9.9390000000000006E-2</c:v>
                </c:pt>
                <c:pt idx="34">
                  <c:v>0.19373299999999999</c:v>
                </c:pt>
                <c:pt idx="35">
                  <c:v>0.13836000000000001</c:v>
                </c:pt>
                <c:pt idx="36">
                  <c:v>0.105588</c:v>
                </c:pt>
                <c:pt idx="37">
                  <c:v>0.117398</c:v>
                </c:pt>
                <c:pt idx="38">
                  <c:v>0.12735299999999999</c:v>
                </c:pt>
                <c:pt idx="39">
                  <c:v>0.12226099999999999</c:v>
                </c:pt>
                <c:pt idx="40">
                  <c:v>0.16994000000000001</c:v>
                </c:pt>
                <c:pt idx="41">
                  <c:v>0.110193</c:v>
                </c:pt>
                <c:pt idx="42">
                  <c:v>0.136271</c:v>
                </c:pt>
                <c:pt idx="43">
                  <c:v>0.11329599999999999</c:v>
                </c:pt>
                <c:pt idx="44">
                  <c:v>0.11067200000000001</c:v>
                </c:pt>
                <c:pt idx="45">
                  <c:v>0.14873400000000001</c:v>
                </c:pt>
                <c:pt idx="46">
                  <c:v>0.14268</c:v>
                </c:pt>
                <c:pt idx="47">
                  <c:v>0.11527800000000001</c:v>
                </c:pt>
                <c:pt idx="48">
                  <c:v>0.13769000000000001</c:v>
                </c:pt>
                <c:pt idx="49">
                  <c:v>0.17283100000000001</c:v>
                </c:pt>
                <c:pt idx="50">
                  <c:v>0.207812</c:v>
                </c:pt>
                <c:pt idx="51">
                  <c:v>0.17832300000000001</c:v>
                </c:pt>
                <c:pt idx="52">
                  <c:v>0.16650999999999999</c:v>
                </c:pt>
                <c:pt idx="53">
                  <c:v>0.152424</c:v>
                </c:pt>
                <c:pt idx="54">
                  <c:v>0.18116399999999999</c:v>
                </c:pt>
                <c:pt idx="55">
                  <c:v>0.16335</c:v>
                </c:pt>
                <c:pt idx="56">
                  <c:v>0.14869499999999999</c:v>
                </c:pt>
                <c:pt idx="57">
                  <c:v>0.13377500000000001</c:v>
                </c:pt>
                <c:pt idx="58">
                  <c:v>0.15015700000000001</c:v>
                </c:pt>
                <c:pt idx="59">
                  <c:v>0.16306799999999999</c:v>
                </c:pt>
                <c:pt idx="60">
                  <c:v>0.114271</c:v>
                </c:pt>
                <c:pt idx="61">
                  <c:v>0.15551000000000001</c:v>
                </c:pt>
                <c:pt idx="62">
                  <c:v>0.14022999999999999</c:v>
                </c:pt>
                <c:pt idx="63">
                  <c:v>0.15681500000000001</c:v>
                </c:pt>
                <c:pt idx="64">
                  <c:v>0.15174699999999999</c:v>
                </c:pt>
                <c:pt idx="65">
                  <c:v>0.145368</c:v>
                </c:pt>
                <c:pt idx="66">
                  <c:v>0.147702</c:v>
                </c:pt>
                <c:pt idx="67">
                  <c:v>0.124916</c:v>
                </c:pt>
                <c:pt idx="68">
                  <c:v>0.13738600000000001</c:v>
                </c:pt>
                <c:pt idx="69">
                  <c:v>0.109684</c:v>
                </c:pt>
                <c:pt idx="70">
                  <c:v>0.13683100000000001</c:v>
                </c:pt>
                <c:pt idx="71">
                  <c:v>0.12145499999999999</c:v>
                </c:pt>
                <c:pt idx="72">
                  <c:v>0.12156699999999999</c:v>
                </c:pt>
                <c:pt idx="73">
                  <c:v>0.15113399999999999</c:v>
                </c:pt>
                <c:pt idx="74">
                  <c:v>0.12587200000000001</c:v>
                </c:pt>
                <c:pt idx="75">
                  <c:v>0.15091499999999999</c:v>
                </c:pt>
                <c:pt idx="76">
                  <c:v>0.142203</c:v>
                </c:pt>
                <c:pt idx="77">
                  <c:v>0.14781900000000001</c:v>
                </c:pt>
                <c:pt idx="78">
                  <c:v>0.11616600000000001</c:v>
                </c:pt>
                <c:pt idx="79">
                  <c:v>0.160137</c:v>
                </c:pt>
                <c:pt idx="80">
                  <c:v>0.147952</c:v>
                </c:pt>
                <c:pt idx="81">
                  <c:v>0.13966799999999999</c:v>
                </c:pt>
                <c:pt idx="82">
                  <c:v>0.122826</c:v>
                </c:pt>
                <c:pt idx="83">
                  <c:v>0.16916200000000001</c:v>
                </c:pt>
                <c:pt idx="84">
                  <c:v>0.15573000000000001</c:v>
                </c:pt>
                <c:pt idx="85">
                  <c:v>0.16689899999999999</c:v>
                </c:pt>
              </c:numCache>
            </c:numRef>
          </c:xVal>
          <c:yVal>
            <c:numRef>
              <c:f>'Inbreeding parents clams'!$E$2:$E$87</c:f>
              <c:numCache>
                <c:formatCode>General</c:formatCode>
                <c:ptCount val="86"/>
                <c:pt idx="0">
                  <c:v>39.049999999999997</c:v>
                </c:pt>
                <c:pt idx="1">
                  <c:v>35.32</c:v>
                </c:pt>
                <c:pt idx="2">
                  <c:v>40.1</c:v>
                </c:pt>
                <c:pt idx="3">
                  <c:v>35.94</c:v>
                </c:pt>
                <c:pt idx="4">
                  <c:v>39.08</c:v>
                </c:pt>
                <c:pt idx="5">
                  <c:v>38.520000000000003</c:v>
                </c:pt>
                <c:pt idx="6">
                  <c:v>40.39</c:v>
                </c:pt>
                <c:pt idx="7">
                  <c:v>36.85</c:v>
                </c:pt>
                <c:pt idx="8">
                  <c:v>38.74</c:v>
                </c:pt>
                <c:pt idx="9">
                  <c:v>37.28</c:v>
                </c:pt>
                <c:pt idx="10">
                  <c:v>40.06</c:v>
                </c:pt>
                <c:pt idx="11">
                  <c:v>38.64</c:v>
                </c:pt>
                <c:pt idx="12">
                  <c:v>36.56</c:v>
                </c:pt>
                <c:pt idx="13">
                  <c:v>37.659999999999997</c:v>
                </c:pt>
                <c:pt idx="14">
                  <c:v>39.69</c:v>
                </c:pt>
                <c:pt idx="15">
                  <c:v>39.130000000000003</c:v>
                </c:pt>
                <c:pt idx="16">
                  <c:v>39.33</c:v>
                </c:pt>
                <c:pt idx="17">
                  <c:v>36.25</c:v>
                </c:pt>
                <c:pt idx="18">
                  <c:v>37.94</c:v>
                </c:pt>
                <c:pt idx="19">
                  <c:v>37.47</c:v>
                </c:pt>
                <c:pt idx="20">
                  <c:v>35.979999999999997</c:v>
                </c:pt>
                <c:pt idx="21">
                  <c:v>37.75</c:v>
                </c:pt>
                <c:pt idx="22">
                  <c:v>34.35</c:v>
                </c:pt>
                <c:pt idx="23">
                  <c:v>39.549999999999997</c:v>
                </c:pt>
                <c:pt idx="24">
                  <c:v>40.17</c:v>
                </c:pt>
                <c:pt idx="25">
                  <c:v>38.549999999999997</c:v>
                </c:pt>
                <c:pt idx="26">
                  <c:v>40.6</c:v>
                </c:pt>
                <c:pt idx="27">
                  <c:v>44.66</c:v>
                </c:pt>
                <c:pt idx="28">
                  <c:v>39.61</c:v>
                </c:pt>
                <c:pt idx="29">
                  <c:v>41.72</c:v>
                </c:pt>
                <c:pt idx="30">
                  <c:v>38.04</c:v>
                </c:pt>
                <c:pt idx="31">
                  <c:v>39.020000000000003</c:v>
                </c:pt>
                <c:pt idx="32">
                  <c:v>37.06</c:v>
                </c:pt>
                <c:pt idx="33">
                  <c:v>39.08</c:v>
                </c:pt>
                <c:pt idx="34">
                  <c:v>36.57</c:v>
                </c:pt>
                <c:pt idx="35">
                  <c:v>36.21</c:v>
                </c:pt>
                <c:pt idx="36">
                  <c:v>40.44</c:v>
                </c:pt>
                <c:pt idx="37">
                  <c:v>37.49</c:v>
                </c:pt>
                <c:pt idx="38">
                  <c:v>35.79</c:v>
                </c:pt>
                <c:pt idx="39">
                  <c:v>36.81</c:v>
                </c:pt>
                <c:pt idx="40">
                  <c:v>35.61</c:v>
                </c:pt>
                <c:pt idx="41">
                  <c:v>34.46</c:v>
                </c:pt>
                <c:pt idx="42">
                  <c:v>40.56</c:v>
                </c:pt>
                <c:pt idx="43">
                  <c:v>36.86</c:v>
                </c:pt>
                <c:pt idx="44">
                  <c:v>41.3</c:v>
                </c:pt>
                <c:pt idx="45">
                  <c:v>41.22</c:v>
                </c:pt>
                <c:pt idx="46">
                  <c:v>35.130000000000003</c:v>
                </c:pt>
                <c:pt idx="47">
                  <c:v>40.96</c:v>
                </c:pt>
                <c:pt idx="48">
                  <c:v>38.08</c:v>
                </c:pt>
                <c:pt idx="49">
                  <c:v>40.71</c:v>
                </c:pt>
                <c:pt idx="50">
                  <c:v>39.729999999999997</c:v>
                </c:pt>
                <c:pt idx="51">
                  <c:v>36.1</c:v>
                </c:pt>
                <c:pt idx="52">
                  <c:v>38.950000000000003</c:v>
                </c:pt>
                <c:pt idx="53">
                  <c:v>35</c:v>
                </c:pt>
                <c:pt idx="54">
                  <c:v>35.380000000000003</c:v>
                </c:pt>
                <c:pt idx="55">
                  <c:v>38.51</c:v>
                </c:pt>
                <c:pt idx="56">
                  <c:v>33.96</c:v>
                </c:pt>
                <c:pt idx="57">
                  <c:v>35.590000000000003</c:v>
                </c:pt>
                <c:pt idx="58">
                  <c:v>38.82</c:v>
                </c:pt>
                <c:pt idx="59">
                  <c:v>34.26</c:v>
                </c:pt>
                <c:pt idx="60">
                  <c:v>38.86</c:v>
                </c:pt>
                <c:pt idx="61">
                  <c:v>37.840000000000003</c:v>
                </c:pt>
                <c:pt idx="62">
                  <c:v>34.67</c:v>
                </c:pt>
                <c:pt idx="63">
                  <c:v>38.97</c:v>
                </c:pt>
                <c:pt idx="64">
                  <c:v>36.130000000000003</c:v>
                </c:pt>
                <c:pt idx="65">
                  <c:v>35.659999999999997</c:v>
                </c:pt>
                <c:pt idx="66">
                  <c:v>40.68</c:v>
                </c:pt>
                <c:pt idx="67">
                  <c:v>39.6</c:v>
                </c:pt>
                <c:pt idx="68">
                  <c:v>40.61</c:v>
                </c:pt>
                <c:pt idx="69">
                  <c:v>38.22</c:v>
                </c:pt>
                <c:pt idx="70">
                  <c:v>40.19</c:v>
                </c:pt>
                <c:pt idx="71">
                  <c:v>37.29</c:v>
                </c:pt>
                <c:pt idx="72">
                  <c:v>39.85</c:v>
                </c:pt>
                <c:pt idx="73">
                  <c:v>42.54</c:v>
                </c:pt>
                <c:pt idx="74">
                  <c:v>37.479999999999997</c:v>
                </c:pt>
                <c:pt idx="75">
                  <c:v>37.82</c:v>
                </c:pt>
                <c:pt idx="76">
                  <c:v>33.44</c:v>
                </c:pt>
                <c:pt idx="77">
                  <c:v>37.020000000000003</c:v>
                </c:pt>
                <c:pt idx="78">
                  <c:v>38.04</c:v>
                </c:pt>
                <c:pt idx="79">
                  <c:v>37.229999999999997</c:v>
                </c:pt>
                <c:pt idx="80">
                  <c:v>34.86</c:v>
                </c:pt>
                <c:pt idx="81">
                  <c:v>42.07</c:v>
                </c:pt>
                <c:pt idx="82">
                  <c:v>37.700000000000003</c:v>
                </c:pt>
                <c:pt idx="83">
                  <c:v>35.79</c:v>
                </c:pt>
                <c:pt idx="84">
                  <c:v>35.92</c:v>
                </c:pt>
                <c:pt idx="85">
                  <c:v>36.25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E5-469D-99C4-193366F76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062240"/>
        <c:axId val="498062656"/>
      </c:scatterChart>
      <c:valAx>
        <c:axId val="498062240"/>
        <c:scaling>
          <c:orientation val="minMax"/>
          <c:max val="0.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800" b="1" i="1" baseline="0">
                    <a:solidFill>
                      <a:sysClr val="windowText" lastClr="000000"/>
                    </a:solidFill>
                  </a:rPr>
                  <a:t>F</a:t>
                </a:r>
                <a:endParaRPr lang="es-ES" sz="1800" b="1" i="1" baseline="-250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062656"/>
        <c:crossesAt val="-0.25"/>
        <c:crossBetween val="midCat"/>
        <c:majorUnit val="5.000000000000001E-2"/>
      </c:valAx>
      <c:valAx>
        <c:axId val="498062656"/>
        <c:scaling>
          <c:orientation val="minMax"/>
          <c:max val="50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ysClr val="windowText" lastClr="000000"/>
                    </a:solidFill>
                  </a:rPr>
                  <a:t>Length 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351107101195683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062240"/>
        <c:crossesAt val="-0.2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1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1" baseline="0">
                <a:solidFill>
                  <a:sysClr val="windowText" lastClr="000000"/>
                </a:solidFill>
                <a:effectLst/>
              </a:rPr>
              <a:t>Ruditapes philippinarum</a:t>
            </a:r>
            <a:endParaRPr lang="es-ES" sz="2000">
              <a:solidFill>
                <a:sysClr val="windowText" lastClr="000000"/>
              </a:solidFill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1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826465805924079"/>
          <c:y val="0.13740740740740739"/>
          <c:w val="0.63026471423533426"/>
          <c:h val="0.67430057353941864"/>
        </c:manualLayout>
      </c:layout>
      <c:scatterChart>
        <c:scatterStyle val="lineMarker"/>
        <c:varyColors val="0"/>
        <c:ser>
          <c:idx val="0"/>
          <c:order val="0"/>
          <c:tx>
            <c:v>females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888437399546221"/>
                  <c:y val="-0.293436862058909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DATOS!#REF!</c:f>
            </c:numRef>
          </c:xVal>
          <c:yVal>
            <c:numRef>
              <c:f>'Inbreeding parents clams'!$F$2:$F$45</c:f>
            </c:numRef>
          </c:yVal>
          <c:smooth val="0"/>
          <c:extLst>
            <c:ext xmlns:c16="http://schemas.microsoft.com/office/drawing/2014/chart" uri="{C3380CC4-5D6E-409C-BE32-E72D297353CC}">
              <c16:uniqueId val="{00000000-0D3E-4B78-A3C5-261670974DBE}"/>
            </c:ext>
          </c:extLst>
        </c:ser>
        <c:ser>
          <c:idx val="1"/>
          <c:order val="1"/>
          <c:tx>
            <c:v>males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4862696265226061"/>
                  <c:y val="-0.338176582093904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DATOS!#REF!</c:f>
            </c:numRef>
          </c:xVal>
          <c:yVal>
            <c:numRef>
              <c:f>'Inbreeding parents clams'!$F$46:$F$87</c:f>
            </c:numRef>
          </c:yVal>
          <c:smooth val="0"/>
          <c:extLst>
            <c:ext xmlns:c16="http://schemas.microsoft.com/office/drawing/2014/chart" uri="{C3380CC4-5D6E-409C-BE32-E72D297353CC}">
              <c16:uniqueId val="{00000001-0D3E-4B78-A3C5-261670974DBE}"/>
            </c:ext>
          </c:extLst>
        </c:ser>
        <c:ser>
          <c:idx val="2"/>
          <c:order val="2"/>
          <c:tx>
            <c:v>Females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4651022454084457"/>
                  <c:y val="-0.352386993292505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'Inbreeding parents clams'!$M$2:$M$45</c:f>
              <c:numCache>
                <c:formatCode>General</c:formatCode>
                <c:ptCount val="44"/>
                <c:pt idx="0">
                  <c:v>0.13812199999999999</c:v>
                </c:pt>
                <c:pt idx="1">
                  <c:v>0.16786000000000001</c:v>
                </c:pt>
                <c:pt idx="2">
                  <c:v>0.135487</c:v>
                </c:pt>
                <c:pt idx="3">
                  <c:v>0.144981</c:v>
                </c:pt>
                <c:pt idx="4">
                  <c:v>0.144485</c:v>
                </c:pt>
                <c:pt idx="5">
                  <c:v>0.110583</c:v>
                </c:pt>
                <c:pt idx="6">
                  <c:v>0.136632</c:v>
                </c:pt>
                <c:pt idx="7">
                  <c:v>0.157302</c:v>
                </c:pt>
                <c:pt idx="8">
                  <c:v>0.18834699999999999</c:v>
                </c:pt>
                <c:pt idx="9">
                  <c:v>0.19157399999999999</c:v>
                </c:pt>
                <c:pt idx="10">
                  <c:v>0.122765</c:v>
                </c:pt>
                <c:pt idx="11">
                  <c:v>0.14269899999999999</c:v>
                </c:pt>
                <c:pt idx="12">
                  <c:v>0.124874</c:v>
                </c:pt>
                <c:pt idx="13">
                  <c:v>0.12886700000000001</c:v>
                </c:pt>
                <c:pt idx="14">
                  <c:v>0.104851</c:v>
                </c:pt>
                <c:pt idx="15">
                  <c:v>0.138103</c:v>
                </c:pt>
                <c:pt idx="16">
                  <c:v>0.18603700000000001</c:v>
                </c:pt>
                <c:pt idx="17">
                  <c:v>0.134857</c:v>
                </c:pt>
                <c:pt idx="18">
                  <c:v>0.13070300000000001</c:v>
                </c:pt>
                <c:pt idx="19">
                  <c:v>0.13436000000000001</c:v>
                </c:pt>
                <c:pt idx="20">
                  <c:v>0.151585</c:v>
                </c:pt>
                <c:pt idx="21">
                  <c:v>9.4478999999999994E-2</c:v>
                </c:pt>
                <c:pt idx="22">
                  <c:v>0.17197599999999999</c:v>
                </c:pt>
                <c:pt idx="23">
                  <c:v>0.14438899999999999</c:v>
                </c:pt>
                <c:pt idx="24">
                  <c:v>0.14594599999999999</c:v>
                </c:pt>
                <c:pt idx="25">
                  <c:v>0.106993</c:v>
                </c:pt>
                <c:pt idx="26">
                  <c:v>0.117046</c:v>
                </c:pt>
                <c:pt idx="27">
                  <c:v>9.5506999999999995E-2</c:v>
                </c:pt>
                <c:pt idx="28">
                  <c:v>0.111678</c:v>
                </c:pt>
                <c:pt idx="29">
                  <c:v>0.14716799999999999</c:v>
                </c:pt>
                <c:pt idx="30">
                  <c:v>5.2500999999999999E-2</c:v>
                </c:pt>
                <c:pt idx="31">
                  <c:v>0.157281</c:v>
                </c:pt>
                <c:pt idx="32">
                  <c:v>0.159446</c:v>
                </c:pt>
                <c:pt idx="33">
                  <c:v>9.9390000000000006E-2</c:v>
                </c:pt>
                <c:pt idx="34">
                  <c:v>0.19373299999999999</c:v>
                </c:pt>
                <c:pt idx="35">
                  <c:v>0.13836000000000001</c:v>
                </c:pt>
                <c:pt idx="36">
                  <c:v>0.105588</c:v>
                </c:pt>
                <c:pt idx="37">
                  <c:v>0.117398</c:v>
                </c:pt>
                <c:pt idx="38">
                  <c:v>0.12735299999999999</c:v>
                </c:pt>
                <c:pt idx="39">
                  <c:v>0.12226099999999999</c:v>
                </c:pt>
                <c:pt idx="40">
                  <c:v>0.16994000000000001</c:v>
                </c:pt>
                <c:pt idx="41">
                  <c:v>0.110193</c:v>
                </c:pt>
                <c:pt idx="42">
                  <c:v>0.136271</c:v>
                </c:pt>
                <c:pt idx="43">
                  <c:v>0.11329599999999999</c:v>
                </c:pt>
              </c:numCache>
            </c:numRef>
          </c:xVal>
          <c:yVal>
            <c:numRef>
              <c:f>'Inbreeding parents clams'!$E$2:$E$79</c:f>
              <c:numCache>
                <c:formatCode>General</c:formatCode>
                <c:ptCount val="78"/>
                <c:pt idx="0">
                  <c:v>39.049999999999997</c:v>
                </c:pt>
                <c:pt idx="1">
                  <c:v>35.32</c:v>
                </c:pt>
                <c:pt idx="2">
                  <c:v>40.1</c:v>
                </c:pt>
                <c:pt idx="3">
                  <c:v>35.94</c:v>
                </c:pt>
                <c:pt idx="4">
                  <c:v>39.08</c:v>
                </c:pt>
                <c:pt idx="5">
                  <c:v>38.520000000000003</c:v>
                </c:pt>
                <c:pt idx="6">
                  <c:v>40.39</c:v>
                </c:pt>
                <c:pt idx="7">
                  <c:v>36.85</c:v>
                </c:pt>
                <c:pt idx="8">
                  <c:v>38.74</c:v>
                </c:pt>
                <c:pt idx="9">
                  <c:v>37.28</c:v>
                </c:pt>
                <c:pt idx="10">
                  <c:v>40.06</c:v>
                </c:pt>
                <c:pt idx="11">
                  <c:v>38.64</c:v>
                </c:pt>
                <c:pt idx="12">
                  <c:v>36.56</c:v>
                </c:pt>
                <c:pt idx="13">
                  <c:v>37.659999999999997</c:v>
                </c:pt>
                <c:pt idx="14">
                  <c:v>39.69</c:v>
                </c:pt>
                <c:pt idx="15">
                  <c:v>39.130000000000003</c:v>
                </c:pt>
                <c:pt idx="16">
                  <c:v>39.33</c:v>
                </c:pt>
                <c:pt idx="17">
                  <c:v>36.25</c:v>
                </c:pt>
                <c:pt idx="18">
                  <c:v>37.94</c:v>
                </c:pt>
                <c:pt idx="19">
                  <c:v>37.47</c:v>
                </c:pt>
                <c:pt idx="20">
                  <c:v>35.979999999999997</c:v>
                </c:pt>
                <c:pt idx="21">
                  <c:v>37.75</c:v>
                </c:pt>
                <c:pt idx="22">
                  <c:v>34.35</c:v>
                </c:pt>
                <c:pt idx="23">
                  <c:v>39.549999999999997</c:v>
                </c:pt>
                <c:pt idx="24">
                  <c:v>40.17</c:v>
                </c:pt>
                <c:pt idx="25">
                  <c:v>38.549999999999997</c:v>
                </c:pt>
                <c:pt idx="26">
                  <c:v>40.6</c:v>
                </c:pt>
                <c:pt idx="27">
                  <c:v>44.66</c:v>
                </c:pt>
                <c:pt idx="28">
                  <c:v>39.61</c:v>
                </c:pt>
                <c:pt idx="29">
                  <c:v>41.72</c:v>
                </c:pt>
                <c:pt idx="30">
                  <c:v>38.04</c:v>
                </c:pt>
                <c:pt idx="31">
                  <c:v>39.020000000000003</c:v>
                </c:pt>
                <c:pt idx="32">
                  <c:v>37.06</c:v>
                </c:pt>
                <c:pt idx="33">
                  <c:v>39.08</c:v>
                </c:pt>
                <c:pt idx="34">
                  <c:v>36.57</c:v>
                </c:pt>
                <c:pt idx="35">
                  <c:v>36.21</c:v>
                </c:pt>
                <c:pt idx="36">
                  <c:v>40.44</c:v>
                </c:pt>
                <c:pt idx="37">
                  <c:v>37.49</c:v>
                </c:pt>
                <c:pt idx="38">
                  <c:v>35.79</c:v>
                </c:pt>
                <c:pt idx="39">
                  <c:v>36.81</c:v>
                </c:pt>
                <c:pt idx="40">
                  <c:v>35.61</c:v>
                </c:pt>
                <c:pt idx="41">
                  <c:v>34.46</c:v>
                </c:pt>
                <c:pt idx="42">
                  <c:v>40.56</c:v>
                </c:pt>
                <c:pt idx="43">
                  <c:v>36.86</c:v>
                </c:pt>
                <c:pt idx="44">
                  <c:v>41.3</c:v>
                </c:pt>
                <c:pt idx="45">
                  <c:v>41.22</c:v>
                </c:pt>
                <c:pt idx="46">
                  <c:v>35.130000000000003</c:v>
                </c:pt>
                <c:pt idx="47">
                  <c:v>40.96</c:v>
                </c:pt>
                <c:pt idx="48">
                  <c:v>38.08</c:v>
                </c:pt>
                <c:pt idx="49">
                  <c:v>40.71</c:v>
                </c:pt>
                <c:pt idx="50">
                  <c:v>39.729999999999997</c:v>
                </c:pt>
                <c:pt idx="51">
                  <c:v>36.1</c:v>
                </c:pt>
                <c:pt idx="52">
                  <c:v>38.950000000000003</c:v>
                </c:pt>
                <c:pt idx="53">
                  <c:v>35</c:v>
                </c:pt>
                <c:pt idx="54">
                  <c:v>35.380000000000003</c:v>
                </c:pt>
                <c:pt idx="55">
                  <c:v>38.51</c:v>
                </c:pt>
                <c:pt idx="56">
                  <c:v>33.96</c:v>
                </c:pt>
                <c:pt idx="57">
                  <c:v>35.590000000000003</c:v>
                </c:pt>
                <c:pt idx="58">
                  <c:v>38.82</c:v>
                </c:pt>
                <c:pt idx="59">
                  <c:v>34.26</c:v>
                </c:pt>
                <c:pt idx="60">
                  <c:v>38.86</c:v>
                </c:pt>
                <c:pt idx="61">
                  <c:v>37.840000000000003</c:v>
                </c:pt>
                <c:pt idx="62">
                  <c:v>34.67</c:v>
                </c:pt>
                <c:pt idx="63">
                  <c:v>38.97</c:v>
                </c:pt>
                <c:pt idx="64">
                  <c:v>36.130000000000003</c:v>
                </c:pt>
                <c:pt idx="65">
                  <c:v>35.659999999999997</c:v>
                </c:pt>
                <c:pt idx="66">
                  <c:v>40.68</c:v>
                </c:pt>
                <c:pt idx="67">
                  <c:v>39.6</c:v>
                </c:pt>
                <c:pt idx="68">
                  <c:v>40.61</c:v>
                </c:pt>
                <c:pt idx="69">
                  <c:v>38.22</c:v>
                </c:pt>
                <c:pt idx="70">
                  <c:v>40.19</c:v>
                </c:pt>
                <c:pt idx="71">
                  <c:v>37.29</c:v>
                </c:pt>
                <c:pt idx="72">
                  <c:v>39.85</c:v>
                </c:pt>
                <c:pt idx="73">
                  <c:v>42.54</c:v>
                </c:pt>
                <c:pt idx="74">
                  <c:v>37.479999999999997</c:v>
                </c:pt>
                <c:pt idx="75">
                  <c:v>37.82</c:v>
                </c:pt>
                <c:pt idx="76">
                  <c:v>33.44</c:v>
                </c:pt>
                <c:pt idx="77">
                  <c:v>37.020000000000003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E-4B78-A3C5-261670974DBE}"/>
            </c:ext>
          </c:extLst>
        </c:ser>
        <c:ser>
          <c:idx val="3"/>
          <c:order val="3"/>
          <c:tx>
            <c:v>Males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rgbClr val="00B05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1101616006281035"/>
                  <c:y val="-0.306974336541265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'Inbreeding parents clams'!$M$46:$M$87</c:f>
              <c:numCache>
                <c:formatCode>General</c:formatCode>
                <c:ptCount val="42"/>
                <c:pt idx="0">
                  <c:v>0.11067200000000001</c:v>
                </c:pt>
                <c:pt idx="1">
                  <c:v>0.14873400000000001</c:v>
                </c:pt>
                <c:pt idx="2">
                  <c:v>0.14268</c:v>
                </c:pt>
                <c:pt idx="3">
                  <c:v>0.11527800000000001</c:v>
                </c:pt>
                <c:pt idx="4">
                  <c:v>0.13769000000000001</c:v>
                </c:pt>
                <c:pt idx="5">
                  <c:v>0.17283100000000001</c:v>
                </c:pt>
                <c:pt idx="6">
                  <c:v>0.207812</c:v>
                </c:pt>
                <c:pt idx="7">
                  <c:v>0.17832300000000001</c:v>
                </c:pt>
                <c:pt idx="8">
                  <c:v>0.16650999999999999</c:v>
                </c:pt>
                <c:pt idx="9">
                  <c:v>0.152424</c:v>
                </c:pt>
                <c:pt idx="10">
                  <c:v>0.18116399999999999</c:v>
                </c:pt>
                <c:pt idx="11">
                  <c:v>0.16335</c:v>
                </c:pt>
                <c:pt idx="12">
                  <c:v>0.14869499999999999</c:v>
                </c:pt>
                <c:pt idx="13">
                  <c:v>0.13377500000000001</c:v>
                </c:pt>
                <c:pt idx="14">
                  <c:v>0.15015700000000001</c:v>
                </c:pt>
                <c:pt idx="15">
                  <c:v>0.16306799999999999</c:v>
                </c:pt>
                <c:pt idx="16">
                  <c:v>0.114271</c:v>
                </c:pt>
                <c:pt idx="17">
                  <c:v>0.15551000000000001</c:v>
                </c:pt>
                <c:pt idx="18">
                  <c:v>0.14022999999999999</c:v>
                </c:pt>
                <c:pt idx="19">
                  <c:v>0.15681500000000001</c:v>
                </c:pt>
                <c:pt idx="20">
                  <c:v>0.15174699999999999</c:v>
                </c:pt>
                <c:pt idx="21">
                  <c:v>0.145368</c:v>
                </c:pt>
                <c:pt idx="22">
                  <c:v>0.147702</c:v>
                </c:pt>
                <c:pt idx="23">
                  <c:v>0.124916</c:v>
                </c:pt>
                <c:pt idx="24">
                  <c:v>0.13738600000000001</c:v>
                </c:pt>
                <c:pt idx="25">
                  <c:v>0.109684</c:v>
                </c:pt>
                <c:pt idx="26">
                  <c:v>0.13683100000000001</c:v>
                </c:pt>
                <c:pt idx="27">
                  <c:v>0.12145499999999999</c:v>
                </c:pt>
                <c:pt idx="28">
                  <c:v>0.12156699999999999</c:v>
                </c:pt>
                <c:pt idx="29">
                  <c:v>0.15113399999999999</c:v>
                </c:pt>
                <c:pt idx="30">
                  <c:v>0.12587200000000001</c:v>
                </c:pt>
                <c:pt idx="31">
                  <c:v>0.15091499999999999</c:v>
                </c:pt>
                <c:pt idx="32">
                  <c:v>0.142203</c:v>
                </c:pt>
                <c:pt idx="33">
                  <c:v>0.14781900000000001</c:v>
                </c:pt>
                <c:pt idx="34">
                  <c:v>0.11616600000000001</c:v>
                </c:pt>
                <c:pt idx="35">
                  <c:v>0.160137</c:v>
                </c:pt>
                <c:pt idx="36">
                  <c:v>0.147952</c:v>
                </c:pt>
                <c:pt idx="37">
                  <c:v>0.13966799999999999</c:v>
                </c:pt>
                <c:pt idx="38">
                  <c:v>0.122826</c:v>
                </c:pt>
                <c:pt idx="39">
                  <c:v>0.16916200000000001</c:v>
                </c:pt>
                <c:pt idx="40">
                  <c:v>0.15573000000000001</c:v>
                </c:pt>
                <c:pt idx="41">
                  <c:v>0.16689899999999999</c:v>
                </c:pt>
              </c:numCache>
            </c:numRef>
          </c:xVal>
          <c:yVal>
            <c:numRef>
              <c:f>'Inbreeding parents clams'!$E$46:$E$87</c:f>
              <c:numCache>
                <c:formatCode>General</c:formatCode>
                <c:ptCount val="42"/>
                <c:pt idx="0">
                  <c:v>41.3</c:v>
                </c:pt>
                <c:pt idx="1">
                  <c:v>41.22</c:v>
                </c:pt>
                <c:pt idx="2">
                  <c:v>35.130000000000003</c:v>
                </c:pt>
                <c:pt idx="3">
                  <c:v>40.96</c:v>
                </c:pt>
                <c:pt idx="4">
                  <c:v>38.08</c:v>
                </c:pt>
                <c:pt idx="5">
                  <c:v>40.71</c:v>
                </c:pt>
                <c:pt idx="6">
                  <c:v>39.729999999999997</c:v>
                </c:pt>
                <c:pt idx="7">
                  <c:v>36.1</c:v>
                </c:pt>
                <c:pt idx="8">
                  <c:v>38.950000000000003</c:v>
                </c:pt>
                <c:pt idx="9">
                  <c:v>35</c:v>
                </c:pt>
                <c:pt idx="10">
                  <c:v>35.380000000000003</c:v>
                </c:pt>
                <c:pt idx="11">
                  <c:v>38.51</c:v>
                </c:pt>
                <c:pt idx="12">
                  <c:v>33.96</c:v>
                </c:pt>
                <c:pt idx="13">
                  <c:v>35.590000000000003</c:v>
                </c:pt>
                <c:pt idx="14">
                  <c:v>38.82</c:v>
                </c:pt>
                <c:pt idx="15">
                  <c:v>34.26</c:v>
                </c:pt>
                <c:pt idx="16">
                  <c:v>38.86</c:v>
                </c:pt>
                <c:pt idx="17">
                  <c:v>37.840000000000003</c:v>
                </c:pt>
                <c:pt idx="18">
                  <c:v>34.67</c:v>
                </c:pt>
                <c:pt idx="19">
                  <c:v>38.97</c:v>
                </c:pt>
                <c:pt idx="20">
                  <c:v>36.130000000000003</c:v>
                </c:pt>
                <c:pt idx="21">
                  <c:v>35.659999999999997</c:v>
                </c:pt>
                <c:pt idx="22">
                  <c:v>40.68</c:v>
                </c:pt>
                <c:pt idx="23">
                  <c:v>39.6</c:v>
                </c:pt>
                <c:pt idx="24">
                  <c:v>40.61</c:v>
                </c:pt>
                <c:pt idx="25">
                  <c:v>38.22</c:v>
                </c:pt>
                <c:pt idx="26">
                  <c:v>40.19</c:v>
                </c:pt>
                <c:pt idx="27">
                  <c:v>37.29</c:v>
                </c:pt>
                <c:pt idx="28">
                  <c:v>39.85</c:v>
                </c:pt>
                <c:pt idx="29">
                  <c:v>42.54</c:v>
                </c:pt>
                <c:pt idx="30">
                  <c:v>37.479999999999997</c:v>
                </c:pt>
                <c:pt idx="31">
                  <c:v>37.82</c:v>
                </c:pt>
                <c:pt idx="32">
                  <c:v>33.44</c:v>
                </c:pt>
                <c:pt idx="33">
                  <c:v>37.020000000000003</c:v>
                </c:pt>
                <c:pt idx="34">
                  <c:v>38.04</c:v>
                </c:pt>
                <c:pt idx="35">
                  <c:v>37.229999999999997</c:v>
                </c:pt>
                <c:pt idx="36">
                  <c:v>34.86</c:v>
                </c:pt>
                <c:pt idx="37">
                  <c:v>42.07</c:v>
                </c:pt>
                <c:pt idx="38">
                  <c:v>37.700000000000003</c:v>
                </c:pt>
                <c:pt idx="39">
                  <c:v>35.79</c:v>
                </c:pt>
                <c:pt idx="40">
                  <c:v>35.92</c:v>
                </c:pt>
                <c:pt idx="41">
                  <c:v>36.25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E-4B78-A3C5-261670974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062240"/>
        <c:axId val="498062656"/>
      </c:scatterChart>
      <c:valAx>
        <c:axId val="49806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600" b="1" i="1">
                    <a:solidFill>
                      <a:sysClr val="windowText" lastClr="000000"/>
                    </a:solidFill>
                  </a:rPr>
                  <a:t>F</a:t>
                </a:r>
                <a:r>
                  <a:rPr lang="es-ES" sz="1600" b="1" i="1" baseline="-25000">
                    <a:solidFill>
                      <a:sysClr val="windowText" lastClr="000000"/>
                    </a:solidFill>
                  </a:rPr>
                  <a:t>YANG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062656"/>
        <c:crossesAt val="-0.25"/>
        <c:crossBetween val="midCat"/>
      </c:valAx>
      <c:valAx>
        <c:axId val="498062656"/>
        <c:scaling>
          <c:orientation val="minMax"/>
          <c:max val="50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ysClr val="windowText" lastClr="000000"/>
                    </a:solidFill>
                  </a:rPr>
                  <a:t>Length </a:t>
                </a:r>
              </a:p>
            </c:rich>
          </c:tx>
          <c:layout>
            <c:manualLayout>
              <c:xMode val="edge"/>
              <c:yMode val="edge"/>
              <c:x val="2.1799445105033691E-2"/>
              <c:y val="0.404511276368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062240"/>
        <c:crossesAt val="-0.25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5170915763948043"/>
          <c:y val="0.45596383785360167"/>
          <c:w val="0.17298366836131215"/>
          <c:h val="0.17132837561971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152400</xdr:colOff>
      <xdr:row>1</xdr:row>
      <xdr:rowOff>91440</xdr:rowOff>
    </xdr:from>
    <xdr:to>
      <xdr:col>24</xdr:col>
      <xdr:colOff>144780</xdr:colOff>
      <xdr:row>16</xdr:row>
      <xdr:rowOff>91440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144780</xdr:colOff>
      <xdr:row>17</xdr:row>
      <xdr:rowOff>53340</xdr:rowOff>
    </xdr:from>
    <xdr:to>
      <xdr:col>24</xdr:col>
      <xdr:colOff>754380</xdr:colOff>
      <xdr:row>32</xdr:row>
      <xdr:rowOff>7620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746760</xdr:colOff>
      <xdr:row>1</xdr:row>
      <xdr:rowOff>129540</xdr:rowOff>
    </xdr:from>
    <xdr:to>
      <xdr:col>32</xdr:col>
      <xdr:colOff>571500</xdr:colOff>
      <xdr:row>23</xdr:row>
      <xdr:rowOff>175260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34</xdr:row>
      <xdr:rowOff>0</xdr:rowOff>
    </xdr:from>
    <xdr:to>
      <xdr:col>25</xdr:col>
      <xdr:colOff>289997</xdr:colOff>
      <xdr:row>49</xdr:row>
      <xdr:rowOff>122172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0340" y="6263640"/>
          <a:ext cx="5044877" cy="2911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0"/>
  <sheetViews>
    <sheetView tabSelected="1" workbookViewId="0">
      <pane ySplit="1" topLeftCell="A26" activePane="bottomLeft" state="frozen"/>
      <selection pane="bottomLeft" activeCell="AA40" sqref="AA40"/>
    </sheetView>
  </sheetViews>
  <sheetFormatPr baseColWidth="10" defaultRowHeight="14.4" x14ac:dyDescent="0.3"/>
  <cols>
    <col min="1" max="2" width="11.5546875" style="8"/>
    <col min="3" max="4" width="0" style="8" hidden="1" customWidth="1"/>
    <col min="5" max="5" width="11.5546875" style="8"/>
    <col min="6" max="6" width="11.5546875" style="8" hidden="1" customWidth="1"/>
    <col min="7" max="7" width="0" style="8" hidden="1" customWidth="1"/>
    <col min="8" max="12" width="11.5546875" style="8" hidden="1" customWidth="1"/>
    <col min="13" max="14" width="11.5546875" style="8"/>
    <col min="16" max="16" width="9.21875" customWidth="1"/>
    <col min="17" max="17" width="6.88671875" customWidth="1"/>
    <col min="18" max="18" width="5" customWidth="1"/>
    <col min="19" max="19" width="4.77734375" customWidth="1"/>
  </cols>
  <sheetData>
    <row r="1" spans="1:31" s="1" customFormat="1" x14ac:dyDescent="0.3">
      <c r="A1" s="3" t="s">
        <v>10</v>
      </c>
      <c r="B1" s="3" t="s">
        <v>106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97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107</v>
      </c>
      <c r="N1" s="3" t="s">
        <v>9</v>
      </c>
      <c r="P1" s="3" t="s">
        <v>98</v>
      </c>
      <c r="Q1" s="3" t="s">
        <v>99</v>
      </c>
      <c r="R1" s="3" t="s">
        <v>100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3">
      <c r="A2" s="8" t="s">
        <v>11</v>
      </c>
      <c r="B2" s="8" t="s">
        <v>98</v>
      </c>
      <c r="C2" s="8">
        <v>384</v>
      </c>
      <c r="D2" s="8">
        <v>0.33718199999999998</v>
      </c>
      <c r="E2" s="8">
        <v>39.049999999999997</v>
      </c>
      <c r="F2" s="8">
        <v>1.026858</v>
      </c>
      <c r="G2" s="8">
        <v>24.165604999999999</v>
      </c>
      <c r="H2" s="8">
        <v>1.13527</v>
      </c>
      <c r="I2" s="8">
        <v>4.55</v>
      </c>
      <c r="J2" s="8">
        <v>1.103753</v>
      </c>
      <c r="K2" s="8">
        <v>1.54</v>
      </c>
      <c r="L2" s="8">
        <v>1.1254090000000001</v>
      </c>
      <c r="M2" s="8">
        <v>0.13812199999999999</v>
      </c>
      <c r="N2" s="8">
        <v>0.61677400000000004</v>
      </c>
      <c r="Q2">
        <f>COUNTIF(M2:M87,"&gt;0.03")</f>
        <v>86</v>
      </c>
    </row>
    <row r="3" spans="1:31" x14ac:dyDescent="0.3">
      <c r="A3" s="8" t="s">
        <v>12</v>
      </c>
      <c r="B3" s="8" t="s">
        <v>98</v>
      </c>
      <c r="C3" s="8">
        <v>680</v>
      </c>
      <c r="D3" s="8">
        <v>0.59709299999999998</v>
      </c>
      <c r="E3" s="8">
        <v>35.32</v>
      </c>
      <c r="F3" s="8">
        <v>0.92877399999999999</v>
      </c>
      <c r="G3" s="8">
        <v>29.277070999999999</v>
      </c>
      <c r="H3" s="8">
        <v>1.017719</v>
      </c>
      <c r="I3" s="8">
        <v>4.1100000000000003</v>
      </c>
      <c r="J3" s="8">
        <v>0.99701700000000004</v>
      </c>
      <c r="K3" s="8">
        <v>1.4</v>
      </c>
      <c r="L3" s="8">
        <v>1.0230999999999999</v>
      </c>
      <c r="M3" s="8">
        <v>0.16786000000000001</v>
      </c>
      <c r="N3" s="8">
        <v>0.64656000000000002</v>
      </c>
      <c r="P3">
        <v>7.0000000000000007E-2</v>
      </c>
      <c r="Q3">
        <f>COUNTIF(M2:M87,"&gt;0.06")</f>
        <v>85</v>
      </c>
      <c r="R3">
        <f t="shared" ref="R3:R11" si="0">Q2-Q3</f>
        <v>1</v>
      </c>
    </row>
    <row r="4" spans="1:31" x14ac:dyDescent="0.3">
      <c r="A4" s="8" t="s">
        <v>13</v>
      </c>
      <c r="B4" s="8" t="s">
        <v>98</v>
      </c>
      <c r="C4" s="8">
        <v>1399</v>
      </c>
      <c r="D4" s="8">
        <v>1.228432</v>
      </c>
      <c r="E4" s="8">
        <v>40.1</v>
      </c>
      <c r="F4" s="8">
        <v>1.0544690000000001</v>
      </c>
      <c r="G4" s="8">
        <v>26.147155999999999</v>
      </c>
      <c r="H4" s="8">
        <v>1.3301350000000001</v>
      </c>
      <c r="I4" s="8">
        <v>5.19</v>
      </c>
      <c r="J4" s="8">
        <v>1.2590060000000001</v>
      </c>
      <c r="K4" s="8">
        <v>1.72</v>
      </c>
      <c r="L4" s="8">
        <v>1.2569509999999999</v>
      </c>
      <c r="M4" s="8">
        <v>0.135487</v>
      </c>
      <c r="N4" s="8">
        <v>0.61829299999999998</v>
      </c>
      <c r="P4">
        <v>0.09</v>
      </c>
      <c r="Q4">
        <f>COUNTIF(M2:M87,"&gt;0.08")</f>
        <v>85</v>
      </c>
      <c r="R4">
        <f t="shared" si="0"/>
        <v>0</v>
      </c>
    </row>
    <row r="5" spans="1:31" x14ac:dyDescent="0.3">
      <c r="A5" s="8" t="s">
        <v>14</v>
      </c>
      <c r="B5" s="8" t="s">
        <v>98</v>
      </c>
      <c r="C5" s="8">
        <v>1410</v>
      </c>
      <c r="D5" s="8">
        <v>1.2380899999999999</v>
      </c>
      <c r="E5" s="8">
        <v>35.94</v>
      </c>
      <c r="F5" s="8">
        <v>0.94507799999999997</v>
      </c>
      <c r="G5" s="8">
        <v>24.405949</v>
      </c>
      <c r="H5" s="8">
        <v>0.89385700000000001</v>
      </c>
      <c r="I5" s="8">
        <v>3.49</v>
      </c>
      <c r="J5" s="8">
        <v>0.84661500000000001</v>
      </c>
      <c r="K5" s="8">
        <v>1.26</v>
      </c>
      <c r="L5" s="8">
        <v>0.92079</v>
      </c>
      <c r="M5" s="8">
        <v>0.144981</v>
      </c>
      <c r="N5" s="8">
        <v>0.61485800000000002</v>
      </c>
      <c r="P5">
        <v>0.11</v>
      </c>
      <c r="Q5">
        <f>COUNTIF(M2:M87,"&gt;0.10")</f>
        <v>82</v>
      </c>
      <c r="R5">
        <f t="shared" si="0"/>
        <v>3</v>
      </c>
    </row>
    <row r="6" spans="1:31" x14ac:dyDescent="0.3">
      <c r="A6" s="8" t="s">
        <v>15</v>
      </c>
      <c r="B6" s="8" t="s">
        <v>98</v>
      </c>
      <c r="C6" s="8">
        <v>1470</v>
      </c>
      <c r="D6" s="8">
        <v>1.290775</v>
      </c>
      <c r="E6" s="8">
        <v>39.08</v>
      </c>
      <c r="F6" s="8">
        <v>1.027647</v>
      </c>
      <c r="G6" s="8">
        <v>23.691127999999999</v>
      </c>
      <c r="H6" s="8">
        <v>1.1155459999999999</v>
      </c>
      <c r="I6" s="8">
        <v>4.72</v>
      </c>
      <c r="J6" s="8">
        <v>1.144992</v>
      </c>
      <c r="K6" s="8">
        <v>1.47</v>
      </c>
      <c r="L6" s="8">
        <v>1.074255</v>
      </c>
      <c r="M6" s="8">
        <v>0.144485</v>
      </c>
      <c r="N6" s="8">
        <v>0.61686799999999997</v>
      </c>
      <c r="P6">
        <v>0.13</v>
      </c>
      <c r="Q6">
        <f>COUNTIF(M2:M87,"&gt;0.12")</f>
        <v>68</v>
      </c>
      <c r="R6">
        <f t="shared" si="0"/>
        <v>14</v>
      </c>
    </row>
    <row r="7" spans="1:31" x14ac:dyDescent="0.3">
      <c r="A7" s="8" t="s">
        <v>16</v>
      </c>
      <c r="B7" s="8" t="s">
        <v>98</v>
      </c>
      <c r="C7" s="8">
        <v>1890</v>
      </c>
      <c r="D7" s="8">
        <v>1.6595679999999999</v>
      </c>
      <c r="E7" s="8">
        <v>38.520000000000003</v>
      </c>
      <c r="F7" s="8">
        <v>1.012921</v>
      </c>
      <c r="G7" s="8">
        <v>23.322296999999999</v>
      </c>
      <c r="H7" s="8">
        <v>1.0516430000000001</v>
      </c>
      <c r="I7" s="8">
        <v>4.47</v>
      </c>
      <c r="J7" s="8">
        <v>1.084346</v>
      </c>
      <c r="K7" s="8">
        <v>1.54</v>
      </c>
      <c r="L7" s="8">
        <v>1.1254090000000001</v>
      </c>
      <c r="M7" s="8">
        <v>0.110583</v>
      </c>
      <c r="N7" s="8">
        <v>0.60903499999999999</v>
      </c>
      <c r="P7">
        <v>0.15</v>
      </c>
      <c r="Q7">
        <f>COUNTIF(M2:M87,"&gt;0.14")</f>
        <v>44</v>
      </c>
      <c r="R7">
        <f t="shared" si="0"/>
        <v>24</v>
      </c>
    </row>
    <row r="8" spans="1:31" x14ac:dyDescent="0.3">
      <c r="A8" s="8" t="s">
        <v>17</v>
      </c>
      <c r="B8" s="8" t="s">
        <v>98</v>
      </c>
      <c r="C8" s="8">
        <v>114</v>
      </c>
      <c r="D8" s="8">
        <v>0.100101</v>
      </c>
      <c r="E8" s="8">
        <v>40.39</v>
      </c>
      <c r="F8" s="8">
        <v>1.062095</v>
      </c>
      <c r="G8" s="8">
        <v>24.039953000000001</v>
      </c>
      <c r="H8" s="8">
        <v>1.2496640000000001</v>
      </c>
      <c r="I8" s="8">
        <v>5.0199999999999996</v>
      </c>
      <c r="J8" s="8">
        <v>1.217767</v>
      </c>
      <c r="K8" s="8">
        <v>1.59</v>
      </c>
      <c r="L8" s="8">
        <v>1.1619489999999999</v>
      </c>
      <c r="M8" s="8">
        <v>0.136632</v>
      </c>
      <c r="N8" s="8">
        <v>0.61621099999999995</v>
      </c>
      <c r="P8">
        <v>0.17</v>
      </c>
      <c r="Q8">
        <f>COUNTIF(M2:M87,"&gt;0.16")</f>
        <v>17</v>
      </c>
      <c r="R8">
        <f t="shared" si="0"/>
        <v>27</v>
      </c>
    </row>
    <row r="9" spans="1:31" x14ac:dyDescent="0.3">
      <c r="A9" s="8" t="s">
        <v>18</v>
      </c>
      <c r="B9" s="8" t="s">
        <v>98</v>
      </c>
      <c r="C9" s="8">
        <v>1579</v>
      </c>
      <c r="D9" s="8">
        <v>1.3864860000000001</v>
      </c>
      <c r="E9" s="8">
        <v>36.85</v>
      </c>
      <c r="F9" s="8">
        <v>0.96900699999999995</v>
      </c>
      <c r="G9" s="8">
        <v>23.241665000000001</v>
      </c>
      <c r="H9" s="8">
        <v>0.91752500000000003</v>
      </c>
      <c r="I9" s="8">
        <v>3.18</v>
      </c>
      <c r="J9" s="8">
        <v>0.77141400000000004</v>
      </c>
      <c r="K9" s="8">
        <v>1.1399999999999999</v>
      </c>
      <c r="L9" s="8">
        <v>0.83309500000000003</v>
      </c>
      <c r="M9" s="8">
        <v>0.157302</v>
      </c>
      <c r="N9" s="8">
        <v>0.61844699999999997</v>
      </c>
      <c r="P9">
        <v>0.19</v>
      </c>
      <c r="Q9">
        <f>COUNTIF(M2:M87,"&gt;0.18")</f>
        <v>6</v>
      </c>
      <c r="R9">
        <f t="shared" si="0"/>
        <v>11</v>
      </c>
    </row>
    <row r="10" spans="1:31" x14ac:dyDescent="0.3">
      <c r="A10" s="8" t="s">
        <v>19</v>
      </c>
      <c r="B10" s="8" t="s">
        <v>98</v>
      </c>
      <c r="C10" s="8">
        <v>1560</v>
      </c>
      <c r="D10" s="8">
        <v>1.369802</v>
      </c>
      <c r="E10" s="8">
        <v>38.74</v>
      </c>
      <c r="F10" s="8">
        <v>1.0187059999999999</v>
      </c>
      <c r="G10" s="8">
        <v>22.961614000000001</v>
      </c>
      <c r="H10" s="8">
        <v>1.053221</v>
      </c>
      <c r="I10" s="8">
        <v>4.4400000000000004</v>
      </c>
      <c r="J10" s="8">
        <v>1.0770690000000001</v>
      </c>
      <c r="K10" s="8">
        <v>1.44</v>
      </c>
      <c r="L10" s="8">
        <v>1.0523309999999999</v>
      </c>
      <c r="M10" s="8">
        <v>0.18834699999999999</v>
      </c>
      <c r="N10" s="8">
        <v>0.62845099999999998</v>
      </c>
      <c r="P10">
        <v>0.21</v>
      </c>
      <c r="Q10">
        <f>COUNTIF(M2:M87,"&gt;0.20")</f>
        <v>1</v>
      </c>
      <c r="R10">
        <f t="shared" si="0"/>
        <v>5</v>
      </c>
    </row>
    <row r="11" spans="1:31" x14ac:dyDescent="0.3">
      <c r="A11" s="8" t="s">
        <v>20</v>
      </c>
      <c r="B11" s="8" t="s">
        <v>98</v>
      </c>
      <c r="C11" s="8">
        <v>420</v>
      </c>
      <c r="D11" s="8">
        <v>0.36879299999999998</v>
      </c>
      <c r="E11" s="8">
        <v>37.28</v>
      </c>
      <c r="F11" s="8">
        <v>0.98031400000000002</v>
      </c>
      <c r="G11" s="8">
        <v>24.473244000000001</v>
      </c>
      <c r="H11" s="8">
        <v>1.0003629999999999</v>
      </c>
      <c r="I11" s="8">
        <v>4.43</v>
      </c>
      <c r="J11" s="8">
        <v>1.074643</v>
      </c>
      <c r="K11" s="8">
        <v>1.45</v>
      </c>
      <c r="L11" s="8">
        <v>1.059639</v>
      </c>
      <c r="M11" s="8">
        <v>0.19157399999999999</v>
      </c>
      <c r="N11" s="8">
        <v>0.64029899999999995</v>
      </c>
      <c r="P11">
        <v>0.23</v>
      </c>
      <c r="Q11">
        <f>COUNTIF(M2:M87,"&gt;0.22")</f>
        <v>0</v>
      </c>
      <c r="R11">
        <f t="shared" si="0"/>
        <v>1</v>
      </c>
    </row>
    <row r="12" spans="1:31" x14ac:dyDescent="0.3">
      <c r="A12" s="8" t="s">
        <v>21</v>
      </c>
      <c r="B12" s="8" t="s">
        <v>98</v>
      </c>
      <c r="C12" s="8">
        <v>330</v>
      </c>
      <c r="D12" s="8">
        <v>0.28976600000000002</v>
      </c>
      <c r="E12" s="8">
        <v>40.06</v>
      </c>
      <c r="F12" s="8">
        <v>1.053417</v>
      </c>
      <c r="G12" s="8">
        <v>23.861212999999999</v>
      </c>
      <c r="H12" s="8">
        <v>1.210218</v>
      </c>
      <c r="I12" s="8">
        <v>5.27</v>
      </c>
      <c r="J12" s="8">
        <v>1.278413</v>
      </c>
      <c r="K12" s="8">
        <v>1.63</v>
      </c>
      <c r="L12" s="8">
        <v>1.1911799999999999</v>
      </c>
      <c r="M12" s="8">
        <v>0.122765</v>
      </c>
      <c r="N12" s="8">
        <v>0.63423399999999996</v>
      </c>
    </row>
    <row r="13" spans="1:31" x14ac:dyDescent="0.3">
      <c r="A13" s="8" t="s">
        <v>22</v>
      </c>
      <c r="B13" s="8" t="s">
        <v>98</v>
      </c>
      <c r="C13" s="8">
        <v>696</v>
      </c>
      <c r="D13" s="8">
        <v>0.61114299999999999</v>
      </c>
      <c r="E13" s="8">
        <v>38.64</v>
      </c>
      <c r="F13" s="8">
        <v>1.0160769999999999</v>
      </c>
      <c r="G13" s="8">
        <v>23.452354</v>
      </c>
      <c r="H13" s="8">
        <v>1.0674220000000001</v>
      </c>
      <c r="I13" s="8">
        <v>4.32</v>
      </c>
      <c r="J13" s="8">
        <v>1.0479590000000001</v>
      </c>
      <c r="K13" s="8">
        <v>1.43</v>
      </c>
      <c r="L13" s="8">
        <v>1.045023</v>
      </c>
      <c r="M13" s="8">
        <v>0.14269899999999999</v>
      </c>
      <c r="N13" s="8">
        <v>0.63756900000000005</v>
      </c>
      <c r="R13" s="2">
        <f>SUM(R2:R11)</f>
        <v>86</v>
      </c>
    </row>
    <row r="14" spans="1:31" x14ac:dyDescent="0.3">
      <c r="A14" s="8" t="s">
        <v>23</v>
      </c>
      <c r="B14" s="8" t="s">
        <v>98</v>
      </c>
      <c r="C14" s="8">
        <v>936</v>
      </c>
      <c r="D14" s="8">
        <v>0.82188099999999997</v>
      </c>
      <c r="E14" s="8">
        <v>36.56</v>
      </c>
      <c r="F14" s="8">
        <v>0.96138100000000004</v>
      </c>
      <c r="G14" s="8">
        <v>29.140125999999999</v>
      </c>
      <c r="H14" s="8">
        <v>1.1234360000000001</v>
      </c>
      <c r="I14" s="8">
        <v>4.34</v>
      </c>
      <c r="J14" s="8">
        <v>1.0528109999999999</v>
      </c>
      <c r="K14" s="8">
        <v>1.36</v>
      </c>
      <c r="L14" s="8">
        <v>0.99386799999999997</v>
      </c>
      <c r="M14" s="8">
        <v>0.124874</v>
      </c>
      <c r="N14" s="8">
        <v>0.64127599999999996</v>
      </c>
    </row>
    <row r="15" spans="1:31" x14ac:dyDescent="0.3">
      <c r="A15" s="8" t="s">
        <v>24</v>
      </c>
      <c r="B15" s="8" t="s">
        <v>98</v>
      </c>
      <c r="C15" s="8">
        <v>1464</v>
      </c>
      <c r="D15" s="8">
        <v>1.285507</v>
      </c>
      <c r="E15" s="8">
        <v>37.659999999999997</v>
      </c>
      <c r="F15" s="8">
        <v>0.99030700000000005</v>
      </c>
      <c r="G15" s="8">
        <v>26.211210999999999</v>
      </c>
      <c r="H15" s="8">
        <v>1.104501</v>
      </c>
      <c r="I15" s="8">
        <v>3.73</v>
      </c>
      <c r="J15" s="8">
        <v>0.90483499999999994</v>
      </c>
      <c r="K15" s="8">
        <v>1.39</v>
      </c>
      <c r="L15" s="8">
        <v>1.015792</v>
      </c>
      <c r="M15" s="8">
        <v>0.12886700000000001</v>
      </c>
      <c r="N15" s="8">
        <v>0.63941400000000004</v>
      </c>
    </row>
    <row r="16" spans="1:31" x14ac:dyDescent="0.3">
      <c r="A16" s="8" t="s">
        <v>25</v>
      </c>
      <c r="B16" s="8" t="s">
        <v>98</v>
      </c>
      <c r="C16" s="8">
        <v>1326</v>
      </c>
      <c r="D16" s="8">
        <v>1.1643319999999999</v>
      </c>
      <c r="E16" s="8">
        <v>39.69</v>
      </c>
      <c r="F16" s="8">
        <v>1.0436879999999999</v>
      </c>
      <c r="G16" s="8">
        <v>22.615496</v>
      </c>
      <c r="H16" s="8">
        <v>1.1155459999999999</v>
      </c>
      <c r="I16" s="8">
        <v>4.05</v>
      </c>
      <c r="J16" s="8">
        <v>0.98246199999999995</v>
      </c>
      <c r="K16" s="8">
        <v>1.37</v>
      </c>
      <c r="L16" s="8">
        <v>1.0011760000000001</v>
      </c>
      <c r="M16" s="8">
        <v>0.104851</v>
      </c>
      <c r="N16" s="8">
        <v>0.63007500000000005</v>
      </c>
    </row>
    <row r="17" spans="1:22" x14ac:dyDescent="0.3">
      <c r="A17" s="8" t="s">
        <v>26</v>
      </c>
      <c r="B17" s="8" t="s">
        <v>98</v>
      </c>
      <c r="C17" s="8">
        <v>738</v>
      </c>
      <c r="D17" s="8">
        <v>0.64802199999999999</v>
      </c>
      <c r="E17" s="8">
        <v>39.130000000000003</v>
      </c>
      <c r="F17" s="8">
        <v>1.0289619999999999</v>
      </c>
      <c r="G17" s="8">
        <v>25.152647999999999</v>
      </c>
      <c r="H17" s="8">
        <v>1.188917</v>
      </c>
      <c r="I17" s="8">
        <v>4.5999999999999996</v>
      </c>
      <c r="J17" s="8">
        <v>1.115882</v>
      </c>
      <c r="K17" s="8">
        <v>1.47</v>
      </c>
      <c r="L17" s="8">
        <v>1.074255</v>
      </c>
      <c r="M17" s="8">
        <v>0.138103</v>
      </c>
      <c r="N17" s="8">
        <v>0.65325999999999995</v>
      </c>
    </row>
    <row r="18" spans="1:22" x14ac:dyDescent="0.3">
      <c r="A18" s="8" t="s">
        <v>27</v>
      </c>
      <c r="B18" s="8" t="s">
        <v>98</v>
      </c>
      <c r="C18" s="8">
        <v>1710</v>
      </c>
      <c r="D18" s="8">
        <v>1.501514</v>
      </c>
      <c r="E18" s="8">
        <v>39.33</v>
      </c>
      <c r="F18" s="8">
        <v>1.0342210000000001</v>
      </c>
      <c r="G18" s="8">
        <v>26.332414</v>
      </c>
      <c r="H18" s="8">
        <v>1.263865</v>
      </c>
      <c r="I18" s="8">
        <v>4.21</v>
      </c>
      <c r="J18" s="8">
        <v>1.0212749999999999</v>
      </c>
      <c r="K18" s="8">
        <v>1.31</v>
      </c>
      <c r="L18" s="8">
        <v>0.95732899999999999</v>
      </c>
      <c r="M18" s="8">
        <v>0.18603700000000001</v>
      </c>
      <c r="N18" s="8">
        <v>0.64598900000000004</v>
      </c>
    </row>
    <row r="19" spans="1:22" x14ac:dyDescent="0.3">
      <c r="A19" s="8" t="s">
        <v>28</v>
      </c>
      <c r="B19" s="8" t="s">
        <v>98</v>
      </c>
      <c r="C19" s="8">
        <v>1296</v>
      </c>
      <c r="D19" s="8">
        <v>1.1379900000000001</v>
      </c>
      <c r="E19" s="8">
        <v>36.25</v>
      </c>
      <c r="F19" s="8">
        <v>0.95322899999999999</v>
      </c>
      <c r="G19" s="8">
        <v>24.981753999999999</v>
      </c>
      <c r="H19" s="8">
        <v>0.93882600000000005</v>
      </c>
      <c r="I19" s="8">
        <v>3.05</v>
      </c>
      <c r="J19" s="8">
        <v>0.73987800000000004</v>
      </c>
      <c r="K19" s="8">
        <v>1.1200000000000001</v>
      </c>
      <c r="L19" s="8">
        <v>0.81847999999999999</v>
      </c>
      <c r="M19" s="8">
        <v>0.134857</v>
      </c>
      <c r="N19" s="8">
        <v>0.643849</v>
      </c>
    </row>
    <row r="20" spans="1:22" x14ac:dyDescent="0.3">
      <c r="A20" s="8" t="s">
        <v>29</v>
      </c>
      <c r="B20" s="8" t="s">
        <v>98</v>
      </c>
      <c r="C20" s="8">
        <v>1050</v>
      </c>
      <c r="D20" s="8">
        <v>0.92198199999999997</v>
      </c>
      <c r="E20" s="8">
        <v>37.94</v>
      </c>
      <c r="F20" s="8">
        <v>0.99766999999999995</v>
      </c>
      <c r="G20" s="8">
        <v>23.309685999999999</v>
      </c>
      <c r="H20" s="8">
        <v>1.0043070000000001</v>
      </c>
      <c r="I20" s="8">
        <v>4.21</v>
      </c>
      <c r="J20" s="8">
        <v>1.0212749999999999</v>
      </c>
      <c r="K20" s="8">
        <v>1.48</v>
      </c>
      <c r="L20" s="8">
        <v>1.0815619999999999</v>
      </c>
      <c r="M20" s="8">
        <v>0.13070300000000001</v>
      </c>
      <c r="N20" s="8">
        <v>0.64383100000000004</v>
      </c>
    </row>
    <row r="21" spans="1:22" ht="18" x14ac:dyDescent="0.35">
      <c r="A21" s="8" t="s">
        <v>30</v>
      </c>
      <c r="B21" s="8" t="s">
        <v>98</v>
      </c>
      <c r="C21" s="8">
        <v>588</v>
      </c>
      <c r="D21" s="8">
        <v>0.51631000000000005</v>
      </c>
      <c r="E21" s="8">
        <v>37.47</v>
      </c>
      <c r="F21" s="8">
        <v>0.98531100000000005</v>
      </c>
      <c r="G21" s="8">
        <v>22.696204999999999</v>
      </c>
      <c r="H21" s="8">
        <v>0.94198199999999999</v>
      </c>
      <c r="I21" s="8">
        <v>4.3</v>
      </c>
      <c r="J21" s="8">
        <v>1.043107</v>
      </c>
      <c r="K21" s="8">
        <v>1.63</v>
      </c>
      <c r="L21" s="8">
        <v>1.1911799999999999</v>
      </c>
      <c r="M21" s="8">
        <v>0.13436000000000001</v>
      </c>
      <c r="N21" s="8">
        <v>0.64452399999999999</v>
      </c>
      <c r="V21" s="4"/>
    </row>
    <row r="22" spans="1:22" x14ac:dyDescent="0.3">
      <c r="A22" s="8" t="s">
        <v>31</v>
      </c>
      <c r="B22" s="8" t="s">
        <v>98</v>
      </c>
      <c r="C22" s="8">
        <v>1192</v>
      </c>
      <c r="D22" s="8">
        <v>1.0466690000000001</v>
      </c>
      <c r="E22" s="8">
        <v>35.979999999999997</v>
      </c>
      <c r="F22" s="8">
        <v>0.94613000000000003</v>
      </c>
      <c r="G22" s="8">
        <v>25.462510000000002</v>
      </c>
      <c r="H22" s="8">
        <v>0.93567</v>
      </c>
      <c r="I22" s="8">
        <v>4.03</v>
      </c>
      <c r="J22" s="8">
        <v>0.97760999999999998</v>
      </c>
      <c r="K22" s="8">
        <v>1.36</v>
      </c>
      <c r="L22" s="8">
        <v>0.99386799999999997</v>
      </c>
      <c r="M22" s="8">
        <v>0.151585</v>
      </c>
      <c r="N22" s="8">
        <v>0.64505699999999999</v>
      </c>
    </row>
    <row r="23" spans="1:22" x14ac:dyDescent="0.3">
      <c r="A23" s="8" t="s">
        <v>32</v>
      </c>
      <c r="B23" s="8" t="s">
        <v>98</v>
      </c>
      <c r="C23" s="8">
        <v>540</v>
      </c>
      <c r="D23" s="8">
        <v>0.47416199999999997</v>
      </c>
      <c r="E23" s="8">
        <v>37.75</v>
      </c>
      <c r="F23" s="8">
        <v>0.99267300000000003</v>
      </c>
      <c r="G23" s="8">
        <v>24.760155000000001</v>
      </c>
      <c r="H23" s="8">
        <v>1.050854</v>
      </c>
      <c r="I23" s="8">
        <v>4.09</v>
      </c>
      <c r="J23" s="8">
        <v>0.99216499999999996</v>
      </c>
      <c r="K23" s="8">
        <v>1.36</v>
      </c>
      <c r="L23" s="8">
        <v>0.99386799999999997</v>
      </c>
      <c r="M23" s="8">
        <v>9.4478999999999994E-2</v>
      </c>
      <c r="N23" s="8">
        <v>0.62817199999999995</v>
      </c>
    </row>
    <row r="24" spans="1:22" x14ac:dyDescent="0.3">
      <c r="A24" s="8" t="s">
        <v>33</v>
      </c>
      <c r="B24" s="8" t="s">
        <v>98</v>
      </c>
      <c r="C24" s="8">
        <v>390</v>
      </c>
      <c r="D24" s="8">
        <v>0.34245100000000001</v>
      </c>
      <c r="E24" s="8">
        <v>34.35</v>
      </c>
      <c r="F24" s="8">
        <v>0.90326700000000004</v>
      </c>
      <c r="G24" s="8">
        <v>27.140163999999999</v>
      </c>
      <c r="H24" s="8">
        <v>0.86782300000000001</v>
      </c>
      <c r="I24" s="8">
        <v>3.74</v>
      </c>
      <c r="J24" s="8">
        <v>0.90726099999999998</v>
      </c>
      <c r="K24" s="8">
        <v>1.1499999999999999</v>
      </c>
      <c r="L24" s="8">
        <v>0.84040300000000001</v>
      </c>
      <c r="M24" s="8">
        <v>0.17197599999999999</v>
      </c>
      <c r="N24" s="8">
        <v>0.65548700000000004</v>
      </c>
    </row>
    <row r="25" spans="1:22" x14ac:dyDescent="0.3">
      <c r="A25" s="8" t="s">
        <v>34</v>
      </c>
      <c r="B25" s="8" t="s">
        <v>98</v>
      </c>
      <c r="C25" s="8">
        <v>1093</v>
      </c>
      <c r="D25" s="8">
        <v>0.95974000000000004</v>
      </c>
      <c r="E25" s="8">
        <v>39.549999999999997</v>
      </c>
      <c r="F25" s="8">
        <v>1.040006</v>
      </c>
      <c r="G25" s="8">
        <v>18.896225000000001</v>
      </c>
      <c r="H25" s="8">
        <v>0.92225900000000005</v>
      </c>
      <c r="I25" s="8">
        <v>1.96</v>
      </c>
      <c r="J25" s="8">
        <v>0.47546300000000002</v>
      </c>
      <c r="K25" s="8">
        <v>1.48</v>
      </c>
      <c r="L25" s="8">
        <v>1.0815619999999999</v>
      </c>
      <c r="M25" s="8">
        <v>0.14438899999999999</v>
      </c>
      <c r="N25" s="8">
        <v>0.64633799999999997</v>
      </c>
    </row>
    <row r="26" spans="1:22" x14ac:dyDescent="0.3">
      <c r="A26" s="8" t="s">
        <v>35</v>
      </c>
      <c r="B26" s="8" t="s">
        <v>98</v>
      </c>
      <c r="C26" s="8">
        <v>375</v>
      </c>
      <c r="D26" s="8">
        <v>0.32927899999999999</v>
      </c>
      <c r="E26" s="8">
        <v>40.17</v>
      </c>
      <c r="F26" s="8">
        <v>1.0563100000000001</v>
      </c>
      <c r="G26" s="8">
        <v>20.780792000000002</v>
      </c>
      <c r="H26" s="8">
        <v>1.0626880000000001</v>
      </c>
      <c r="I26" s="8">
        <v>5.56</v>
      </c>
      <c r="J26" s="8">
        <v>1.348762</v>
      </c>
      <c r="K26" s="8">
        <v>1.77</v>
      </c>
      <c r="L26" s="8">
        <v>1.29349</v>
      </c>
      <c r="M26" s="8">
        <v>0.14594599999999999</v>
      </c>
      <c r="N26" s="8">
        <v>0.64415599999999995</v>
      </c>
    </row>
    <row r="27" spans="1:22" x14ac:dyDescent="0.3">
      <c r="A27" s="8" t="s">
        <v>36</v>
      </c>
      <c r="B27" s="8" t="s">
        <v>98</v>
      </c>
      <c r="C27" s="8">
        <v>337</v>
      </c>
      <c r="D27" s="8">
        <v>0.29591200000000001</v>
      </c>
      <c r="E27" s="8">
        <v>38.549999999999997</v>
      </c>
      <c r="F27" s="8">
        <v>1.0137100000000001</v>
      </c>
      <c r="G27" s="8">
        <v>18.799337999999999</v>
      </c>
      <c r="H27" s="8">
        <v>0.84967700000000002</v>
      </c>
      <c r="I27" s="8">
        <v>3.85</v>
      </c>
      <c r="J27" s="8">
        <v>0.93394500000000003</v>
      </c>
      <c r="K27" s="8">
        <v>1.43</v>
      </c>
      <c r="L27" s="8">
        <v>1.045023</v>
      </c>
      <c r="M27" s="8">
        <v>0.106993</v>
      </c>
      <c r="N27" s="8">
        <v>0.61727600000000005</v>
      </c>
    </row>
    <row r="28" spans="1:22" x14ac:dyDescent="0.3">
      <c r="A28" s="8" t="s">
        <v>37</v>
      </c>
      <c r="B28" s="8" t="s">
        <v>98</v>
      </c>
      <c r="C28" s="8">
        <v>1512</v>
      </c>
      <c r="D28" s="8">
        <v>1.3276539999999999</v>
      </c>
      <c r="E28" s="8">
        <v>40.6</v>
      </c>
      <c r="F28" s="8">
        <v>1.067617</v>
      </c>
      <c r="G28" s="8">
        <v>17.661978999999999</v>
      </c>
      <c r="H28" s="8">
        <v>0.93251499999999998</v>
      </c>
      <c r="I28" s="8">
        <v>4.29</v>
      </c>
      <c r="J28" s="8">
        <v>1.040681</v>
      </c>
      <c r="K28" s="8">
        <v>1.47</v>
      </c>
      <c r="L28" s="8">
        <v>1.074255</v>
      </c>
      <c r="M28" s="8">
        <v>0.117046</v>
      </c>
      <c r="N28" s="8">
        <v>0.63472099999999998</v>
      </c>
    </row>
    <row r="29" spans="1:22" x14ac:dyDescent="0.3">
      <c r="A29" s="8" t="s">
        <v>38</v>
      </c>
      <c r="B29" s="8" t="s">
        <v>98</v>
      </c>
      <c r="C29" s="8">
        <v>4312</v>
      </c>
      <c r="D29" s="8">
        <v>3.7862740000000001</v>
      </c>
      <c r="E29" s="8">
        <v>44.66</v>
      </c>
      <c r="F29" s="8">
        <v>1.1743790000000001</v>
      </c>
      <c r="G29" s="8">
        <v>18.299171999999999</v>
      </c>
      <c r="H29" s="8">
        <v>1.285955</v>
      </c>
      <c r="I29" s="8">
        <v>5.17</v>
      </c>
      <c r="J29" s="8">
        <v>1.2541549999999999</v>
      </c>
      <c r="K29" s="8">
        <v>1.59</v>
      </c>
      <c r="L29" s="8">
        <v>1.1619489999999999</v>
      </c>
      <c r="M29" s="8">
        <v>9.5506999999999995E-2</v>
      </c>
      <c r="N29" s="8">
        <v>0.62035200000000001</v>
      </c>
    </row>
    <row r="30" spans="1:22" x14ac:dyDescent="0.3">
      <c r="A30" s="8" t="s">
        <v>39</v>
      </c>
      <c r="B30" s="8" t="s">
        <v>98</v>
      </c>
      <c r="C30" s="8">
        <v>318</v>
      </c>
      <c r="D30" s="8">
        <v>0.279229</v>
      </c>
      <c r="E30" s="8">
        <v>39.61</v>
      </c>
      <c r="F30" s="8">
        <v>1.0415840000000001</v>
      </c>
      <c r="G30" s="8">
        <v>21.014963999999999</v>
      </c>
      <c r="H30" s="8">
        <v>1.0303420000000001</v>
      </c>
      <c r="I30" s="8">
        <v>4.57</v>
      </c>
      <c r="J30" s="8">
        <v>1.1086050000000001</v>
      </c>
      <c r="K30" s="8">
        <v>1.37</v>
      </c>
      <c r="L30" s="8">
        <v>1.0011760000000001</v>
      </c>
      <c r="M30" s="8">
        <v>0.111678</v>
      </c>
      <c r="N30" s="8">
        <v>0.63769500000000001</v>
      </c>
    </row>
    <row r="31" spans="1:22" x14ac:dyDescent="0.3">
      <c r="A31" s="8" t="s">
        <v>40</v>
      </c>
      <c r="B31" s="8" t="s">
        <v>98</v>
      </c>
      <c r="C31" s="8">
        <v>3062</v>
      </c>
      <c r="D31" s="8">
        <v>2.6886760000000001</v>
      </c>
      <c r="E31" s="8">
        <v>41.72</v>
      </c>
      <c r="F31" s="8">
        <v>1.0970679999999999</v>
      </c>
      <c r="G31" s="8">
        <v>14.941591000000001</v>
      </c>
      <c r="H31" s="8">
        <v>0.855989</v>
      </c>
      <c r="I31" s="8">
        <v>4.0599999999999996</v>
      </c>
      <c r="J31" s="8">
        <v>0.98488699999999996</v>
      </c>
      <c r="K31" s="8">
        <v>1.37</v>
      </c>
      <c r="L31" s="8">
        <v>1.0011760000000001</v>
      </c>
      <c r="M31" s="8">
        <v>0.14716799999999999</v>
      </c>
      <c r="N31" s="8">
        <v>0.65227299999999999</v>
      </c>
    </row>
    <row r="32" spans="1:22" x14ac:dyDescent="0.3">
      <c r="A32" s="8" t="s">
        <v>41</v>
      </c>
      <c r="B32" s="8" t="s">
        <v>98</v>
      </c>
      <c r="C32" s="8">
        <v>637</v>
      </c>
      <c r="D32" s="8">
        <v>0.55933600000000006</v>
      </c>
      <c r="E32" s="8">
        <v>38.04</v>
      </c>
      <c r="F32" s="8">
        <v>1.000299</v>
      </c>
      <c r="G32" s="8">
        <v>23.689509000000001</v>
      </c>
      <c r="H32" s="8">
        <v>1.028764</v>
      </c>
      <c r="I32" s="8">
        <v>4.7</v>
      </c>
      <c r="J32" s="8">
        <v>1.1401410000000001</v>
      </c>
      <c r="K32" s="8">
        <v>1.49</v>
      </c>
      <c r="L32" s="8">
        <v>1.08887</v>
      </c>
      <c r="M32" s="8">
        <v>5.2500999999999999E-2</v>
      </c>
      <c r="N32" s="8">
        <v>0.604132</v>
      </c>
    </row>
    <row r="33" spans="1:25" x14ac:dyDescent="0.3">
      <c r="A33" s="8" t="s">
        <v>42</v>
      </c>
      <c r="B33" s="8" t="s">
        <v>98</v>
      </c>
      <c r="C33" s="8">
        <v>2212</v>
      </c>
      <c r="D33" s="8">
        <v>1.9423090000000001</v>
      </c>
      <c r="E33" s="8">
        <v>39.020000000000003</v>
      </c>
      <c r="F33" s="8">
        <v>1.0260689999999999</v>
      </c>
      <c r="G33" s="8">
        <v>16.697438999999999</v>
      </c>
      <c r="H33" s="8">
        <v>0.78261800000000004</v>
      </c>
      <c r="I33" s="8">
        <v>4</v>
      </c>
      <c r="J33" s="8">
        <v>0.97033199999999997</v>
      </c>
      <c r="K33" s="8">
        <v>1.41</v>
      </c>
      <c r="L33" s="8">
        <v>1.0304070000000001</v>
      </c>
      <c r="M33" s="8">
        <v>0.157281</v>
      </c>
      <c r="N33" s="8">
        <v>0.65373300000000001</v>
      </c>
    </row>
    <row r="34" spans="1:25" x14ac:dyDescent="0.3">
      <c r="A34" s="8" t="s">
        <v>43</v>
      </c>
      <c r="B34" s="8" t="s">
        <v>98</v>
      </c>
      <c r="C34" s="8">
        <v>487</v>
      </c>
      <c r="D34" s="8">
        <v>0.427624</v>
      </c>
      <c r="E34" s="8">
        <v>37.06</v>
      </c>
      <c r="F34" s="8">
        <v>0.97452899999999998</v>
      </c>
      <c r="G34" s="8">
        <v>21.670017999999999</v>
      </c>
      <c r="H34" s="8">
        <v>0.87018899999999999</v>
      </c>
      <c r="I34" s="8">
        <v>4.05</v>
      </c>
      <c r="J34" s="8">
        <v>0.98246199999999995</v>
      </c>
      <c r="K34" s="8">
        <v>1.41</v>
      </c>
      <c r="L34" s="8">
        <v>1.0304070000000001</v>
      </c>
      <c r="M34" s="8">
        <v>0.159446</v>
      </c>
      <c r="N34" s="8">
        <v>0.64364100000000002</v>
      </c>
    </row>
    <row r="35" spans="1:25" ht="18" x14ac:dyDescent="0.35">
      <c r="A35" s="8" t="s">
        <v>44</v>
      </c>
      <c r="B35" s="8" t="s">
        <v>98</v>
      </c>
      <c r="C35" s="8">
        <v>637</v>
      </c>
      <c r="D35" s="8">
        <v>0.55933600000000006</v>
      </c>
      <c r="E35" s="8">
        <v>39.08</v>
      </c>
      <c r="F35" s="8">
        <v>1.027647</v>
      </c>
      <c r="G35" s="8">
        <v>20.574756000000001</v>
      </c>
      <c r="H35" s="8">
        <v>0.96880599999999994</v>
      </c>
      <c r="I35" s="8">
        <v>4.54</v>
      </c>
      <c r="J35" s="8">
        <v>1.1013269999999999</v>
      </c>
      <c r="K35" s="8">
        <v>1.45</v>
      </c>
      <c r="L35" s="8">
        <v>1.059639</v>
      </c>
      <c r="M35" s="8">
        <v>9.9390000000000006E-2</v>
      </c>
      <c r="N35" s="8">
        <v>0.63050499999999998</v>
      </c>
      <c r="P35" s="4"/>
      <c r="Q35" s="4"/>
    </row>
    <row r="36" spans="1:25" x14ac:dyDescent="0.3">
      <c r="A36" s="8" t="s">
        <v>45</v>
      </c>
      <c r="B36" s="8" t="s">
        <v>98</v>
      </c>
      <c r="C36" s="8">
        <v>1762</v>
      </c>
      <c r="D36" s="8">
        <v>1.547174</v>
      </c>
      <c r="E36" s="8">
        <v>36.57</v>
      </c>
      <c r="F36" s="8">
        <v>0.96164400000000005</v>
      </c>
      <c r="G36" s="8">
        <v>19.42445</v>
      </c>
      <c r="H36" s="8">
        <v>0.74948300000000001</v>
      </c>
      <c r="I36" s="8">
        <v>3.69</v>
      </c>
      <c r="J36" s="8">
        <v>0.89513200000000004</v>
      </c>
      <c r="K36" s="8">
        <v>1.59</v>
      </c>
      <c r="L36" s="8">
        <v>1.1619489999999999</v>
      </c>
      <c r="M36" s="8">
        <v>0.19373299999999999</v>
      </c>
      <c r="N36" s="8">
        <v>0.65920199999999995</v>
      </c>
      <c r="T36" s="2"/>
      <c r="U36" s="2"/>
      <c r="V36" s="2"/>
    </row>
    <row r="37" spans="1:25" x14ac:dyDescent="0.3">
      <c r="A37" s="8" t="s">
        <v>46</v>
      </c>
      <c r="B37" s="8" t="s">
        <v>98</v>
      </c>
      <c r="C37" s="8">
        <v>1475</v>
      </c>
      <c r="D37" s="8">
        <v>1.295166</v>
      </c>
      <c r="E37" s="8">
        <v>36.21</v>
      </c>
      <c r="F37" s="8">
        <v>0.95217799999999997</v>
      </c>
      <c r="G37" s="8">
        <v>21.441848</v>
      </c>
      <c r="H37" s="8">
        <v>0.80313000000000001</v>
      </c>
      <c r="I37" s="8">
        <v>3.31</v>
      </c>
      <c r="J37" s="8">
        <v>0.80295000000000005</v>
      </c>
      <c r="K37" s="8">
        <v>1.1200000000000001</v>
      </c>
      <c r="L37" s="8">
        <v>0.81847999999999999</v>
      </c>
      <c r="M37" s="8">
        <v>0.13836000000000001</v>
      </c>
      <c r="N37" s="8">
        <v>0.63495100000000004</v>
      </c>
      <c r="T37" s="2"/>
      <c r="U37" s="7"/>
      <c r="V37" s="2"/>
    </row>
    <row r="38" spans="1:25" x14ac:dyDescent="0.3">
      <c r="A38" s="8" t="s">
        <v>47</v>
      </c>
      <c r="B38" s="8" t="s">
        <v>98</v>
      </c>
      <c r="C38" s="8">
        <v>3500</v>
      </c>
      <c r="D38" s="8">
        <v>3.0732740000000001</v>
      </c>
      <c r="E38" s="8">
        <v>40.44</v>
      </c>
      <c r="F38" s="8">
        <v>1.06341</v>
      </c>
      <c r="G38" s="8">
        <v>16.345275999999998</v>
      </c>
      <c r="H38" s="8">
        <v>0.85283299999999995</v>
      </c>
      <c r="I38" s="8">
        <v>4.1500000000000004</v>
      </c>
      <c r="J38" s="8">
        <v>1.0067200000000001</v>
      </c>
      <c r="K38" s="8">
        <v>1.3</v>
      </c>
      <c r="L38" s="8">
        <v>0.950021</v>
      </c>
      <c r="M38" s="8">
        <v>0.105588</v>
      </c>
      <c r="N38" s="8">
        <v>0.63249299999999997</v>
      </c>
      <c r="T38" s="2"/>
      <c r="U38" s="7"/>
      <c r="V38" s="2"/>
    </row>
    <row r="39" spans="1:25" x14ac:dyDescent="0.3">
      <c r="A39" s="8" t="s">
        <v>48</v>
      </c>
      <c r="B39" s="8" t="s">
        <v>98</v>
      </c>
      <c r="C39" s="8">
        <v>600</v>
      </c>
      <c r="D39" s="8">
        <v>0.52684699999999995</v>
      </c>
      <c r="E39" s="8">
        <v>37.49</v>
      </c>
      <c r="F39" s="8">
        <v>0.98583600000000005</v>
      </c>
      <c r="G39" s="8">
        <v>19.338726000000001</v>
      </c>
      <c r="H39" s="8">
        <v>0.80391900000000005</v>
      </c>
      <c r="I39" s="8">
        <v>3.97</v>
      </c>
      <c r="J39" s="8">
        <v>0.96305499999999999</v>
      </c>
      <c r="K39" s="8">
        <v>1.22</v>
      </c>
      <c r="L39" s="8">
        <v>0.89155799999999996</v>
      </c>
      <c r="M39" s="8">
        <v>0.117398</v>
      </c>
      <c r="N39" s="8">
        <v>0.63859299999999997</v>
      </c>
      <c r="T39" s="2"/>
      <c r="U39" s="7"/>
      <c r="V39" s="2"/>
    </row>
    <row r="40" spans="1:25" x14ac:dyDescent="0.3">
      <c r="A40" s="8" t="s">
        <v>49</v>
      </c>
      <c r="B40" s="8" t="s">
        <v>98</v>
      </c>
      <c r="C40" s="8">
        <v>1925</v>
      </c>
      <c r="D40" s="8">
        <v>1.6903010000000001</v>
      </c>
      <c r="E40" s="8">
        <v>35.79</v>
      </c>
      <c r="F40" s="8">
        <v>0.941133</v>
      </c>
      <c r="G40" s="8">
        <v>21.638470999999999</v>
      </c>
      <c r="H40" s="8">
        <v>0.78261800000000004</v>
      </c>
      <c r="I40" s="8">
        <v>3.14</v>
      </c>
      <c r="J40" s="8">
        <v>0.76171100000000003</v>
      </c>
      <c r="K40" s="8">
        <v>1.18</v>
      </c>
      <c r="L40" s="8">
        <v>0.86232699999999995</v>
      </c>
      <c r="M40" s="8">
        <v>0.12735299999999999</v>
      </c>
      <c r="N40" s="8">
        <v>0.63483299999999998</v>
      </c>
      <c r="T40" s="2"/>
      <c r="U40" s="2"/>
      <c r="V40" s="2"/>
    </row>
    <row r="41" spans="1:25" x14ac:dyDescent="0.3">
      <c r="A41" s="8" t="s">
        <v>50</v>
      </c>
      <c r="B41" s="8" t="s">
        <v>98</v>
      </c>
      <c r="C41" s="8">
        <v>137</v>
      </c>
      <c r="D41" s="8">
        <v>0.120297</v>
      </c>
      <c r="E41" s="8">
        <v>36.81</v>
      </c>
      <c r="F41" s="8">
        <v>0.96795500000000001</v>
      </c>
      <c r="G41" s="8">
        <v>24.600680000000001</v>
      </c>
      <c r="H41" s="8">
        <v>0.96801700000000002</v>
      </c>
      <c r="I41" s="8">
        <v>2.69</v>
      </c>
      <c r="J41" s="8">
        <v>0.65254900000000005</v>
      </c>
      <c r="K41" s="8">
        <v>0.72</v>
      </c>
      <c r="L41" s="8">
        <v>0.52616499999999999</v>
      </c>
      <c r="M41" s="8">
        <v>0.12226099999999999</v>
      </c>
      <c r="N41" s="8">
        <v>0.63359299999999996</v>
      </c>
    </row>
    <row r="42" spans="1:25" x14ac:dyDescent="0.3">
      <c r="A42" s="8" t="s">
        <v>51</v>
      </c>
      <c r="B42" s="8" t="s">
        <v>98</v>
      </c>
      <c r="C42" s="8">
        <v>590</v>
      </c>
      <c r="D42" s="8">
        <v>0.51806600000000003</v>
      </c>
      <c r="E42" s="8">
        <v>35.61</v>
      </c>
      <c r="F42" s="8">
        <v>0.93640000000000001</v>
      </c>
      <c r="G42" s="8">
        <v>27.393894</v>
      </c>
      <c r="H42" s="8">
        <v>0.97590600000000005</v>
      </c>
      <c r="I42" s="8">
        <v>3.7</v>
      </c>
      <c r="J42" s="8">
        <v>0.89755700000000005</v>
      </c>
      <c r="K42" s="8">
        <v>1</v>
      </c>
      <c r="L42" s="8">
        <v>0.73078500000000002</v>
      </c>
      <c r="M42" s="8">
        <v>0.16994000000000001</v>
      </c>
      <c r="N42" s="8">
        <v>0.65848899999999999</v>
      </c>
      <c r="T42" s="2"/>
    </row>
    <row r="43" spans="1:25" x14ac:dyDescent="0.3">
      <c r="A43" s="8" t="s">
        <v>52</v>
      </c>
      <c r="B43" s="8" t="s">
        <v>98</v>
      </c>
      <c r="C43" s="8">
        <v>480</v>
      </c>
      <c r="D43" s="8">
        <v>0.42147800000000002</v>
      </c>
      <c r="E43" s="8">
        <v>34.46</v>
      </c>
      <c r="F43" s="8">
        <v>0.90615999999999997</v>
      </c>
      <c r="G43" s="8">
        <v>31.255375999999998</v>
      </c>
      <c r="H43" s="8">
        <v>1.0090410000000001</v>
      </c>
      <c r="I43" s="8">
        <v>3.79</v>
      </c>
      <c r="J43" s="8">
        <v>0.91939000000000004</v>
      </c>
      <c r="K43" s="8">
        <v>1.1000000000000001</v>
      </c>
      <c r="L43" s="8">
        <v>0.80386400000000002</v>
      </c>
      <c r="M43" s="8">
        <v>0.110193</v>
      </c>
      <c r="N43" s="8">
        <v>0.63421799999999995</v>
      </c>
      <c r="W43" s="2"/>
    </row>
    <row r="44" spans="1:25" x14ac:dyDescent="0.3">
      <c r="A44" s="8" t="s">
        <v>53</v>
      </c>
      <c r="B44" s="8" t="s">
        <v>98</v>
      </c>
      <c r="C44" s="8">
        <v>686</v>
      </c>
      <c r="D44" s="8">
        <v>0.60236199999999995</v>
      </c>
      <c r="E44" s="8">
        <v>40.56</v>
      </c>
      <c r="F44" s="8">
        <v>1.066565</v>
      </c>
      <c r="G44" s="8">
        <v>23.199418999999999</v>
      </c>
      <c r="H44" s="8">
        <v>1.221263</v>
      </c>
      <c r="I44" s="8">
        <v>4.8</v>
      </c>
      <c r="J44" s="8">
        <v>1.164399</v>
      </c>
      <c r="K44" s="8">
        <v>1.29</v>
      </c>
      <c r="L44" s="8">
        <v>0.94271300000000002</v>
      </c>
      <c r="M44" s="8">
        <v>0.136271</v>
      </c>
      <c r="N44" s="8">
        <v>0.64820800000000001</v>
      </c>
      <c r="W44" s="2"/>
    </row>
    <row r="45" spans="1:25" x14ac:dyDescent="0.3">
      <c r="A45" s="8" t="s">
        <v>54</v>
      </c>
      <c r="B45" s="8" t="s">
        <v>98</v>
      </c>
      <c r="C45" s="8">
        <v>298</v>
      </c>
      <c r="D45" s="8">
        <v>0.26166699999999998</v>
      </c>
      <c r="E45" s="8">
        <v>36.86</v>
      </c>
      <c r="F45" s="8">
        <v>0.96926999999999996</v>
      </c>
      <c r="G45" s="8">
        <v>24.880096000000002</v>
      </c>
      <c r="H45" s="8">
        <v>0.98300600000000005</v>
      </c>
      <c r="I45" s="8">
        <v>4.54</v>
      </c>
      <c r="J45" s="8">
        <v>1.1013269999999999</v>
      </c>
      <c r="K45" s="8">
        <v>1.45</v>
      </c>
      <c r="L45" s="8">
        <v>1.059639</v>
      </c>
      <c r="M45" s="8">
        <v>0.11329599999999999</v>
      </c>
      <c r="N45" s="8">
        <v>0.63716799999999996</v>
      </c>
      <c r="W45" s="2"/>
    </row>
    <row r="46" spans="1:25" x14ac:dyDescent="0.3">
      <c r="A46" s="13" t="s">
        <v>55</v>
      </c>
      <c r="B46" s="13" t="s">
        <v>108</v>
      </c>
      <c r="C46" s="13">
        <v>384</v>
      </c>
      <c r="D46" s="13">
        <v>0.33718199999999998</v>
      </c>
      <c r="E46" s="13">
        <v>41.3</v>
      </c>
      <c r="F46" s="13">
        <v>1.0860240000000001</v>
      </c>
      <c r="G46" s="13">
        <v>21.321598999999999</v>
      </c>
      <c r="H46" s="13">
        <v>1.1849719999999999</v>
      </c>
      <c r="I46" s="13">
        <v>5.07</v>
      </c>
      <c r="J46" s="13">
        <v>1.2298960000000001</v>
      </c>
      <c r="K46" s="13">
        <v>1.57</v>
      </c>
      <c r="L46" s="13">
        <v>1.1473329999999999</v>
      </c>
      <c r="M46" s="13">
        <v>0.11067200000000001</v>
      </c>
      <c r="N46" s="13">
        <v>0.59760100000000005</v>
      </c>
      <c r="T46" s="2"/>
      <c r="X46" s="2"/>
      <c r="Y46" s="2"/>
    </row>
    <row r="47" spans="1:25" x14ac:dyDescent="0.3">
      <c r="A47" s="13" t="s">
        <v>56</v>
      </c>
      <c r="B47" s="13" t="s">
        <v>108</v>
      </c>
      <c r="C47" s="13">
        <v>680</v>
      </c>
      <c r="D47" s="13">
        <v>0.59709299999999998</v>
      </c>
      <c r="E47" s="13">
        <v>41.22</v>
      </c>
      <c r="F47" s="13">
        <v>1.08392</v>
      </c>
      <c r="G47" s="13">
        <v>21.503097</v>
      </c>
      <c r="H47" s="13">
        <v>1.1881280000000001</v>
      </c>
      <c r="I47" s="13">
        <v>4.84</v>
      </c>
      <c r="J47" s="13">
        <v>1.174102</v>
      </c>
      <c r="K47" s="13">
        <v>1.5</v>
      </c>
      <c r="L47" s="13">
        <v>1.0961780000000001</v>
      </c>
      <c r="M47" s="13">
        <v>0.14873400000000001</v>
      </c>
      <c r="N47" s="13">
        <v>0.60722399999999999</v>
      </c>
    </row>
    <row r="48" spans="1:25" x14ac:dyDescent="0.3">
      <c r="A48" s="13" t="s">
        <v>57</v>
      </c>
      <c r="B48" s="13" t="s">
        <v>108</v>
      </c>
      <c r="C48" s="13">
        <v>1399</v>
      </c>
      <c r="D48" s="13">
        <v>1.228432</v>
      </c>
      <c r="E48" s="13">
        <v>35.130000000000003</v>
      </c>
      <c r="F48" s="13">
        <v>0.92377799999999999</v>
      </c>
      <c r="G48" s="13">
        <v>29.524021999999999</v>
      </c>
      <c r="H48" s="13">
        <v>1.00983</v>
      </c>
      <c r="I48" s="13">
        <v>3.77</v>
      </c>
      <c r="J48" s="13">
        <v>0.91453799999999996</v>
      </c>
      <c r="K48" s="13">
        <v>1.21</v>
      </c>
      <c r="L48" s="13">
        <v>0.88424999999999998</v>
      </c>
      <c r="M48" s="13">
        <v>0.14268</v>
      </c>
      <c r="N48" s="13">
        <v>0.59633599999999998</v>
      </c>
    </row>
    <row r="49" spans="1:28" x14ac:dyDescent="0.3">
      <c r="A49" s="13" t="s">
        <v>58</v>
      </c>
      <c r="B49" s="13" t="s">
        <v>108</v>
      </c>
      <c r="C49" s="13">
        <v>1410</v>
      </c>
      <c r="D49" s="13">
        <v>1.2380899999999999</v>
      </c>
      <c r="E49" s="13">
        <v>40.96</v>
      </c>
      <c r="F49" s="13">
        <v>1.0770839999999999</v>
      </c>
      <c r="G49" s="13">
        <v>24.709152</v>
      </c>
      <c r="H49" s="13">
        <v>1.339602</v>
      </c>
      <c r="I49" s="13">
        <v>5.12</v>
      </c>
      <c r="J49" s="13">
        <v>1.2420249999999999</v>
      </c>
      <c r="K49" s="13">
        <v>1.59</v>
      </c>
      <c r="L49" s="13">
        <v>1.1619489999999999</v>
      </c>
      <c r="M49" s="13">
        <v>0.11527800000000001</v>
      </c>
      <c r="N49" s="13">
        <v>0.62942500000000001</v>
      </c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3">
      <c r="A50" s="13" t="s">
        <v>59</v>
      </c>
      <c r="B50" s="13" t="s">
        <v>108</v>
      </c>
      <c r="C50" s="13">
        <v>1470</v>
      </c>
      <c r="D50" s="13">
        <v>1.290775</v>
      </c>
      <c r="E50" s="13">
        <v>38.08</v>
      </c>
      <c r="F50" s="13">
        <v>1.0013510000000001</v>
      </c>
      <c r="G50" s="13">
        <v>27.526612</v>
      </c>
      <c r="H50" s="13">
        <v>1.199173</v>
      </c>
      <c r="I50" s="13">
        <v>4.8899999999999997</v>
      </c>
      <c r="J50" s="13">
        <v>1.186231</v>
      </c>
      <c r="K50" s="13">
        <v>1.61</v>
      </c>
      <c r="L50" s="13">
        <v>1.1765639999999999</v>
      </c>
      <c r="M50" s="13">
        <v>0.13769000000000001</v>
      </c>
      <c r="N50" s="13">
        <v>0.63159600000000005</v>
      </c>
      <c r="T50" s="2"/>
      <c r="U50" s="5"/>
      <c r="V50" s="5"/>
      <c r="W50" s="6"/>
      <c r="X50" s="5"/>
      <c r="Y50" s="5"/>
      <c r="Z50" s="5"/>
      <c r="AA50" s="5"/>
      <c r="AB50" s="5"/>
    </row>
    <row r="51" spans="1:28" x14ac:dyDescent="0.3">
      <c r="A51" s="13" t="s">
        <v>60</v>
      </c>
      <c r="B51" s="13" t="s">
        <v>108</v>
      </c>
      <c r="C51" s="13">
        <v>1890</v>
      </c>
      <c r="D51" s="13">
        <v>1.6595679999999999</v>
      </c>
      <c r="E51" s="13">
        <v>40.71</v>
      </c>
      <c r="F51" s="13">
        <v>1.0705100000000001</v>
      </c>
      <c r="G51" s="13">
        <v>20.187093999999998</v>
      </c>
      <c r="H51" s="13">
        <v>1.074522</v>
      </c>
      <c r="I51" s="13">
        <v>4.83</v>
      </c>
      <c r="J51" s="13">
        <v>1.1716759999999999</v>
      </c>
      <c r="K51" s="13">
        <v>1.42</v>
      </c>
      <c r="L51" s="13">
        <v>1.0377149999999999</v>
      </c>
      <c r="M51" s="13">
        <v>0.17283100000000001</v>
      </c>
      <c r="N51" s="13">
        <v>0.64652699999999996</v>
      </c>
      <c r="T51" s="2"/>
      <c r="U51" s="5"/>
      <c r="V51" s="5"/>
      <c r="W51" s="6"/>
      <c r="X51" s="5"/>
      <c r="Y51" s="5"/>
      <c r="Z51" s="5"/>
      <c r="AA51" s="5"/>
      <c r="AB51" s="5"/>
    </row>
    <row r="52" spans="1:28" x14ac:dyDescent="0.3">
      <c r="A52" s="13" t="s">
        <v>61</v>
      </c>
      <c r="B52" s="13" t="s">
        <v>108</v>
      </c>
      <c r="C52" s="13">
        <v>1579</v>
      </c>
      <c r="D52" s="13">
        <v>1.3864860000000001</v>
      </c>
      <c r="E52" s="13">
        <v>39.729999999999997</v>
      </c>
      <c r="F52" s="13">
        <v>1.0447390000000001</v>
      </c>
      <c r="G52" s="13">
        <v>25.513162000000001</v>
      </c>
      <c r="H52" s="13">
        <v>1.2622869999999999</v>
      </c>
      <c r="I52" s="13">
        <v>5.39</v>
      </c>
      <c r="J52" s="13">
        <v>1.307523</v>
      </c>
      <c r="K52" s="13">
        <v>1.7</v>
      </c>
      <c r="L52" s="13">
        <v>1.242335</v>
      </c>
      <c r="M52" s="13">
        <v>0.207812</v>
      </c>
      <c r="N52" s="13">
        <v>0.60728199999999999</v>
      </c>
      <c r="T52" s="2"/>
      <c r="U52" s="5"/>
      <c r="V52" s="5"/>
      <c r="W52" s="6"/>
      <c r="X52" s="5"/>
      <c r="Y52" s="5"/>
      <c r="Z52" s="5"/>
      <c r="AA52" s="5"/>
      <c r="AB52" s="5"/>
    </row>
    <row r="53" spans="1:28" x14ac:dyDescent="0.3">
      <c r="A53" s="13" t="s">
        <v>62</v>
      </c>
      <c r="B53" s="13" t="s">
        <v>108</v>
      </c>
      <c r="C53" s="13">
        <v>1560</v>
      </c>
      <c r="D53" s="13">
        <v>1.369802</v>
      </c>
      <c r="E53" s="13">
        <v>36.1</v>
      </c>
      <c r="F53" s="13">
        <v>0.94928500000000005</v>
      </c>
      <c r="G53" s="13">
        <v>40.046014</v>
      </c>
      <c r="H53" s="13">
        <v>1.486343</v>
      </c>
      <c r="I53" s="13">
        <v>3.54</v>
      </c>
      <c r="J53" s="13">
        <v>0.85874399999999995</v>
      </c>
      <c r="K53" s="13">
        <v>1.0900000000000001</v>
      </c>
      <c r="L53" s="13">
        <v>0.79655600000000004</v>
      </c>
      <c r="M53" s="13">
        <v>0.17832300000000001</v>
      </c>
      <c r="N53" s="13">
        <v>0.59278500000000001</v>
      </c>
      <c r="T53" s="2"/>
      <c r="U53" s="5"/>
      <c r="V53" s="5"/>
      <c r="W53" s="5"/>
      <c r="X53" s="6"/>
      <c r="Y53" s="6"/>
      <c r="Z53" s="6"/>
      <c r="AA53" s="6"/>
      <c r="AB53" s="6"/>
    </row>
    <row r="54" spans="1:28" x14ac:dyDescent="0.3">
      <c r="A54" s="13" t="s">
        <v>63</v>
      </c>
      <c r="B54" s="13" t="s">
        <v>108</v>
      </c>
      <c r="C54" s="13">
        <v>420</v>
      </c>
      <c r="D54" s="13">
        <v>0.36879299999999998</v>
      </c>
      <c r="E54" s="13">
        <v>38.950000000000003</v>
      </c>
      <c r="F54" s="13">
        <v>1.0242290000000001</v>
      </c>
      <c r="G54" s="13">
        <v>25.841436000000002</v>
      </c>
      <c r="H54" s="13">
        <v>1.2046950000000001</v>
      </c>
      <c r="I54" s="13">
        <v>4.8</v>
      </c>
      <c r="J54" s="13">
        <v>1.164399</v>
      </c>
      <c r="K54" s="13">
        <v>1.47</v>
      </c>
      <c r="L54" s="13">
        <v>1.074255</v>
      </c>
      <c r="M54" s="13">
        <v>0.16650999999999999</v>
      </c>
      <c r="N54" s="13">
        <v>0.59765999999999997</v>
      </c>
      <c r="T54" s="2"/>
      <c r="U54" s="5"/>
      <c r="V54" s="5"/>
      <c r="W54" s="5"/>
      <c r="X54" s="5"/>
      <c r="Y54" s="5"/>
      <c r="Z54" s="5"/>
      <c r="AA54" s="5"/>
      <c r="AB54" s="5"/>
    </row>
    <row r="55" spans="1:28" x14ac:dyDescent="0.3">
      <c r="A55" s="13" t="s">
        <v>64</v>
      </c>
      <c r="B55" s="13" t="s">
        <v>108</v>
      </c>
      <c r="C55" s="13">
        <v>330</v>
      </c>
      <c r="D55" s="13">
        <v>0.28976600000000002</v>
      </c>
      <c r="E55" s="13">
        <v>35</v>
      </c>
      <c r="F55" s="13">
        <v>0.92035900000000004</v>
      </c>
      <c r="G55" s="13">
        <v>26.892128</v>
      </c>
      <c r="H55" s="13">
        <v>0.909636</v>
      </c>
      <c r="I55" s="13">
        <v>3.06</v>
      </c>
      <c r="J55" s="13">
        <v>0.74230399999999996</v>
      </c>
      <c r="K55" s="13">
        <v>0.96</v>
      </c>
      <c r="L55" s="13">
        <v>0.70155400000000001</v>
      </c>
      <c r="M55" s="13">
        <v>0.152424</v>
      </c>
      <c r="N55" s="13">
        <v>0.64241400000000004</v>
      </c>
      <c r="T55" s="2"/>
      <c r="U55" s="5"/>
      <c r="V55" s="5"/>
      <c r="W55" s="5"/>
      <c r="X55" s="5"/>
      <c r="Y55" s="5"/>
      <c r="Z55" s="5"/>
      <c r="AA55" s="5"/>
      <c r="AB55" s="5"/>
    </row>
    <row r="56" spans="1:28" x14ac:dyDescent="0.3">
      <c r="A56" s="13" t="s">
        <v>65</v>
      </c>
      <c r="B56" s="13" t="s">
        <v>108</v>
      </c>
      <c r="C56" s="13">
        <v>696</v>
      </c>
      <c r="D56" s="13">
        <v>0.61114299999999999</v>
      </c>
      <c r="E56" s="13">
        <v>35.380000000000003</v>
      </c>
      <c r="F56" s="13">
        <v>0.93035199999999996</v>
      </c>
      <c r="G56" s="13">
        <v>28.631609999999998</v>
      </c>
      <c r="H56" s="13">
        <v>1.0003629999999999</v>
      </c>
      <c r="I56" s="13">
        <v>4.03</v>
      </c>
      <c r="J56" s="13">
        <v>0.97760999999999998</v>
      </c>
      <c r="K56" s="13">
        <v>1.33</v>
      </c>
      <c r="L56" s="13">
        <v>0.97194499999999995</v>
      </c>
      <c r="M56" s="13">
        <v>0.18116399999999999</v>
      </c>
      <c r="N56" s="13">
        <v>0.656837</v>
      </c>
      <c r="T56" s="2"/>
      <c r="U56" s="5"/>
      <c r="V56" s="5"/>
      <c r="W56" s="5"/>
      <c r="X56" s="5"/>
      <c r="Y56" s="5"/>
      <c r="Z56" s="5"/>
      <c r="AA56" s="5"/>
      <c r="AB56" s="5"/>
    </row>
    <row r="57" spans="1:28" x14ac:dyDescent="0.3">
      <c r="A57" s="13" t="s">
        <v>66</v>
      </c>
      <c r="B57" s="13" t="s">
        <v>108</v>
      </c>
      <c r="C57" s="13">
        <v>936</v>
      </c>
      <c r="D57" s="13">
        <v>0.82188099999999997</v>
      </c>
      <c r="E57" s="13">
        <v>38.51</v>
      </c>
      <c r="F57" s="13">
        <v>1.0126580000000001</v>
      </c>
      <c r="G57" s="13">
        <v>25.284050000000001</v>
      </c>
      <c r="H57" s="13">
        <v>1.1392139999999999</v>
      </c>
      <c r="I57" s="13">
        <v>4.5599999999999996</v>
      </c>
      <c r="J57" s="13">
        <v>1.106179</v>
      </c>
      <c r="K57" s="13">
        <v>1.56</v>
      </c>
      <c r="L57" s="13">
        <v>1.1400250000000001</v>
      </c>
      <c r="M57" s="13">
        <v>0.16335</v>
      </c>
      <c r="N57" s="13">
        <v>0.669041</v>
      </c>
      <c r="T57" s="2"/>
      <c r="U57" s="5"/>
      <c r="V57" s="5"/>
      <c r="W57" s="5"/>
      <c r="X57" s="5"/>
      <c r="Y57" s="5"/>
      <c r="Z57" s="5"/>
      <c r="AA57" s="5"/>
      <c r="AB57" s="5"/>
    </row>
    <row r="58" spans="1:28" x14ac:dyDescent="0.3">
      <c r="A58" s="13" t="s">
        <v>67</v>
      </c>
      <c r="B58" s="13" t="s">
        <v>108</v>
      </c>
      <c r="C58" s="13">
        <v>1464</v>
      </c>
      <c r="D58" s="13">
        <v>1.285507</v>
      </c>
      <c r="E58" s="13">
        <v>33.96</v>
      </c>
      <c r="F58" s="13">
        <v>0.89301200000000003</v>
      </c>
      <c r="G58" s="13">
        <v>29.975404000000001</v>
      </c>
      <c r="H58" s="13">
        <v>0.926203</v>
      </c>
      <c r="I58" s="13">
        <v>3.47</v>
      </c>
      <c r="J58" s="13">
        <v>0.84176300000000004</v>
      </c>
      <c r="K58" s="13">
        <v>1.18</v>
      </c>
      <c r="L58" s="13">
        <v>0.86232699999999995</v>
      </c>
      <c r="M58" s="13">
        <v>0.14869499999999999</v>
      </c>
      <c r="N58" s="13">
        <v>0.66129599999999999</v>
      </c>
      <c r="T58" s="2"/>
    </row>
    <row r="59" spans="1:28" x14ac:dyDescent="0.3">
      <c r="A59" s="13" t="s">
        <v>68</v>
      </c>
      <c r="B59" s="13" t="s">
        <v>108</v>
      </c>
      <c r="C59" s="13">
        <v>1326</v>
      </c>
      <c r="D59" s="13">
        <v>1.1643319999999999</v>
      </c>
      <c r="E59" s="13">
        <v>35.590000000000003</v>
      </c>
      <c r="F59" s="13">
        <v>0.93587399999999998</v>
      </c>
      <c r="G59" s="13">
        <v>23.713394999999998</v>
      </c>
      <c r="H59" s="13">
        <v>0.84336599999999995</v>
      </c>
      <c r="I59" s="13">
        <v>3.76</v>
      </c>
      <c r="J59" s="13">
        <v>0.91211200000000003</v>
      </c>
      <c r="K59" s="13">
        <v>1.27</v>
      </c>
      <c r="L59" s="13">
        <v>0.92809699999999995</v>
      </c>
      <c r="M59" s="13">
        <v>0.13377500000000001</v>
      </c>
      <c r="N59" s="13">
        <v>0.64278800000000003</v>
      </c>
    </row>
    <row r="60" spans="1:28" x14ac:dyDescent="0.3">
      <c r="A60" s="13" t="s">
        <v>69</v>
      </c>
      <c r="B60" s="13" t="s">
        <v>108</v>
      </c>
      <c r="C60" s="13">
        <v>738</v>
      </c>
      <c r="D60" s="13">
        <v>0.64802199999999999</v>
      </c>
      <c r="E60" s="13">
        <v>38.82</v>
      </c>
      <c r="F60" s="13">
        <v>1.02081</v>
      </c>
      <c r="G60" s="13">
        <v>22.187486</v>
      </c>
      <c r="H60" s="13">
        <v>1.0240309999999999</v>
      </c>
      <c r="I60" s="13">
        <v>4.92</v>
      </c>
      <c r="J60" s="13">
        <v>1.1935089999999999</v>
      </c>
      <c r="K60" s="13">
        <v>1.85</v>
      </c>
      <c r="L60" s="13">
        <v>1.351953</v>
      </c>
      <c r="M60" s="13">
        <v>0.15015700000000001</v>
      </c>
      <c r="N60" s="13">
        <v>0.64172300000000004</v>
      </c>
    </row>
    <row r="61" spans="1:28" x14ac:dyDescent="0.3">
      <c r="A61" s="13" t="s">
        <v>70</v>
      </c>
      <c r="B61" s="13" t="s">
        <v>108</v>
      </c>
      <c r="C61" s="13">
        <v>1710</v>
      </c>
      <c r="D61" s="13">
        <v>1.501514</v>
      </c>
      <c r="E61" s="13">
        <v>34.26</v>
      </c>
      <c r="F61" s="13">
        <v>0.90090000000000003</v>
      </c>
      <c r="G61" s="13">
        <v>30.512830000000001</v>
      </c>
      <c r="H61" s="13">
        <v>0.96801700000000002</v>
      </c>
      <c r="I61" s="13">
        <v>3.63</v>
      </c>
      <c r="J61" s="13">
        <v>0.88057700000000005</v>
      </c>
      <c r="K61" s="13">
        <v>1.22</v>
      </c>
      <c r="L61" s="13">
        <v>0.89155799999999996</v>
      </c>
      <c r="M61" s="13">
        <v>0.16306799999999999</v>
      </c>
      <c r="N61" s="13">
        <v>0.65368400000000004</v>
      </c>
    </row>
    <row r="62" spans="1:28" x14ac:dyDescent="0.3">
      <c r="A62" s="13" t="s">
        <v>71</v>
      </c>
      <c r="B62" s="13" t="s">
        <v>108</v>
      </c>
      <c r="C62" s="13">
        <v>1296</v>
      </c>
      <c r="D62" s="13">
        <v>1.1379900000000001</v>
      </c>
      <c r="E62" s="13">
        <v>38.86</v>
      </c>
      <c r="F62" s="13">
        <v>1.021862</v>
      </c>
      <c r="G62" s="13">
        <v>23.482310999999999</v>
      </c>
      <c r="H62" s="13">
        <v>1.087145</v>
      </c>
      <c r="I62" s="13">
        <v>4.75</v>
      </c>
      <c r="J62" s="13">
        <v>1.1522699999999999</v>
      </c>
      <c r="K62" s="13">
        <v>1.49</v>
      </c>
      <c r="L62" s="13">
        <v>1.08887</v>
      </c>
      <c r="M62" s="13">
        <v>0.114271</v>
      </c>
      <c r="N62" s="13">
        <v>0.63376600000000005</v>
      </c>
    </row>
    <row r="63" spans="1:28" x14ac:dyDescent="0.3">
      <c r="A63" s="13" t="s">
        <v>72</v>
      </c>
      <c r="B63" s="13" t="s">
        <v>108</v>
      </c>
      <c r="C63" s="13">
        <v>1050</v>
      </c>
      <c r="D63" s="13">
        <v>0.92198199999999997</v>
      </c>
      <c r="E63" s="13">
        <v>37.840000000000003</v>
      </c>
      <c r="F63" s="13">
        <v>0.99504000000000004</v>
      </c>
      <c r="G63" s="13">
        <v>25.802025</v>
      </c>
      <c r="H63" s="13">
        <v>1.102924</v>
      </c>
      <c r="I63" s="13">
        <v>4.25</v>
      </c>
      <c r="J63" s="13">
        <v>1.030978</v>
      </c>
      <c r="K63" s="13">
        <v>1.52</v>
      </c>
      <c r="L63" s="13">
        <v>1.1107940000000001</v>
      </c>
      <c r="M63" s="13">
        <v>0.15551000000000001</v>
      </c>
      <c r="N63" s="13">
        <v>0.65478099999999995</v>
      </c>
    </row>
    <row r="64" spans="1:28" x14ac:dyDescent="0.3">
      <c r="A64" s="13" t="s">
        <v>73</v>
      </c>
      <c r="B64" s="13" t="s">
        <v>108</v>
      </c>
      <c r="C64" s="13">
        <v>588</v>
      </c>
      <c r="D64" s="13">
        <v>0.51631000000000005</v>
      </c>
      <c r="E64" s="13">
        <v>34.67</v>
      </c>
      <c r="F64" s="13">
        <v>0.91168199999999999</v>
      </c>
      <c r="G64" s="13">
        <v>29.29909</v>
      </c>
      <c r="H64" s="13">
        <v>0.963283</v>
      </c>
      <c r="I64" s="13">
        <v>3.7</v>
      </c>
      <c r="J64" s="13">
        <v>0.89755700000000005</v>
      </c>
      <c r="K64" s="13">
        <v>1.27</v>
      </c>
      <c r="L64" s="13">
        <v>0.92809699999999995</v>
      </c>
      <c r="M64" s="13">
        <v>0.14022999999999999</v>
      </c>
      <c r="N64" s="13">
        <v>0.64885000000000004</v>
      </c>
    </row>
    <row r="65" spans="1:14" x14ac:dyDescent="0.3">
      <c r="A65" s="13" t="s">
        <v>74</v>
      </c>
      <c r="B65" s="13" t="s">
        <v>108</v>
      </c>
      <c r="C65" s="13">
        <v>1192</v>
      </c>
      <c r="D65" s="13">
        <v>1.0466690000000001</v>
      </c>
      <c r="E65" s="13">
        <v>38.97</v>
      </c>
      <c r="F65" s="13">
        <v>1.0247539999999999</v>
      </c>
      <c r="G65" s="13">
        <v>21.84778</v>
      </c>
      <c r="H65" s="13">
        <v>1.020086</v>
      </c>
      <c r="I65" s="13">
        <v>3.97</v>
      </c>
      <c r="J65" s="13">
        <v>0.96305499999999999</v>
      </c>
      <c r="K65" s="13">
        <v>1.32</v>
      </c>
      <c r="L65" s="13">
        <v>0.96463699999999997</v>
      </c>
      <c r="M65" s="13">
        <v>0.15681500000000001</v>
      </c>
      <c r="N65" s="13">
        <v>0.65077799999999997</v>
      </c>
    </row>
    <row r="66" spans="1:14" x14ac:dyDescent="0.3">
      <c r="A66" s="13" t="s">
        <v>75</v>
      </c>
      <c r="B66" s="13" t="s">
        <v>108</v>
      </c>
      <c r="C66" s="13">
        <v>540</v>
      </c>
      <c r="D66" s="13">
        <v>0.47416199999999997</v>
      </c>
      <c r="E66" s="13">
        <v>36.130000000000003</v>
      </c>
      <c r="F66" s="13">
        <v>0.95007399999999997</v>
      </c>
      <c r="G66" s="13">
        <v>27.330591999999999</v>
      </c>
      <c r="H66" s="13">
        <v>1.0169299999999999</v>
      </c>
      <c r="I66" s="13">
        <v>4.0999999999999996</v>
      </c>
      <c r="J66" s="13">
        <v>0.994591</v>
      </c>
      <c r="K66" s="13">
        <v>1.42</v>
      </c>
      <c r="L66" s="13">
        <v>1.0377149999999999</v>
      </c>
      <c r="M66" s="13">
        <v>0.15174699999999999</v>
      </c>
      <c r="N66" s="13">
        <v>0.64677300000000004</v>
      </c>
    </row>
    <row r="67" spans="1:14" x14ac:dyDescent="0.3">
      <c r="A67" s="13" t="s">
        <v>76</v>
      </c>
      <c r="B67" s="13" t="s">
        <v>108</v>
      </c>
      <c r="C67" s="13">
        <v>390</v>
      </c>
      <c r="D67" s="13">
        <v>0.34245100000000001</v>
      </c>
      <c r="E67" s="13">
        <v>35.659999999999997</v>
      </c>
      <c r="F67" s="13">
        <v>0.93771499999999997</v>
      </c>
      <c r="G67" s="13">
        <v>28.425552</v>
      </c>
      <c r="H67" s="13">
        <v>1.0169299999999999</v>
      </c>
      <c r="I67" s="13">
        <v>4.2</v>
      </c>
      <c r="J67" s="13">
        <v>1.0188489999999999</v>
      </c>
      <c r="K67" s="13">
        <v>1.5</v>
      </c>
      <c r="L67" s="13">
        <v>1.0961780000000001</v>
      </c>
      <c r="M67" s="13">
        <v>0.145368</v>
      </c>
      <c r="N67" s="13">
        <v>0.64343600000000001</v>
      </c>
    </row>
    <row r="68" spans="1:14" x14ac:dyDescent="0.3">
      <c r="A68" s="13" t="s">
        <v>77</v>
      </c>
      <c r="B68" s="13" t="s">
        <v>108</v>
      </c>
      <c r="C68" s="13">
        <v>1093</v>
      </c>
      <c r="D68" s="13">
        <v>0.95974000000000004</v>
      </c>
      <c r="E68" s="13">
        <v>40.68</v>
      </c>
      <c r="F68" s="13">
        <v>1.0697209999999999</v>
      </c>
      <c r="G68" s="13">
        <v>19.370228999999998</v>
      </c>
      <c r="H68" s="13">
        <v>1.028764</v>
      </c>
      <c r="I68" s="13">
        <v>2.9</v>
      </c>
      <c r="J68" s="13">
        <v>0.70349099999999998</v>
      </c>
      <c r="K68" s="13">
        <v>1.61</v>
      </c>
      <c r="L68" s="13">
        <v>1.1765639999999999</v>
      </c>
      <c r="M68" s="13">
        <v>0.147702</v>
      </c>
      <c r="N68" s="13">
        <v>0.64097599999999999</v>
      </c>
    </row>
    <row r="69" spans="1:14" x14ac:dyDescent="0.3">
      <c r="A69" s="13" t="s">
        <v>78</v>
      </c>
      <c r="B69" s="13" t="s">
        <v>108</v>
      </c>
      <c r="C69" s="13">
        <v>375</v>
      </c>
      <c r="D69" s="13">
        <v>0.32927899999999999</v>
      </c>
      <c r="E69" s="13">
        <v>39.6</v>
      </c>
      <c r="F69" s="13">
        <v>1.0413209999999999</v>
      </c>
      <c r="G69" s="13">
        <v>18.921358000000001</v>
      </c>
      <c r="H69" s="13">
        <v>0.92699200000000004</v>
      </c>
      <c r="I69" s="13">
        <v>4.7</v>
      </c>
      <c r="J69" s="13">
        <v>1.1401410000000001</v>
      </c>
      <c r="K69" s="13">
        <v>1.6</v>
      </c>
      <c r="L69" s="13">
        <v>1.169257</v>
      </c>
      <c r="M69" s="13">
        <v>0.124916</v>
      </c>
      <c r="N69" s="13">
        <v>0.63630399999999998</v>
      </c>
    </row>
    <row r="70" spans="1:14" x14ac:dyDescent="0.3">
      <c r="A70" s="13" t="s">
        <v>79</v>
      </c>
      <c r="B70" s="13" t="s">
        <v>108</v>
      </c>
      <c r="C70" s="13">
        <v>337</v>
      </c>
      <c r="D70" s="13">
        <v>0.29591200000000001</v>
      </c>
      <c r="E70" s="13">
        <v>40.61</v>
      </c>
      <c r="F70" s="13">
        <v>1.0678799999999999</v>
      </c>
      <c r="G70" s="13">
        <v>17.917701000000001</v>
      </c>
      <c r="H70" s="13">
        <v>0.946716</v>
      </c>
      <c r="I70" s="13">
        <v>5.07</v>
      </c>
      <c r="J70" s="13">
        <v>1.2298960000000001</v>
      </c>
      <c r="K70" s="13">
        <v>1.61</v>
      </c>
      <c r="L70" s="13">
        <v>1.1765639999999999</v>
      </c>
      <c r="M70" s="13">
        <v>0.13738600000000001</v>
      </c>
      <c r="N70" s="13">
        <v>0.65141199999999999</v>
      </c>
    </row>
    <row r="71" spans="1:14" x14ac:dyDescent="0.3">
      <c r="A71" s="13" t="s">
        <v>80</v>
      </c>
      <c r="B71" s="13" t="s">
        <v>108</v>
      </c>
      <c r="C71" s="13">
        <v>1512</v>
      </c>
      <c r="D71" s="13">
        <v>1.3276539999999999</v>
      </c>
      <c r="E71" s="13">
        <v>38.22</v>
      </c>
      <c r="F71" s="13">
        <v>1.0050330000000001</v>
      </c>
      <c r="G71" s="13">
        <v>18.878547000000001</v>
      </c>
      <c r="H71" s="13">
        <v>0.83153200000000005</v>
      </c>
      <c r="I71" s="13">
        <v>3.67</v>
      </c>
      <c r="J71" s="13">
        <v>0.89027999999999996</v>
      </c>
      <c r="K71" s="13">
        <v>1.22</v>
      </c>
      <c r="L71" s="13">
        <v>0.89155799999999996</v>
      </c>
      <c r="M71" s="13">
        <v>0.109684</v>
      </c>
      <c r="N71" s="13">
        <v>0.63014599999999998</v>
      </c>
    </row>
    <row r="72" spans="1:14" x14ac:dyDescent="0.3">
      <c r="A72" s="13" t="s">
        <v>81</v>
      </c>
      <c r="B72" s="13" t="s">
        <v>108</v>
      </c>
      <c r="C72" s="13">
        <v>4312</v>
      </c>
      <c r="D72" s="13">
        <v>3.7862740000000001</v>
      </c>
      <c r="E72" s="13">
        <v>40.19</v>
      </c>
      <c r="F72" s="13">
        <v>1.0568360000000001</v>
      </c>
      <c r="G72" s="13">
        <v>18.577756999999998</v>
      </c>
      <c r="H72" s="13">
        <v>0.95144899999999999</v>
      </c>
      <c r="I72" s="13">
        <v>4.7</v>
      </c>
      <c r="J72" s="13">
        <v>1.1401410000000001</v>
      </c>
      <c r="K72" s="13">
        <v>1.52</v>
      </c>
      <c r="L72" s="13">
        <v>1.1107940000000001</v>
      </c>
      <c r="M72" s="13">
        <v>0.13683100000000001</v>
      </c>
      <c r="N72" s="13">
        <v>0.64206799999999997</v>
      </c>
    </row>
    <row r="73" spans="1:14" x14ac:dyDescent="0.3">
      <c r="A73" s="13" t="s">
        <v>82</v>
      </c>
      <c r="B73" s="13" t="s">
        <v>108</v>
      </c>
      <c r="C73" s="13">
        <v>318</v>
      </c>
      <c r="D73" s="13">
        <v>0.279229</v>
      </c>
      <c r="E73" s="13">
        <v>37.29</v>
      </c>
      <c r="F73" s="13">
        <v>0.98057700000000003</v>
      </c>
      <c r="G73" s="13">
        <v>19.130860999999999</v>
      </c>
      <c r="H73" s="13">
        <v>0.78261800000000004</v>
      </c>
      <c r="I73" s="13">
        <v>3.69</v>
      </c>
      <c r="J73" s="13">
        <v>0.89513200000000004</v>
      </c>
      <c r="K73" s="13">
        <v>1.1100000000000001</v>
      </c>
      <c r="L73" s="13">
        <v>0.811172</v>
      </c>
      <c r="M73" s="13">
        <v>0.12145499999999999</v>
      </c>
      <c r="N73" s="13">
        <v>0.62914800000000004</v>
      </c>
    </row>
    <row r="74" spans="1:14" x14ac:dyDescent="0.3">
      <c r="A74" s="13" t="s">
        <v>83</v>
      </c>
      <c r="B74" s="13" t="s">
        <v>108</v>
      </c>
      <c r="C74" s="13">
        <v>3062</v>
      </c>
      <c r="D74" s="13">
        <v>2.6886760000000001</v>
      </c>
      <c r="E74" s="13">
        <v>39.85</v>
      </c>
      <c r="F74" s="13">
        <v>1.047895</v>
      </c>
      <c r="G74" s="13">
        <v>16.449994</v>
      </c>
      <c r="H74" s="13">
        <v>0.82127600000000001</v>
      </c>
      <c r="I74" s="13">
        <v>4.62</v>
      </c>
      <c r="J74" s="13">
        <v>1.1207339999999999</v>
      </c>
      <c r="K74" s="13">
        <v>1.58</v>
      </c>
      <c r="L74" s="13">
        <v>1.154641</v>
      </c>
      <c r="M74" s="13">
        <v>0.12156699999999999</v>
      </c>
      <c r="N74" s="13">
        <v>0.63739100000000004</v>
      </c>
    </row>
    <row r="75" spans="1:14" x14ac:dyDescent="0.3">
      <c r="A75" s="13" t="s">
        <v>84</v>
      </c>
      <c r="B75" s="13" t="s">
        <v>108</v>
      </c>
      <c r="C75" s="13">
        <v>637</v>
      </c>
      <c r="D75" s="13">
        <v>0.55933600000000006</v>
      </c>
      <c r="E75" s="13">
        <v>42.54</v>
      </c>
      <c r="F75" s="13">
        <v>1.1186309999999999</v>
      </c>
      <c r="G75" s="13">
        <v>15.977641</v>
      </c>
      <c r="H75" s="13">
        <v>0.970383</v>
      </c>
      <c r="I75" s="13">
        <v>4.4400000000000004</v>
      </c>
      <c r="J75" s="13">
        <v>1.0770690000000001</v>
      </c>
      <c r="K75" s="13">
        <v>1.31</v>
      </c>
      <c r="L75" s="13">
        <v>0.95732899999999999</v>
      </c>
      <c r="M75" s="13">
        <v>0.15113399999999999</v>
      </c>
      <c r="N75" s="13">
        <v>0.64322900000000005</v>
      </c>
    </row>
    <row r="76" spans="1:14" x14ac:dyDescent="0.3">
      <c r="A76" s="13" t="s">
        <v>85</v>
      </c>
      <c r="B76" s="13" t="s">
        <v>108</v>
      </c>
      <c r="C76" s="13">
        <v>2212</v>
      </c>
      <c r="D76" s="13">
        <v>1.9423090000000001</v>
      </c>
      <c r="E76" s="13">
        <v>37.479999999999997</v>
      </c>
      <c r="F76" s="13">
        <v>0.98557300000000003</v>
      </c>
      <c r="G76" s="13">
        <v>19.639109999999999</v>
      </c>
      <c r="H76" s="13">
        <v>0.81575299999999995</v>
      </c>
      <c r="I76" s="13">
        <v>3.71</v>
      </c>
      <c r="J76" s="13">
        <v>0.89998299999999998</v>
      </c>
      <c r="K76" s="13">
        <v>1.39</v>
      </c>
      <c r="L76" s="13">
        <v>1.015792</v>
      </c>
      <c r="M76" s="13">
        <v>0.12587200000000001</v>
      </c>
      <c r="N76" s="13">
        <v>0.63371200000000005</v>
      </c>
    </row>
    <row r="77" spans="1:14" x14ac:dyDescent="0.3">
      <c r="A77" s="13" t="s">
        <v>86</v>
      </c>
      <c r="B77" s="13" t="s">
        <v>108</v>
      </c>
      <c r="C77" s="13">
        <v>487</v>
      </c>
      <c r="D77" s="13">
        <v>0.427624</v>
      </c>
      <c r="E77" s="13">
        <v>37.82</v>
      </c>
      <c r="F77" s="13">
        <v>0.99451400000000001</v>
      </c>
      <c r="G77" s="13">
        <v>19.557849000000001</v>
      </c>
      <c r="H77" s="13">
        <v>0.83468799999999999</v>
      </c>
      <c r="I77" s="13">
        <v>3.95</v>
      </c>
      <c r="J77" s="13">
        <v>0.95820300000000003</v>
      </c>
      <c r="K77" s="13">
        <v>1.4</v>
      </c>
      <c r="L77" s="13">
        <v>1.0230999999999999</v>
      </c>
      <c r="M77" s="13">
        <v>0.15091499999999999</v>
      </c>
      <c r="N77" s="13">
        <v>0.652922</v>
      </c>
    </row>
    <row r="78" spans="1:14" x14ac:dyDescent="0.3">
      <c r="A78" s="13" t="s">
        <v>87</v>
      </c>
      <c r="B78" s="13" t="s">
        <v>108</v>
      </c>
      <c r="C78" s="13">
        <v>637</v>
      </c>
      <c r="D78" s="13">
        <v>0.55933600000000006</v>
      </c>
      <c r="E78" s="13">
        <v>33.44</v>
      </c>
      <c r="F78" s="13">
        <v>0.87933799999999995</v>
      </c>
      <c r="G78" s="13">
        <v>24.442599000000001</v>
      </c>
      <c r="H78" s="13">
        <v>0.721082</v>
      </c>
      <c r="I78" s="13">
        <v>2.9</v>
      </c>
      <c r="J78" s="13">
        <v>0.70349099999999998</v>
      </c>
      <c r="K78" s="13">
        <v>0.89</v>
      </c>
      <c r="L78" s="13">
        <v>0.65039899999999995</v>
      </c>
      <c r="M78" s="13">
        <v>0.142203</v>
      </c>
      <c r="N78" s="13">
        <v>0.65061800000000003</v>
      </c>
    </row>
    <row r="79" spans="1:14" x14ac:dyDescent="0.3">
      <c r="A79" s="13" t="s">
        <v>88</v>
      </c>
      <c r="B79" s="13" t="s">
        <v>108</v>
      </c>
      <c r="C79" s="13">
        <v>1762</v>
      </c>
      <c r="D79" s="13">
        <v>1.547174</v>
      </c>
      <c r="E79" s="13">
        <v>37.020000000000003</v>
      </c>
      <c r="F79" s="13">
        <v>0.97347700000000004</v>
      </c>
      <c r="G79" s="13">
        <v>21.109611000000001</v>
      </c>
      <c r="H79" s="13">
        <v>0.84494400000000003</v>
      </c>
      <c r="I79" s="13">
        <v>4.0599999999999996</v>
      </c>
      <c r="J79" s="13">
        <v>0.98488699999999996</v>
      </c>
      <c r="K79" s="13">
        <v>1.43</v>
      </c>
      <c r="L79" s="13">
        <v>1.045023</v>
      </c>
      <c r="M79" s="13">
        <v>0.14781900000000001</v>
      </c>
      <c r="N79" s="13">
        <v>0.63302999999999998</v>
      </c>
    </row>
    <row r="80" spans="1:14" x14ac:dyDescent="0.3">
      <c r="A80" s="13" t="s">
        <v>89</v>
      </c>
      <c r="B80" s="13" t="s">
        <v>108</v>
      </c>
      <c r="C80" s="13">
        <v>1475</v>
      </c>
      <c r="D80" s="13">
        <v>1.295166</v>
      </c>
      <c r="E80" s="13">
        <v>38.04</v>
      </c>
      <c r="F80" s="13">
        <v>1.000299</v>
      </c>
      <c r="G80" s="13">
        <v>21.200658000000001</v>
      </c>
      <c r="H80" s="13">
        <v>0.92068099999999997</v>
      </c>
      <c r="I80" s="13">
        <v>3.95</v>
      </c>
      <c r="J80" s="13">
        <v>0.95820300000000003</v>
      </c>
      <c r="K80" s="13">
        <v>1.28</v>
      </c>
      <c r="L80" s="13">
        <v>0.93540500000000004</v>
      </c>
      <c r="M80" s="13">
        <v>0.11616600000000001</v>
      </c>
      <c r="N80" s="13">
        <v>0.63024400000000003</v>
      </c>
    </row>
    <row r="81" spans="1:14" x14ac:dyDescent="0.3">
      <c r="A81" s="13" t="s">
        <v>90</v>
      </c>
      <c r="B81" s="13" t="s">
        <v>108</v>
      </c>
      <c r="C81" s="13">
        <v>3500</v>
      </c>
      <c r="D81" s="13">
        <v>3.0732740000000001</v>
      </c>
      <c r="E81" s="13">
        <v>37.229999999999997</v>
      </c>
      <c r="F81" s="13">
        <v>0.97899899999999995</v>
      </c>
      <c r="G81" s="13">
        <v>18.622769999999999</v>
      </c>
      <c r="H81" s="13">
        <v>0.75816099999999997</v>
      </c>
      <c r="I81" s="13">
        <v>2.68</v>
      </c>
      <c r="J81" s="13">
        <v>0.65012300000000001</v>
      </c>
      <c r="K81" s="13">
        <v>0.94</v>
      </c>
      <c r="L81" s="13">
        <v>0.68693800000000005</v>
      </c>
      <c r="M81" s="13">
        <v>0.160137</v>
      </c>
      <c r="N81" s="13">
        <v>0.65929099999999996</v>
      </c>
    </row>
    <row r="82" spans="1:14" x14ac:dyDescent="0.3">
      <c r="A82" s="13" t="s">
        <v>91</v>
      </c>
      <c r="B82" s="13" t="s">
        <v>108</v>
      </c>
      <c r="C82" s="13">
        <v>600</v>
      </c>
      <c r="D82" s="13">
        <v>0.52684699999999995</v>
      </c>
      <c r="E82" s="13">
        <v>34.86</v>
      </c>
      <c r="F82" s="13">
        <v>0.91667799999999999</v>
      </c>
      <c r="G82" s="13">
        <v>22.472677000000001</v>
      </c>
      <c r="H82" s="13">
        <v>0.75106099999999998</v>
      </c>
      <c r="I82" s="13">
        <v>3.72</v>
      </c>
      <c r="J82" s="13">
        <v>0.90240900000000002</v>
      </c>
      <c r="K82" s="13">
        <v>1.32</v>
      </c>
      <c r="L82" s="13">
        <v>0.96463699999999997</v>
      </c>
      <c r="M82" s="13">
        <v>0.147952</v>
      </c>
      <c r="N82" s="13">
        <v>0.64836899999999997</v>
      </c>
    </row>
    <row r="83" spans="1:14" x14ac:dyDescent="0.3">
      <c r="A83" s="13" t="s">
        <v>92</v>
      </c>
      <c r="B83" s="13" t="s">
        <v>108</v>
      </c>
      <c r="C83" s="13">
        <v>1925</v>
      </c>
      <c r="D83" s="13">
        <v>1.6903010000000001</v>
      </c>
      <c r="E83" s="13">
        <v>42.07</v>
      </c>
      <c r="F83" s="13">
        <v>1.1062719999999999</v>
      </c>
      <c r="G83" s="13">
        <v>16.465425</v>
      </c>
      <c r="H83" s="13">
        <v>0.96722799999999998</v>
      </c>
      <c r="I83" s="13">
        <v>4.16</v>
      </c>
      <c r="J83" s="13">
        <v>1.0091460000000001</v>
      </c>
      <c r="K83" s="13">
        <v>1.33</v>
      </c>
      <c r="L83" s="13">
        <v>0.97194499999999995</v>
      </c>
      <c r="M83" s="13">
        <v>0.13966799999999999</v>
      </c>
      <c r="N83" s="13">
        <v>0.64895700000000001</v>
      </c>
    </row>
    <row r="84" spans="1:14" x14ac:dyDescent="0.3">
      <c r="A84" s="13" t="s">
        <v>93</v>
      </c>
      <c r="B84" s="13" t="s">
        <v>108</v>
      </c>
      <c r="C84" s="13">
        <v>590</v>
      </c>
      <c r="D84" s="13">
        <v>0.51806600000000003</v>
      </c>
      <c r="E84" s="13">
        <v>37.700000000000003</v>
      </c>
      <c r="F84" s="13">
        <v>0.99135899999999999</v>
      </c>
      <c r="G84" s="13">
        <v>25.717497999999999</v>
      </c>
      <c r="H84" s="13">
        <v>1.073733</v>
      </c>
      <c r="I84" s="13">
        <v>4.26</v>
      </c>
      <c r="J84" s="13">
        <v>1.033404</v>
      </c>
      <c r="K84" s="13">
        <v>1.27</v>
      </c>
      <c r="L84" s="13">
        <v>0.92809699999999995</v>
      </c>
      <c r="M84" s="13">
        <v>0.122826</v>
      </c>
      <c r="N84" s="13">
        <v>0.63225799999999999</v>
      </c>
    </row>
    <row r="85" spans="1:14" x14ac:dyDescent="0.3">
      <c r="A85" s="13" t="s">
        <v>94</v>
      </c>
      <c r="B85" s="13" t="s">
        <v>108</v>
      </c>
      <c r="C85" s="13">
        <v>480</v>
      </c>
      <c r="D85" s="13">
        <v>0.42147800000000002</v>
      </c>
      <c r="E85" s="13">
        <v>35.79</v>
      </c>
      <c r="F85" s="13">
        <v>0.941133</v>
      </c>
      <c r="G85" s="13">
        <v>26.108167000000002</v>
      </c>
      <c r="H85" s="13">
        <v>0.93014799999999997</v>
      </c>
      <c r="I85" s="13">
        <v>3.58</v>
      </c>
      <c r="J85" s="13">
        <v>0.86844699999999997</v>
      </c>
      <c r="K85" s="13">
        <v>1.0900000000000001</v>
      </c>
      <c r="L85" s="13">
        <v>0.79655600000000004</v>
      </c>
      <c r="M85" s="13">
        <v>0.16916200000000001</v>
      </c>
      <c r="N85" s="13">
        <v>0.64907099999999995</v>
      </c>
    </row>
    <row r="86" spans="1:14" x14ac:dyDescent="0.3">
      <c r="A86" s="13" t="s">
        <v>95</v>
      </c>
      <c r="B86" s="13" t="s">
        <v>108</v>
      </c>
      <c r="C86" s="13">
        <v>686</v>
      </c>
      <c r="D86" s="13">
        <v>0.60236199999999995</v>
      </c>
      <c r="E86" s="13">
        <v>35.92</v>
      </c>
      <c r="F86" s="13">
        <v>0.94455199999999995</v>
      </c>
      <c r="G86" s="13">
        <v>26.409282999999999</v>
      </c>
      <c r="H86" s="13">
        <v>0.95460500000000004</v>
      </c>
      <c r="I86" s="13">
        <v>3.5</v>
      </c>
      <c r="J86" s="13">
        <v>0.84904100000000005</v>
      </c>
      <c r="K86" s="13">
        <v>1.05</v>
      </c>
      <c r="L86" s="13">
        <v>0.76732500000000003</v>
      </c>
      <c r="M86" s="13">
        <v>0.15573000000000001</v>
      </c>
      <c r="N86" s="13">
        <v>0.63541999999999998</v>
      </c>
    </row>
    <row r="87" spans="1:14" x14ac:dyDescent="0.3">
      <c r="A87" s="13" t="s">
        <v>96</v>
      </c>
      <c r="B87" s="13" t="s">
        <v>108</v>
      </c>
      <c r="C87" s="13">
        <v>298</v>
      </c>
      <c r="D87" s="13">
        <v>0.26166699999999998</v>
      </c>
      <c r="E87" s="13">
        <v>36.25</v>
      </c>
      <c r="F87" s="13">
        <v>0.95322899999999999</v>
      </c>
      <c r="G87" s="13"/>
      <c r="H87" s="13">
        <v>0.99247300000000005</v>
      </c>
      <c r="I87" s="13">
        <v>3.91</v>
      </c>
      <c r="J87" s="13">
        <v>0.94850000000000001</v>
      </c>
      <c r="K87" s="13">
        <v>1.22</v>
      </c>
      <c r="L87" s="13">
        <v>0.89155799999999996</v>
      </c>
      <c r="M87" s="13">
        <v>0.16689899999999999</v>
      </c>
      <c r="N87" s="13">
        <v>0.62072300000000002</v>
      </c>
    </row>
    <row r="88" spans="1:14" x14ac:dyDescent="0.3">
      <c r="M88" s="13"/>
    </row>
    <row r="89" spans="1:14" x14ac:dyDescent="0.3">
      <c r="C89" s="9">
        <f>AVERAGE(C2:C87)</f>
        <v>1150.5</v>
      </c>
      <c r="E89" s="10">
        <f>AVERAGE(E2:E87)</f>
        <v>38.015930232558148</v>
      </c>
      <c r="F89" s="10">
        <f t="shared" ref="F89:N89" si="1">AVERAGE(F2:F87)</f>
        <v>0.99966627906976713</v>
      </c>
      <c r="G89" s="11">
        <f t="shared" si="1"/>
        <v>23.29308015294118</v>
      </c>
      <c r="H89" s="11">
        <f t="shared" si="1"/>
        <v>1.0012708720930237</v>
      </c>
      <c r="I89" s="11">
        <f t="shared" si="1"/>
        <v>4.1266279069767426</v>
      </c>
      <c r="J89" s="11">
        <f t="shared" si="1"/>
        <v>1.0010501627906976</v>
      </c>
      <c r="K89" s="11">
        <f t="shared" si="1"/>
        <v>1.3725581395348834</v>
      </c>
      <c r="L89" s="11">
        <f t="shared" si="1"/>
        <v>1.0030454186046509</v>
      </c>
      <c r="M89" s="14">
        <f>AVERAGE(M2:M87)</f>
        <v>0.14053947674418607</v>
      </c>
      <c r="N89" s="11">
        <f t="shared" si="1"/>
        <v>0.63631389534883764</v>
      </c>
    </row>
    <row r="90" spans="1:14" x14ac:dyDescent="0.3">
      <c r="E90" s="12">
        <f>SQRT(VAR(E2:E87))</f>
        <v>2.2151698263973172</v>
      </c>
      <c r="M90" s="15">
        <f>SQRT(VAR(M2:M87))</f>
        <v>2.5647417286657159E-2</v>
      </c>
      <c r="N90" s="12">
        <f>SQRT(VAR(N2:N87))</f>
        <v>1.6075554445495674E-2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42"/>
  <sheetViews>
    <sheetView workbookViewId="0">
      <selection activeCell="H9" sqref="H9"/>
    </sheetView>
  </sheetViews>
  <sheetFormatPr baseColWidth="10" defaultRowHeight="14.4" x14ac:dyDescent="0.3"/>
  <cols>
    <col min="1" max="3" width="11.5546875" style="8"/>
    <col min="4" max="6" width="11.5546875" style="16"/>
  </cols>
  <sheetData>
    <row r="1" spans="1:6" x14ac:dyDescent="0.3">
      <c r="A1" s="3" t="s">
        <v>104</v>
      </c>
      <c r="B1" s="3" t="s">
        <v>105</v>
      </c>
      <c r="C1" s="3" t="s">
        <v>101</v>
      </c>
      <c r="D1" s="3" t="s">
        <v>102</v>
      </c>
      <c r="E1" s="3" t="s">
        <v>109</v>
      </c>
      <c r="F1" s="3" t="s">
        <v>103</v>
      </c>
    </row>
    <row r="2" spans="1:6" x14ac:dyDescent="0.3">
      <c r="A2" s="8">
        <v>1</v>
      </c>
      <c r="B2" s="8">
        <v>1</v>
      </c>
      <c r="C2" s="8">
        <v>3173</v>
      </c>
      <c r="D2" s="16">
        <v>1.186912</v>
      </c>
      <c r="E2" s="8"/>
      <c r="F2" s="3"/>
    </row>
    <row r="3" spans="1:6" x14ac:dyDescent="0.3">
      <c r="A3" s="8">
        <v>2</v>
      </c>
      <c r="B3" s="8">
        <v>1</v>
      </c>
      <c r="C3" s="8">
        <v>3064</v>
      </c>
      <c r="D3" s="16">
        <v>1.449481E-2</v>
      </c>
      <c r="E3" s="8">
        <v>7.2474050000000002E-3</v>
      </c>
      <c r="F3" s="17">
        <f>AVERAGE(E2:E139878)/2</f>
        <v>-3.3887064847286622E-3</v>
      </c>
    </row>
    <row r="4" spans="1:6" x14ac:dyDescent="0.3">
      <c r="A4" s="8">
        <v>2</v>
      </c>
      <c r="B4" s="8">
        <v>2</v>
      </c>
      <c r="C4" s="8">
        <v>3136</v>
      </c>
      <c r="D4" s="16">
        <v>1.152539</v>
      </c>
      <c r="E4" s="8"/>
      <c r="F4" s="17">
        <f>SQRT(VAR(E2:E139879))/2</f>
        <v>6.7709606741203762E-3</v>
      </c>
    </row>
    <row r="5" spans="1:6" x14ac:dyDescent="0.3">
      <c r="A5" s="8">
        <v>3</v>
      </c>
      <c r="B5" s="8">
        <v>1</v>
      </c>
      <c r="C5" s="8">
        <v>3086</v>
      </c>
      <c r="D5" s="16">
        <v>-6.3898629999999998E-2</v>
      </c>
      <c r="E5" s="8">
        <v>-3.1949314999999999E-2</v>
      </c>
      <c r="F5" s="8"/>
    </row>
    <row r="6" spans="1:6" x14ac:dyDescent="0.3">
      <c r="A6" s="8">
        <v>3</v>
      </c>
      <c r="B6" s="8">
        <v>2</v>
      </c>
      <c r="C6" s="8">
        <v>3049</v>
      </c>
      <c r="D6" s="16">
        <v>-2.949717E-2</v>
      </c>
      <c r="E6" s="8">
        <v>-1.4748585E-2</v>
      </c>
      <c r="F6" s="8"/>
    </row>
    <row r="7" spans="1:6" x14ac:dyDescent="0.3">
      <c r="A7" s="8">
        <v>3</v>
      </c>
      <c r="B7" s="8">
        <v>3</v>
      </c>
      <c r="C7" s="8">
        <v>3165</v>
      </c>
      <c r="D7" s="16">
        <v>1.161708</v>
      </c>
      <c r="E7" s="8"/>
      <c r="F7" s="8"/>
    </row>
    <row r="8" spans="1:6" x14ac:dyDescent="0.3">
      <c r="A8" s="8">
        <v>4</v>
      </c>
      <c r="B8" s="8">
        <v>1</v>
      </c>
      <c r="C8" s="8">
        <v>3057</v>
      </c>
      <c r="D8" s="16">
        <v>6.1215119999999998E-2</v>
      </c>
      <c r="E8" s="8">
        <v>3.0607559999999999E-2</v>
      </c>
      <c r="F8" s="8"/>
    </row>
    <row r="9" spans="1:6" x14ac:dyDescent="0.3">
      <c r="A9" s="8">
        <v>4</v>
      </c>
      <c r="B9" s="8">
        <v>2</v>
      </c>
      <c r="C9" s="8">
        <v>3026</v>
      </c>
      <c r="D9" s="16">
        <v>2.6725039999999999E-2</v>
      </c>
      <c r="E9" s="8">
        <v>1.3362519999999999E-2</v>
      </c>
      <c r="F9" s="8"/>
    </row>
    <row r="10" spans="1:6" x14ac:dyDescent="0.3">
      <c r="A10" s="8">
        <v>4</v>
      </c>
      <c r="B10" s="8">
        <v>3</v>
      </c>
      <c r="C10" s="8">
        <v>3059</v>
      </c>
      <c r="D10" s="16">
        <v>-6.0513909999999997E-2</v>
      </c>
      <c r="E10" s="8">
        <v>-3.0256954999999999E-2</v>
      </c>
    </row>
    <row r="11" spans="1:6" x14ac:dyDescent="0.3">
      <c r="A11" s="8">
        <v>4</v>
      </c>
      <c r="B11" s="8">
        <v>4</v>
      </c>
      <c r="C11" s="8">
        <v>3141</v>
      </c>
      <c r="D11" s="16">
        <v>1.1784939999999999</v>
      </c>
      <c r="E11" s="8"/>
    </row>
    <row r="12" spans="1:6" x14ac:dyDescent="0.3">
      <c r="A12" s="8">
        <v>5</v>
      </c>
      <c r="B12" s="8">
        <v>1</v>
      </c>
      <c r="C12" s="8">
        <v>3051</v>
      </c>
      <c r="D12" s="16">
        <v>-3.2439030000000001E-2</v>
      </c>
      <c r="E12" s="8">
        <v>-1.6219515E-2</v>
      </c>
    </row>
    <row r="13" spans="1:6" x14ac:dyDescent="0.3">
      <c r="A13" s="8">
        <v>5</v>
      </c>
      <c r="B13" s="8">
        <v>2</v>
      </c>
      <c r="C13" s="8">
        <v>3017</v>
      </c>
      <c r="D13" s="16">
        <v>-2.4961279999999999E-2</v>
      </c>
      <c r="E13" s="8">
        <v>-1.2480639999999999E-2</v>
      </c>
    </row>
    <row r="14" spans="1:6" x14ac:dyDescent="0.3">
      <c r="A14" s="8">
        <v>5</v>
      </c>
      <c r="B14" s="8">
        <v>3</v>
      </c>
      <c r="C14" s="8">
        <v>3047</v>
      </c>
      <c r="D14" s="16">
        <v>2.8917430000000001E-2</v>
      </c>
      <c r="E14" s="8">
        <v>1.4458715E-2</v>
      </c>
    </row>
    <row r="15" spans="1:6" x14ac:dyDescent="0.3">
      <c r="A15" s="8">
        <v>5</v>
      </c>
      <c r="B15" s="8">
        <v>4</v>
      </c>
      <c r="C15" s="8">
        <v>3019</v>
      </c>
      <c r="D15" s="16">
        <v>-1.937993E-2</v>
      </c>
      <c r="E15" s="8">
        <v>-9.689965E-3</v>
      </c>
    </row>
    <row r="16" spans="1:6" x14ac:dyDescent="0.3">
      <c r="A16" s="8">
        <v>5</v>
      </c>
      <c r="B16" s="8">
        <v>5</v>
      </c>
      <c r="C16" s="8">
        <v>3129</v>
      </c>
      <c r="D16" s="16">
        <v>1.152814</v>
      </c>
      <c r="E16" s="8"/>
    </row>
    <row r="17" spans="1:5" x14ac:dyDescent="0.3">
      <c r="A17" s="8">
        <v>6</v>
      </c>
      <c r="B17" s="8">
        <v>1</v>
      </c>
      <c r="C17" s="8">
        <v>3067</v>
      </c>
      <c r="D17" s="16">
        <v>-1.479639E-2</v>
      </c>
      <c r="E17" s="8">
        <v>-7.3981949999999998E-3</v>
      </c>
    </row>
    <row r="18" spans="1:5" x14ac:dyDescent="0.3">
      <c r="A18" s="8">
        <v>6</v>
      </c>
      <c r="B18" s="8">
        <v>2</v>
      </c>
      <c r="C18" s="8">
        <v>3034</v>
      </c>
      <c r="D18" s="16">
        <v>-4.4894679999999999E-2</v>
      </c>
      <c r="E18" s="8">
        <v>-2.244734E-2</v>
      </c>
    </row>
    <row r="19" spans="1:5" x14ac:dyDescent="0.3">
      <c r="A19" s="8">
        <v>6</v>
      </c>
      <c r="B19" s="8">
        <v>3</v>
      </c>
      <c r="C19" s="8">
        <v>3060</v>
      </c>
      <c r="D19" s="16">
        <v>-1.8062129999999999E-2</v>
      </c>
      <c r="E19" s="8">
        <v>-9.0310649999999996E-3</v>
      </c>
    </row>
    <row r="20" spans="1:5" x14ac:dyDescent="0.3">
      <c r="A20" s="8">
        <v>6</v>
      </c>
      <c r="B20" s="8">
        <v>4</v>
      </c>
      <c r="C20" s="8">
        <v>3037</v>
      </c>
      <c r="D20" s="16">
        <v>7.1022250000000002E-3</v>
      </c>
      <c r="E20" s="8">
        <v>3.5511125000000001E-3</v>
      </c>
    </row>
    <row r="21" spans="1:5" x14ac:dyDescent="0.3">
      <c r="A21" s="8">
        <v>6</v>
      </c>
      <c r="B21" s="8">
        <v>5</v>
      </c>
      <c r="C21" s="8">
        <v>3028</v>
      </c>
      <c r="D21" s="16">
        <v>2.381256E-2</v>
      </c>
      <c r="E21" s="8">
        <v>1.190628E-2</v>
      </c>
    </row>
    <row r="22" spans="1:5" x14ac:dyDescent="0.3">
      <c r="A22" s="8">
        <v>6</v>
      </c>
      <c r="B22" s="8">
        <v>6</v>
      </c>
      <c r="C22" s="8">
        <v>3147</v>
      </c>
      <c r="D22" s="16">
        <v>1.111127</v>
      </c>
      <c r="E22" s="8"/>
    </row>
    <row r="23" spans="1:5" x14ac:dyDescent="0.3">
      <c r="A23" s="8">
        <v>7</v>
      </c>
      <c r="B23" s="8">
        <v>1</v>
      </c>
      <c r="C23" s="8">
        <v>3061</v>
      </c>
      <c r="D23" s="16">
        <v>-6.9293180000000003E-3</v>
      </c>
      <c r="E23" s="8">
        <v>-3.4646590000000001E-3</v>
      </c>
    </row>
    <row r="24" spans="1:5" x14ac:dyDescent="0.3">
      <c r="A24" s="8">
        <v>7</v>
      </c>
      <c r="B24" s="8">
        <v>2</v>
      </c>
      <c r="C24" s="8">
        <v>3031</v>
      </c>
      <c r="D24" s="16">
        <v>-5.0062160000000001E-2</v>
      </c>
      <c r="E24" s="8">
        <v>-2.5031080000000001E-2</v>
      </c>
    </row>
    <row r="25" spans="1:5" x14ac:dyDescent="0.3">
      <c r="A25" s="8">
        <v>7</v>
      </c>
      <c r="B25" s="8">
        <v>3</v>
      </c>
      <c r="C25" s="8">
        <v>3056</v>
      </c>
      <c r="D25" s="16">
        <v>-1.9862999999999999E-2</v>
      </c>
      <c r="E25" s="8">
        <v>-9.9314999999999994E-3</v>
      </c>
    </row>
    <row r="26" spans="1:5" x14ac:dyDescent="0.3">
      <c r="A26" s="8">
        <v>7</v>
      </c>
      <c r="B26" s="8">
        <v>4</v>
      </c>
      <c r="C26" s="8">
        <v>3029</v>
      </c>
      <c r="D26" s="16">
        <v>-5.2911970000000001E-3</v>
      </c>
      <c r="E26" s="8">
        <v>-2.6455985E-3</v>
      </c>
    </row>
    <row r="27" spans="1:5" x14ac:dyDescent="0.3">
      <c r="A27" s="8">
        <v>7</v>
      </c>
      <c r="B27" s="8">
        <v>5</v>
      </c>
      <c r="C27" s="8">
        <v>3024</v>
      </c>
      <c r="D27" s="16">
        <v>-3.5156130000000001E-2</v>
      </c>
      <c r="E27" s="8">
        <v>-1.7578065E-2</v>
      </c>
    </row>
    <row r="28" spans="1:5" x14ac:dyDescent="0.3">
      <c r="A28" s="8">
        <v>7</v>
      </c>
      <c r="B28" s="8">
        <v>6</v>
      </c>
      <c r="C28" s="8">
        <v>3036</v>
      </c>
      <c r="D28" s="16">
        <v>-2.8123729999999998E-4</v>
      </c>
      <c r="E28" s="8">
        <v>-1.4061864999999999E-4</v>
      </c>
    </row>
    <row r="29" spans="1:5" x14ac:dyDescent="0.3">
      <c r="A29" s="8">
        <v>7</v>
      </c>
      <c r="B29" s="8">
        <v>7</v>
      </c>
      <c r="C29" s="8">
        <v>3141</v>
      </c>
      <c r="D29" s="16">
        <v>1.1612899999999999</v>
      </c>
      <c r="E29" s="8"/>
    </row>
    <row r="30" spans="1:5" x14ac:dyDescent="0.3">
      <c r="A30" s="8">
        <v>8</v>
      </c>
      <c r="B30" s="8">
        <v>1</v>
      </c>
      <c r="C30" s="8">
        <v>3080</v>
      </c>
      <c r="D30" s="16">
        <v>-1.513831E-3</v>
      </c>
      <c r="E30" s="8">
        <v>-7.5691549999999999E-4</v>
      </c>
    </row>
    <row r="31" spans="1:5" x14ac:dyDescent="0.3">
      <c r="A31" s="8">
        <v>8</v>
      </c>
      <c r="B31" s="8">
        <v>2</v>
      </c>
      <c r="C31" s="8">
        <v>3049</v>
      </c>
      <c r="D31" s="16">
        <v>2.0919839999999999E-3</v>
      </c>
      <c r="E31" s="8">
        <v>1.0459919999999999E-3</v>
      </c>
    </row>
    <row r="32" spans="1:5" x14ac:dyDescent="0.3">
      <c r="A32" s="8">
        <v>8</v>
      </c>
      <c r="B32" s="8">
        <v>3</v>
      </c>
      <c r="C32" s="8">
        <v>3072</v>
      </c>
      <c r="D32" s="16">
        <v>-2.97592E-2</v>
      </c>
      <c r="E32" s="8">
        <v>-1.48796E-2</v>
      </c>
    </row>
    <row r="33" spans="1:5" x14ac:dyDescent="0.3">
      <c r="A33" s="8">
        <v>8</v>
      </c>
      <c r="B33" s="8">
        <v>4</v>
      </c>
      <c r="C33" s="8">
        <v>3053</v>
      </c>
      <c r="D33" s="16">
        <v>2.9603600000000001E-2</v>
      </c>
      <c r="E33" s="8">
        <v>1.48018E-2</v>
      </c>
    </row>
    <row r="34" spans="1:5" x14ac:dyDescent="0.3">
      <c r="A34" s="8">
        <v>8</v>
      </c>
      <c r="B34" s="8">
        <v>5</v>
      </c>
      <c r="C34" s="8">
        <v>3038</v>
      </c>
      <c r="D34" s="16">
        <v>-1.475427E-2</v>
      </c>
      <c r="E34" s="8">
        <v>-7.3771349999999999E-3</v>
      </c>
    </row>
    <row r="35" spans="1:5" x14ac:dyDescent="0.3">
      <c r="A35" s="8">
        <v>8</v>
      </c>
      <c r="B35" s="8">
        <v>6</v>
      </c>
      <c r="C35" s="8">
        <v>3058</v>
      </c>
      <c r="D35" s="16">
        <v>-6.1617110000000003E-2</v>
      </c>
      <c r="E35" s="8">
        <v>-3.0808555000000001E-2</v>
      </c>
    </row>
    <row r="36" spans="1:5" x14ac:dyDescent="0.3">
      <c r="A36" s="8">
        <v>8</v>
      </c>
      <c r="B36" s="8">
        <v>7</v>
      </c>
      <c r="C36" s="8">
        <v>3050</v>
      </c>
      <c r="D36" s="16">
        <v>2.3118159999999999E-2</v>
      </c>
      <c r="E36" s="8">
        <v>1.1559079999999999E-2</v>
      </c>
    </row>
    <row r="37" spans="1:5" x14ac:dyDescent="0.3">
      <c r="A37" s="8">
        <v>8</v>
      </c>
      <c r="B37" s="8">
        <v>8</v>
      </c>
      <c r="C37" s="8">
        <v>3160</v>
      </c>
      <c r="D37" s="16">
        <v>1.2506980000000001</v>
      </c>
      <c r="E37" s="8"/>
    </row>
    <row r="38" spans="1:5" x14ac:dyDescent="0.3">
      <c r="A38" s="8">
        <v>9</v>
      </c>
      <c r="B38" s="8">
        <v>1</v>
      </c>
      <c r="C38" s="8">
        <v>3072</v>
      </c>
      <c r="D38" s="16">
        <v>-2.345935E-2</v>
      </c>
      <c r="E38" s="8">
        <v>-1.1729675E-2</v>
      </c>
    </row>
    <row r="39" spans="1:5" x14ac:dyDescent="0.3">
      <c r="A39" s="8">
        <v>9</v>
      </c>
      <c r="B39" s="8">
        <v>2</v>
      </c>
      <c r="C39" s="8">
        <v>3035</v>
      </c>
      <c r="D39" s="16">
        <v>-3.7288870000000002E-2</v>
      </c>
      <c r="E39" s="8">
        <v>-1.8644435000000001E-2</v>
      </c>
    </row>
    <row r="40" spans="1:5" x14ac:dyDescent="0.3">
      <c r="A40" s="8">
        <v>9</v>
      </c>
      <c r="B40" s="8">
        <v>3</v>
      </c>
      <c r="C40" s="8">
        <v>3061</v>
      </c>
      <c r="D40" s="16">
        <v>4.9040779999999999E-2</v>
      </c>
      <c r="E40" s="8">
        <v>2.452039E-2</v>
      </c>
    </row>
    <row r="41" spans="1:5" x14ac:dyDescent="0.3">
      <c r="A41" s="8">
        <v>9</v>
      </c>
      <c r="B41" s="8">
        <v>4</v>
      </c>
      <c r="C41" s="8">
        <v>3039</v>
      </c>
      <c r="D41" s="16">
        <v>-4.8342490000000002E-2</v>
      </c>
      <c r="E41" s="8">
        <v>-2.4171245000000001E-2</v>
      </c>
    </row>
    <row r="42" spans="1:5" x14ac:dyDescent="0.3">
      <c r="A42" s="8">
        <v>9</v>
      </c>
      <c r="B42" s="8">
        <v>5</v>
      </c>
      <c r="C42" s="8">
        <v>3029</v>
      </c>
      <c r="D42" s="16">
        <v>3.082464E-2</v>
      </c>
      <c r="E42" s="8">
        <v>1.541232E-2</v>
      </c>
    </row>
    <row r="43" spans="1:5" x14ac:dyDescent="0.3">
      <c r="A43" s="8">
        <v>9</v>
      </c>
      <c r="B43" s="8">
        <v>6</v>
      </c>
      <c r="C43" s="8">
        <v>3049</v>
      </c>
      <c r="D43" s="16">
        <v>4.2810059999999997E-2</v>
      </c>
      <c r="E43" s="8">
        <v>2.1405029999999999E-2</v>
      </c>
    </row>
    <row r="44" spans="1:5" x14ac:dyDescent="0.3">
      <c r="A44" s="8">
        <v>9</v>
      </c>
      <c r="B44" s="8">
        <v>7</v>
      </c>
      <c r="C44" s="8">
        <v>3040</v>
      </c>
      <c r="D44" s="16">
        <v>-5.9261149999999999E-2</v>
      </c>
      <c r="E44" s="8">
        <v>-2.9630574999999999E-2</v>
      </c>
    </row>
    <row r="45" spans="1:5" x14ac:dyDescent="0.3">
      <c r="A45" s="8">
        <v>9</v>
      </c>
      <c r="B45" s="8">
        <v>8</v>
      </c>
      <c r="C45" s="8">
        <v>3055</v>
      </c>
      <c r="D45" s="16">
        <v>-7.4962589999999996E-2</v>
      </c>
      <c r="E45" s="8">
        <v>-3.7481294999999998E-2</v>
      </c>
    </row>
    <row r="46" spans="1:5" x14ac:dyDescent="0.3">
      <c r="A46" s="8">
        <v>9</v>
      </c>
      <c r="B46" s="8">
        <v>9</v>
      </c>
      <c r="C46" s="8">
        <v>3150</v>
      </c>
      <c r="D46" s="16">
        <v>1.2320679999999999</v>
      </c>
      <c r="E46" s="8"/>
    </row>
    <row r="47" spans="1:5" x14ac:dyDescent="0.3">
      <c r="A47" s="8">
        <v>10</v>
      </c>
      <c r="B47" s="8">
        <v>1</v>
      </c>
      <c r="C47" s="8">
        <v>3060</v>
      </c>
      <c r="D47" s="16">
        <v>-5.6649409999999997E-2</v>
      </c>
      <c r="E47" s="8">
        <v>-2.8324704999999999E-2</v>
      </c>
    </row>
    <row r="48" spans="1:5" x14ac:dyDescent="0.3">
      <c r="A48" s="8">
        <v>10</v>
      </c>
      <c r="B48" s="8">
        <v>2</v>
      </c>
      <c r="C48" s="8">
        <v>3028</v>
      </c>
      <c r="D48" s="16">
        <v>-6.9104399999999996E-2</v>
      </c>
      <c r="E48" s="8">
        <v>-3.4552199999999998E-2</v>
      </c>
    </row>
    <row r="49" spans="1:5" x14ac:dyDescent="0.3">
      <c r="A49" s="8">
        <v>10</v>
      </c>
      <c r="B49" s="8">
        <v>3</v>
      </c>
      <c r="C49" s="8">
        <v>3052</v>
      </c>
      <c r="D49" s="16">
        <v>-2.450247E-3</v>
      </c>
      <c r="E49" s="8">
        <v>-1.2251235E-3</v>
      </c>
    </row>
    <row r="50" spans="1:5" x14ac:dyDescent="0.3">
      <c r="A50" s="8">
        <v>10</v>
      </c>
      <c r="B50" s="8">
        <v>4</v>
      </c>
      <c r="C50" s="8">
        <v>3033</v>
      </c>
      <c r="D50" s="16">
        <v>-5.6524089999999999E-2</v>
      </c>
      <c r="E50" s="8">
        <v>-2.8262045E-2</v>
      </c>
    </row>
    <row r="51" spans="1:5" x14ac:dyDescent="0.3">
      <c r="A51" s="8">
        <v>10</v>
      </c>
      <c r="B51" s="8">
        <v>5</v>
      </c>
      <c r="C51" s="8">
        <v>3021</v>
      </c>
      <c r="D51" s="16">
        <v>5.0770999999999997E-2</v>
      </c>
      <c r="E51" s="8">
        <v>2.5385499999999998E-2</v>
      </c>
    </row>
    <row r="52" spans="1:5" x14ac:dyDescent="0.3">
      <c r="A52" s="8">
        <v>10</v>
      </c>
      <c r="B52" s="8">
        <v>6</v>
      </c>
      <c r="C52" s="8">
        <v>3034</v>
      </c>
      <c r="D52" s="16">
        <v>4.9247520000000003E-2</v>
      </c>
      <c r="E52" s="8">
        <v>2.4623760000000001E-2</v>
      </c>
    </row>
    <row r="53" spans="1:5" x14ac:dyDescent="0.3">
      <c r="A53" s="8">
        <v>10</v>
      </c>
      <c r="B53" s="8">
        <v>7</v>
      </c>
      <c r="C53" s="8">
        <v>3032</v>
      </c>
      <c r="D53" s="16">
        <v>-5.2602959999999997E-2</v>
      </c>
      <c r="E53" s="8">
        <v>-2.6301479999999999E-2</v>
      </c>
    </row>
    <row r="54" spans="1:5" x14ac:dyDescent="0.3">
      <c r="A54" s="8">
        <v>10</v>
      </c>
      <c r="B54" s="8">
        <v>8</v>
      </c>
      <c r="C54" s="8">
        <v>3053</v>
      </c>
      <c r="D54" s="16">
        <v>-5.0575700000000001E-2</v>
      </c>
      <c r="E54" s="8">
        <v>-2.5287850000000001E-2</v>
      </c>
    </row>
    <row r="55" spans="1:5" x14ac:dyDescent="0.3">
      <c r="A55" s="8">
        <v>10</v>
      </c>
      <c r="B55" s="8">
        <v>9</v>
      </c>
      <c r="C55" s="8">
        <v>3040</v>
      </c>
      <c r="D55" s="16">
        <v>6.5945770000000001E-2</v>
      </c>
      <c r="E55" s="8">
        <v>3.2972885E-2</v>
      </c>
    </row>
    <row r="56" spans="1:5" x14ac:dyDescent="0.3">
      <c r="A56" s="8">
        <v>10</v>
      </c>
      <c r="B56" s="8">
        <v>10</v>
      </c>
      <c r="C56" s="8">
        <v>3141</v>
      </c>
      <c r="D56" s="16">
        <v>1.2233339999999999</v>
      </c>
      <c r="E56" s="8"/>
    </row>
    <row r="57" spans="1:5" x14ac:dyDescent="0.3">
      <c r="A57" s="8">
        <v>11</v>
      </c>
      <c r="B57" s="8">
        <v>1</v>
      </c>
      <c r="C57" s="8">
        <v>3063</v>
      </c>
      <c r="D57" s="16">
        <v>-4.9907459999999999E-3</v>
      </c>
      <c r="E57" s="8">
        <v>-2.4953729999999999E-3</v>
      </c>
    </row>
    <row r="58" spans="1:5" x14ac:dyDescent="0.3">
      <c r="A58" s="8">
        <v>11</v>
      </c>
      <c r="B58" s="8">
        <v>2</v>
      </c>
      <c r="C58" s="8">
        <v>3030</v>
      </c>
      <c r="D58" s="16">
        <v>-1.488503E-2</v>
      </c>
      <c r="E58" s="8">
        <v>-7.4425150000000002E-3</v>
      </c>
    </row>
    <row r="59" spans="1:5" x14ac:dyDescent="0.3">
      <c r="A59" s="8">
        <v>11</v>
      </c>
      <c r="B59" s="8">
        <v>3</v>
      </c>
      <c r="C59" s="8">
        <v>3058</v>
      </c>
      <c r="D59" s="16">
        <v>1.5840960000000001E-2</v>
      </c>
      <c r="E59" s="8">
        <v>7.9204800000000006E-3</v>
      </c>
    </row>
    <row r="60" spans="1:5" x14ac:dyDescent="0.3">
      <c r="A60" s="8">
        <v>11</v>
      </c>
      <c r="B60" s="8">
        <v>4</v>
      </c>
      <c r="C60" s="8">
        <v>3031</v>
      </c>
      <c r="D60" s="16">
        <v>-3.2506739999999999E-2</v>
      </c>
      <c r="E60" s="8">
        <v>-1.625337E-2</v>
      </c>
    </row>
    <row r="61" spans="1:5" x14ac:dyDescent="0.3">
      <c r="A61" s="8">
        <v>11</v>
      </c>
      <c r="B61" s="8">
        <v>5</v>
      </c>
      <c r="C61" s="8">
        <v>3022</v>
      </c>
      <c r="D61" s="16">
        <v>-1.1254739999999999E-2</v>
      </c>
      <c r="E61" s="8">
        <v>-5.6273699999999996E-3</v>
      </c>
    </row>
    <row r="62" spans="1:5" x14ac:dyDescent="0.3">
      <c r="A62" s="8">
        <v>11</v>
      </c>
      <c r="B62" s="8">
        <v>6</v>
      </c>
      <c r="C62" s="8">
        <v>3040</v>
      </c>
      <c r="D62" s="16">
        <v>-1.77311E-2</v>
      </c>
      <c r="E62" s="8">
        <v>-8.8655499999999998E-3</v>
      </c>
    </row>
    <row r="63" spans="1:5" x14ac:dyDescent="0.3">
      <c r="A63" s="8">
        <v>11</v>
      </c>
      <c r="B63" s="8">
        <v>7</v>
      </c>
      <c r="C63" s="8">
        <v>3032</v>
      </c>
      <c r="D63" s="16">
        <v>7.5065360000000003E-3</v>
      </c>
      <c r="E63" s="8">
        <v>3.7532680000000001E-3</v>
      </c>
    </row>
    <row r="64" spans="1:5" x14ac:dyDescent="0.3">
      <c r="A64" s="8">
        <v>11</v>
      </c>
      <c r="B64" s="8">
        <v>8</v>
      </c>
      <c r="C64" s="8">
        <v>3051</v>
      </c>
      <c r="D64" s="16">
        <v>2.629372E-2</v>
      </c>
      <c r="E64" s="8">
        <v>1.314686E-2</v>
      </c>
    </row>
    <row r="65" spans="1:5" x14ac:dyDescent="0.3">
      <c r="A65" s="8">
        <v>11</v>
      </c>
      <c r="B65" s="8">
        <v>9</v>
      </c>
      <c r="C65" s="8">
        <v>3043</v>
      </c>
      <c r="D65" s="16">
        <v>-1.8114749999999999E-2</v>
      </c>
      <c r="E65" s="8">
        <v>-9.0573749999999995E-3</v>
      </c>
    </row>
    <row r="66" spans="1:5" x14ac:dyDescent="0.3">
      <c r="A66" s="8">
        <v>11</v>
      </c>
      <c r="B66" s="8">
        <v>10</v>
      </c>
      <c r="C66" s="8">
        <v>3033</v>
      </c>
      <c r="D66" s="16">
        <v>1.2271590000000001E-2</v>
      </c>
      <c r="E66" s="8">
        <v>6.1357950000000003E-3</v>
      </c>
    </row>
    <row r="67" spans="1:5" x14ac:dyDescent="0.3">
      <c r="A67" s="8">
        <v>11</v>
      </c>
      <c r="B67" s="8">
        <v>11</v>
      </c>
      <c r="C67" s="8">
        <v>3144</v>
      </c>
      <c r="D67" s="16">
        <v>1.0673109999999999</v>
      </c>
      <c r="E67" s="8"/>
    </row>
    <row r="68" spans="1:5" x14ac:dyDescent="0.3">
      <c r="A68" s="8">
        <v>12</v>
      </c>
      <c r="B68" s="8">
        <v>1</v>
      </c>
      <c r="C68" s="8">
        <v>3080</v>
      </c>
      <c r="D68" s="16">
        <v>-8.4579070000000006E-3</v>
      </c>
      <c r="E68" s="8">
        <v>-4.2289535000000003E-3</v>
      </c>
    </row>
    <row r="69" spans="1:5" x14ac:dyDescent="0.3">
      <c r="A69" s="8">
        <v>12</v>
      </c>
      <c r="B69" s="8">
        <v>2</v>
      </c>
      <c r="C69" s="8">
        <v>3056</v>
      </c>
      <c r="D69" s="16">
        <v>-1.895297E-2</v>
      </c>
      <c r="E69" s="8">
        <v>-9.4764849999999998E-3</v>
      </c>
    </row>
    <row r="70" spans="1:5" x14ac:dyDescent="0.3">
      <c r="A70" s="8">
        <v>12</v>
      </c>
      <c r="B70" s="8">
        <v>3</v>
      </c>
      <c r="C70" s="8">
        <v>3075</v>
      </c>
      <c r="D70" s="16">
        <v>3.4756610000000001E-3</v>
      </c>
      <c r="E70" s="8">
        <v>1.7378305000000001E-3</v>
      </c>
    </row>
    <row r="71" spans="1:5" x14ac:dyDescent="0.3">
      <c r="A71" s="8">
        <v>12</v>
      </c>
      <c r="B71" s="8">
        <v>4</v>
      </c>
      <c r="C71" s="8">
        <v>3054</v>
      </c>
      <c r="D71" s="16">
        <v>3.2973529999999998E-3</v>
      </c>
      <c r="E71" s="8">
        <v>1.6486764999999999E-3</v>
      </c>
    </row>
    <row r="72" spans="1:5" x14ac:dyDescent="0.3">
      <c r="A72" s="8">
        <v>12</v>
      </c>
      <c r="B72" s="8">
        <v>5</v>
      </c>
      <c r="C72" s="8">
        <v>3043</v>
      </c>
      <c r="D72" s="16">
        <v>-2.4527440000000001E-2</v>
      </c>
      <c r="E72" s="8">
        <v>-1.2263720000000001E-2</v>
      </c>
    </row>
    <row r="73" spans="1:5" x14ac:dyDescent="0.3">
      <c r="A73" s="8">
        <v>12</v>
      </c>
      <c r="B73" s="8">
        <v>6</v>
      </c>
      <c r="C73" s="8">
        <v>3060</v>
      </c>
      <c r="D73" s="16">
        <v>-1.146551E-3</v>
      </c>
      <c r="E73" s="8">
        <v>-5.732755E-4</v>
      </c>
    </row>
    <row r="74" spans="1:5" x14ac:dyDescent="0.3">
      <c r="A74" s="8">
        <v>12</v>
      </c>
      <c r="B74" s="8">
        <v>7</v>
      </c>
      <c r="C74" s="8">
        <v>3058</v>
      </c>
      <c r="D74" s="16">
        <v>-2.9724520000000001E-2</v>
      </c>
      <c r="E74" s="8">
        <v>-1.486226E-2</v>
      </c>
    </row>
    <row r="75" spans="1:5" x14ac:dyDescent="0.3">
      <c r="A75" s="8">
        <v>12</v>
      </c>
      <c r="B75" s="8">
        <v>8</v>
      </c>
      <c r="C75" s="8">
        <v>3077</v>
      </c>
      <c r="D75" s="16">
        <v>1.9180929999999999E-2</v>
      </c>
      <c r="E75" s="8">
        <v>9.5904649999999994E-3</v>
      </c>
    </row>
    <row r="76" spans="1:5" x14ac:dyDescent="0.3">
      <c r="A76" s="8">
        <v>12</v>
      </c>
      <c r="B76" s="8">
        <v>9</v>
      </c>
      <c r="C76" s="8">
        <v>3058</v>
      </c>
      <c r="D76" s="16">
        <v>7.061314E-3</v>
      </c>
      <c r="E76" s="8">
        <v>3.530657E-3</v>
      </c>
    </row>
    <row r="77" spans="1:5" x14ac:dyDescent="0.3">
      <c r="A77" s="8">
        <v>12</v>
      </c>
      <c r="B77" s="8">
        <v>10</v>
      </c>
      <c r="C77" s="8">
        <v>3054</v>
      </c>
      <c r="D77" s="16">
        <v>-4.0853149999999998E-2</v>
      </c>
      <c r="E77" s="8">
        <v>-2.0426574999999999E-2</v>
      </c>
    </row>
    <row r="78" spans="1:5" x14ac:dyDescent="0.3">
      <c r="A78" s="8">
        <v>12</v>
      </c>
      <c r="B78" s="8">
        <v>11</v>
      </c>
      <c r="C78" s="8">
        <v>3054</v>
      </c>
      <c r="D78" s="16">
        <v>3.3516379999999998E-2</v>
      </c>
      <c r="E78" s="8">
        <v>1.6758189999999999E-2</v>
      </c>
    </row>
    <row r="79" spans="1:5" x14ac:dyDescent="0.3">
      <c r="A79" s="8">
        <v>12</v>
      </c>
      <c r="B79" s="8">
        <v>12</v>
      </c>
      <c r="C79" s="8">
        <v>3162</v>
      </c>
      <c r="D79" s="16">
        <v>1.1063099999999999</v>
      </c>
      <c r="E79" s="8"/>
    </row>
    <row r="80" spans="1:5" x14ac:dyDescent="0.3">
      <c r="A80" s="8">
        <v>13</v>
      </c>
      <c r="B80" s="8">
        <v>1</v>
      </c>
      <c r="C80" s="8">
        <v>3059</v>
      </c>
      <c r="D80" s="16">
        <v>-2.328378E-2</v>
      </c>
      <c r="E80" s="8">
        <v>-1.164189E-2</v>
      </c>
    </row>
    <row r="81" spans="1:5" x14ac:dyDescent="0.3">
      <c r="A81" s="8">
        <v>13</v>
      </c>
      <c r="B81" s="8">
        <v>2</v>
      </c>
      <c r="C81" s="8">
        <v>3025</v>
      </c>
      <c r="D81" s="16">
        <v>1.780402E-2</v>
      </c>
      <c r="E81" s="8">
        <v>8.9020100000000001E-3</v>
      </c>
    </row>
    <row r="82" spans="1:5" x14ac:dyDescent="0.3">
      <c r="A82" s="8">
        <v>13</v>
      </c>
      <c r="B82" s="8">
        <v>3</v>
      </c>
      <c r="C82" s="8">
        <v>3053</v>
      </c>
      <c r="D82" s="16">
        <v>-6.4676250000000005E-2</v>
      </c>
      <c r="E82" s="8">
        <v>-3.2338125000000002E-2</v>
      </c>
    </row>
    <row r="83" spans="1:5" x14ac:dyDescent="0.3">
      <c r="A83" s="8">
        <v>13</v>
      </c>
      <c r="B83" s="8">
        <v>4</v>
      </c>
      <c r="C83" s="8">
        <v>3032</v>
      </c>
      <c r="D83" s="16">
        <v>-1.6396839999999999E-2</v>
      </c>
      <c r="E83" s="8">
        <v>-8.1984199999999997E-3</v>
      </c>
    </row>
    <row r="84" spans="1:5" x14ac:dyDescent="0.3">
      <c r="A84" s="8">
        <v>13</v>
      </c>
      <c r="B84" s="8">
        <v>5</v>
      </c>
      <c r="C84" s="8">
        <v>3021</v>
      </c>
      <c r="D84" s="16">
        <v>1.9950369999999999E-2</v>
      </c>
      <c r="E84" s="8">
        <v>9.9751849999999993E-3</v>
      </c>
    </row>
    <row r="85" spans="1:5" x14ac:dyDescent="0.3">
      <c r="A85" s="8">
        <v>13</v>
      </c>
      <c r="B85" s="8">
        <v>6</v>
      </c>
      <c r="C85" s="8">
        <v>3039</v>
      </c>
      <c r="D85" s="16">
        <v>3.6951730000000002E-2</v>
      </c>
      <c r="E85" s="8">
        <v>1.8475865000000001E-2</v>
      </c>
    </row>
    <row r="86" spans="1:5" x14ac:dyDescent="0.3">
      <c r="A86" s="8">
        <v>13</v>
      </c>
      <c r="B86" s="8">
        <v>7</v>
      </c>
      <c r="C86" s="8">
        <v>3031</v>
      </c>
      <c r="D86" s="16">
        <v>-8.6419549999999998E-2</v>
      </c>
      <c r="E86" s="8">
        <v>-4.3209774999999999E-2</v>
      </c>
    </row>
    <row r="87" spans="1:5" x14ac:dyDescent="0.3">
      <c r="A87" s="8">
        <v>13</v>
      </c>
      <c r="B87" s="8">
        <v>8</v>
      </c>
      <c r="C87" s="8">
        <v>3048</v>
      </c>
      <c r="D87" s="16">
        <v>-3.0068190000000002E-2</v>
      </c>
      <c r="E87" s="8">
        <v>-1.5034095000000001E-2</v>
      </c>
    </row>
    <row r="88" spans="1:5" x14ac:dyDescent="0.3">
      <c r="A88" s="8">
        <v>13</v>
      </c>
      <c r="B88" s="8">
        <v>9</v>
      </c>
      <c r="C88" s="8">
        <v>3038</v>
      </c>
      <c r="D88" s="16">
        <v>1.2875640000000001E-2</v>
      </c>
      <c r="E88" s="8">
        <v>6.4378200000000003E-3</v>
      </c>
    </row>
    <row r="89" spans="1:5" x14ac:dyDescent="0.3">
      <c r="A89" s="8">
        <v>13</v>
      </c>
      <c r="B89" s="8">
        <v>10</v>
      </c>
      <c r="C89" s="8">
        <v>3031</v>
      </c>
      <c r="D89" s="16">
        <v>-9.9737309999999996E-3</v>
      </c>
      <c r="E89" s="8">
        <v>-4.9868654999999998E-3</v>
      </c>
    </row>
    <row r="90" spans="1:5" x14ac:dyDescent="0.3">
      <c r="A90" s="8">
        <v>13</v>
      </c>
      <c r="B90" s="8">
        <v>11</v>
      </c>
      <c r="C90" s="8">
        <v>3034</v>
      </c>
      <c r="D90" s="16">
        <v>-2.6257730000000001E-3</v>
      </c>
      <c r="E90" s="8">
        <v>-1.3128865E-3</v>
      </c>
    </row>
    <row r="91" spans="1:5" x14ac:dyDescent="0.3">
      <c r="A91" s="8">
        <v>13</v>
      </c>
      <c r="B91" s="8">
        <v>12</v>
      </c>
      <c r="C91" s="8">
        <v>3050</v>
      </c>
      <c r="D91" s="16">
        <v>-1.9493739999999999E-2</v>
      </c>
      <c r="E91" s="8">
        <v>-9.7468699999999995E-3</v>
      </c>
    </row>
    <row r="92" spans="1:5" x14ac:dyDescent="0.3">
      <c r="A92" s="8">
        <v>13</v>
      </c>
      <c r="B92" s="8">
        <v>13</v>
      </c>
      <c r="C92" s="8">
        <v>3141</v>
      </c>
      <c r="D92" s="16">
        <v>1.0443579999999999</v>
      </c>
      <c r="E92" s="8"/>
    </row>
    <row r="93" spans="1:5" x14ac:dyDescent="0.3">
      <c r="A93" s="8">
        <v>14</v>
      </c>
      <c r="B93" s="8">
        <v>1</v>
      </c>
      <c r="C93" s="8">
        <v>3058</v>
      </c>
      <c r="D93" s="16">
        <v>-4.5524429999999998E-2</v>
      </c>
      <c r="E93" s="8">
        <v>-2.2762214999999999E-2</v>
      </c>
    </row>
    <row r="94" spans="1:5" x14ac:dyDescent="0.3">
      <c r="A94" s="8">
        <v>14</v>
      </c>
      <c r="B94" s="8">
        <v>2</v>
      </c>
      <c r="C94" s="8">
        <v>3026</v>
      </c>
      <c r="D94" s="16">
        <v>-1.8969010000000001E-2</v>
      </c>
      <c r="E94" s="8">
        <v>-9.4845050000000007E-3</v>
      </c>
    </row>
    <row r="95" spans="1:5" x14ac:dyDescent="0.3">
      <c r="A95" s="8">
        <v>14</v>
      </c>
      <c r="B95" s="8">
        <v>3</v>
      </c>
      <c r="C95" s="8">
        <v>3055</v>
      </c>
      <c r="D95" s="16">
        <v>-2.432024E-2</v>
      </c>
      <c r="E95" s="8">
        <v>-1.216012E-2</v>
      </c>
    </row>
    <row r="96" spans="1:5" x14ac:dyDescent="0.3">
      <c r="A96" s="8">
        <v>14</v>
      </c>
      <c r="B96" s="8">
        <v>4</v>
      </c>
      <c r="C96" s="8">
        <v>3027</v>
      </c>
      <c r="D96" s="16">
        <v>-3.9599259999999997E-2</v>
      </c>
      <c r="E96" s="8">
        <v>-1.9799629999999999E-2</v>
      </c>
    </row>
    <row r="97" spans="1:5" x14ac:dyDescent="0.3">
      <c r="A97" s="8">
        <v>14</v>
      </c>
      <c r="B97" s="8">
        <v>5</v>
      </c>
      <c r="C97" s="8">
        <v>3018</v>
      </c>
      <c r="D97" s="16">
        <v>-5.3187379999999999E-2</v>
      </c>
      <c r="E97" s="8">
        <v>-2.659369E-2</v>
      </c>
    </row>
    <row r="98" spans="1:5" x14ac:dyDescent="0.3">
      <c r="A98" s="8">
        <v>14</v>
      </c>
      <c r="B98" s="8">
        <v>6</v>
      </c>
      <c r="C98" s="8">
        <v>3032</v>
      </c>
      <c r="D98" s="16">
        <v>-1.547195E-2</v>
      </c>
      <c r="E98" s="8">
        <v>-7.735975E-3</v>
      </c>
    </row>
    <row r="99" spans="1:5" x14ac:dyDescent="0.3">
      <c r="A99" s="8">
        <v>14</v>
      </c>
      <c r="B99" s="8">
        <v>7</v>
      </c>
      <c r="C99" s="8">
        <v>3029</v>
      </c>
      <c r="D99" s="16">
        <v>-6.3710360000000001E-3</v>
      </c>
      <c r="E99" s="8">
        <v>-3.185518E-3</v>
      </c>
    </row>
    <row r="100" spans="1:5" x14ac:dyDescent="0.3">
      <c r="A100" s="8">
        <v>14</v>
      </c>
      <c r="B100" s="8">
        <v>8</v>
      </c>
      <c r="C100" s="8">
        <v>3052</v>
      </c>
      <c r="D100" s="16">
        <v>-2.7565530000000001E-2</v>
      </c>
      <c r="E100" s="8">
        <v>-1.3782765000000001E-2</v>
      </c>
    </row>
    <row r="101" spans="1:5" x14ac:dyDescent="0.3">
      <c r="A101" s="8">
        <v>14</v>
      </c>
      <c r="B101" s="8">
        <v>9</v>
      </c>
      <c r="C101" s="8">
        <v>3039</v>
      </c>
      <c r="D101" s="16">
        <v>1.2776109999999999E-3</v>
      </c>
      <c r="E101" s="8">
        <v>6.3880549999999995E-4</v>
      </c>
    </row>
    <row r="102" spans="1:5" x14ac:dyDescent="0.3">
      <c r="A102" s="8">
        <v>14</v>
      </c>
      <c r="B102" s="8">
        <v>10</v>
      </c>
      <c r="C102" s="8">
        <v>3035</v>
      </c>
      <c r="D102" s="16">
        <v>-1.516149E-2</v>
      </c>
      <c r="E102" s="8">
        <v>-7.5807449999999998E-3</v>
      </c>
    </row>
    <row r="103" spans="1:5" x14ac:dyDescent="0.3">
      <c r="A103" s="8">
        <v>14</v>
      </c>
      <c r="B103" s="8">
        <v>11</v>
      </c>
      <c r="C103" s="8">
        <v>3037</v>
      </c>
      <c r="D103" s="16">
        <v>-2.968289E-2</v>
      </c>
      <c r="E103" s="8">
        <v>-1.4841445E-2</v>
      </c>
    </row>
    <row r="104" spans="1:5" x14ac:dyDescent="0.3">
      <c r="A104" s="8">
        <v>14</v>
      </c>
      <c r="B104" s="8">
        <v>12</v>
      </c>
      <c r="C104" s="8">
        <v>3054</v>
      </c>
      <c r="D104" s="16">
        <v>1.1058579999999999E-3</v>
      </c>
      <c r="E104" s="8">
        <v>5.5292899999999996E-4</v>
      </c>
    </row>
    <row r="105" spans="1:5" x14ac:dyDescent="0.3">
      <c r="A105" s="8">
        <v>14</v>
      </c>
      <c r="B105" s="8">
        <v>13</v>
      </c>
      <c r="C105" s="8">
        <v>3030</v>
      </c>
      <c r="D105" s="16">
        <v>-2.569163E-2</v>
      </c>
      <c r="E105" s="8">
        <v>-1.2845815E-2</v>
      </c>
    </row>
    <row r="106" spans="1:5" x14ac:dyDescent="0.3">
      <c r="A106" s="8">
        <v>14</v>
      </c>
      <c r="B106" s="8">
        <v>14</v>
      </c>
      <c r="C106" s="8">
        <v>3141</v>
      </c>
      <c r="D106" s="16">
        <v>1.0848199999999999</v>
      </c>
      <c r="E106" s="8"/>
    </row>
    <row r="107" spans="1:5" x14ac:dyDescent="0.3">
      <c r="A107" s="8">
        <v>15</v>
      </c>
      <c r="B107" s="8">
        <v>1</v>
      </c>
      <c r="C107" s="8">
        <v>3065</v>
      </c>
      <c r="D107" s="16">
        <v>-2.7993480000000001E-2</v>
      </c>
      <c r="E107" s="8">
        <v>-1.3996740000000001E-2</v>
      </c>
    </row>
    <row r="108" spans="1:5" x14ac:dyDescent="0.3">
      <c r="A108" s="8">
        <v>15</v>
      </c>
      <c r="B108" s="8">
        <v>2</v>
      </c>
      <c r="C108" s="8">
        <v>3035</v>
      </c>
      <c r="D108" s="16">
        <v>3.4360179999999997E-2</v>
      </c>
      <c r="E108" s="8">
        <v>1.7180089999999999E-2</v>
      </c>
    </row>
    <row r="109" spans="1:5" x14ac:dyDescent="0.3">
      <c r="A109" s="8">
        <v>15</v>
      </c>
      <c r="B109" s="8">
        <v>3</v>
      </c>
      <c r="C109" s="8">
        <v>3065</v>
      </c>
      <c r="D109" s="16">
        <v>-3.1537839999999998E-2</v>
      </c>
      <c r="E109" s="8">
        <v>-1.5768919999999999E-2</v>
      </c>
    </row>
    <row r="110" spans="1:5" x14ac:dyDescent="0.3">
      <c r="A110" s="8">
        <v>15</v>
      </c>
      <c r="B110" s="8">
        <v>4</v>
      </c>
      <c r="C110" s="8">
        <v>3043</v>
      </c>
      <c r="D110" s="16">
        <v>-3.9216189999999998E-2</v>
      </c>
      <c r="E110" s="8">
        <v>-1.9608094999999999E-2</v>
      </c>
    </row>
    <row r="111" spans="1:5" x14ac:dyDescent="0.3">
      <c r="A111" s="8">
        <v>15</v>
      </c>
      <c r="B111" s="8">
        <v>5</v>
      </c>
      <c r="C111" s="8">
        <v>3032</v>
      </c>
      <c r="D111" s="16">
        <v>-1.6355479999999999E-2</v>
      </c>
      <c r="E111" s="8">
        <v>-8.1777399999999993E-3</v>
      </c>
    </row>
    <row r="112" spans="1:5" x14ac:dyDescent="0.3">
      <c r="A112" s="8">
        <v>15</v>
      </c>
      <c r="B112" s="8">
        <v>6</v>
      </c>
      <c r="C112" s="8">
        <v>3043</v>
      </c>
      <c r="D112" s="16">
        <v>-3.6689979999999997E-2</v>
      </c>
      <c r="E112" s="8">
        <v>-1.8344989999999999E-2</v>
      </c>
    </row>
    <row r="113" spans="1:5" x14ac:dyDescent="0.3">
      <c r="A113" s="8">
        <v>15</v>
      </c>
      <c r="B113" s="8">
        <v>7</v>
      </c>
      <c r="C113" s="8">
        <v>3043</v>
      </c>
      <c r="D113" s="16">
        <v>-1.890586E-2</v>
      </c>
      <c r="E113" s="8">
        <v>-9.45293E-3</v>
      </c>
    </row>
    <row r="114" spans="1:5" x14ac:dyDescent="0.3">
      <c r="A114" s="8">
        <v>15</v>
      </c>
      <c r="B114" s="8">
        <v>8</v>
      </c>
      <c r="C114" s="8">
        <v>3055</v>
      </c>
      <c r="D114" s="16">
        <v>-4.6481509999999997E-2</v>
      </c>
      <c r="E114" s="8">
        <v>-2.3240754999999998E-2</v>
      </c>
    </row>
    <row r="115" spans="1:5" x14ac:dyDescent="0.3">
      <c r="A115" s="8">
        <v>15</v>
      </c>
      <c r="B115" s="8">
        <v>9</v>
      </c>
      <c r="C115" s="8">
        <v>3049</v>
      </c>
      <c r="D115" s="16">
        <v>2.4412530000000002E-2</v>
      </c>
      <c r="E115" s="8">
        <v>1.2206265000000001E-2</v>
      </c>
    </row>
    <row r="116" spans="1:5" x14ac:dyDescent="0.3">
      <c r="A116" s="8">
        <v>15</v>
      </c>
      <c r="B116" s="8">
        <v>10</v>
      </c>
      <c r="C116" s="8">
        <v>3041</v>
      </c>
      <c r="D116" s="16">
        <v>-1.2706479999999999E-2</v>
      </c>
      <c r="E116" s="8">
        <v>-6.3532399999999996E-3</v>
      </c>
    </row>
    <row r="117" spans="1:5" x14ac:dyDescent="0.3">
      <c r="A117" s="8">
        <v>15</v>
      </c>
      <c r="B117" s="8">
        <v>11</v>
      </c>
      <c r="C117" s="8">
        <v>3043</v>
      </c>
      <c r="D117" s="16">
        <v>-3.5565890000000003E-2</v>
      </c>
      <c r="E117" s="8">
        <v>-1.7782945000000001E-2</v>
      </c>
    </row>
    <row r="118" spans="1:5" x14ac:dyDescent="0.3">
      <c r="A118" s="8">
        <v>15</v>
      </c>
      <c r="B118" s="8">
        <v>12</v>
      </c>
      <c r="C118" s="8">
        <v>3059</v>
      </c>
      <c r="D118" s="16">
        <v>3.3612530000000002E-2</v>
      </c>
      <c r="E118" s="8">
        <v>1.6806265000000001E-2</v>
      </c>
    </row>
    <row r="119" spans="1:5" x14ac:dyDescent="0.3">
      <c r="A119" s="8">
        <v>15</v>
      </c>
      <c r="B119" s="8">
        <v>13</v>
      </c>
      <c r="C119" s="8">
        <v>3036</v>
      </c>
      <c r="D119" s="16">
        <v>-2.9265090000000001E-2</v>
      </c>
      <c r="E119" s="8">
        <v>-1.4632545E-2</v>
      </c>
    </row>
    <row r="120" spans="1:5" x14ac:dyDescent="0.3">
      <c r="A120" s="8">
        <v>15</v>
      </c>
      <c r="B120" s="8">
        <v>14</v>
      </c>
      <c r="C120" s="8">
        <v>3038</v>
      </c>
      <c r="D120" s="16">
        <v>-5.5453769999999998E-3</v>
      </c>
      <c r="E120" s="8">
        <v>-2.7726884999999999E-3</v>
      </c>
    </row>
    <row r="121" spans="1:5" x14ac:dyDescent="0.3">
      <c r="A121" s="8">
        <v>15</v>
      </c>
      <c r="B121" s="8">
        <v>15</v>
      </c>
      <c r="C121" s="8">
        <v>3150</v>
      </c>
      <c r="D121" s="16">
        <v>1.0726910000000001</v>
      </c>
      <c r="E121" s="8"/>
    </row>
    <row r="122" spans="1:5" x14ac:dyDescent="0.3">
      <c r="A122" s="8">
        <v>16</v>
      </c>
      <c r="B122" s="8">
        <v>1</v>
      </c>
      <c r="C122" s="8">
        <v>3074</v>
      </c>
      <c r="D122" s="16">
        <v>1.089626E-2</v>
      </c>
      <c r="E122" s="8">
        <v>5.4481299999999998E-3</v>
      </c>
    </row>
    <row r="123" spans="1:5" x14ac:dyDescent="0.3">
      <c r="A123" s="8">
        <v>16</v>
      </c>
      <c r="B123" s="8">
        <v>2</v>
      </c>
      <c r="C123" s="8">
        <v>3040</v>
      </c>
      <c r="D123" s="16">
        <v>6.3904970000000005E-2</v>
      </c>
      <c r="E123" s="8">
        <v>3.1952485000000003E-2</v>
      </c>
    </row>
    <row r="124" spans="1:5" x14ac:dyDescent="0.3">
      <c r="A124" s="8">
        <v>16</v>
      </c>
      <c r="B124" s="8">
        <v>3</v>
      </c>
      <c r="C124" s="8">
        <v>3066</v>
      </c>
      <c r="D124" s="16">
        <v>-1.68343E-2</v>
      </c>
      <c r="E124" s="8">
        <v>-8.41715E-3</v>
      </c>
    </row>
    <row r="125" spans="1:5" x14ac:dyDescent="0.3">
      <c r="A125" s="8">
        <v>16</v>
      </c>
      <c r="B125" s="8">
        <v>4</v>
      </c>
      <c r="C125" s="8">
        <v>3044</v>
      </c>
      <c r="D125" s="16">
        <v>-2.2669060000000001E-2</v>
      </c>
      <c r="E125" s="8">
        <v>-1.1334530000000001E-2</v>
      </c>
    </row>
    <row r="126" spans="1:5" x14ac:dyDescent="0.3">
      <c r="A126" s="8">
        <v>16</v>
      </c>
      <c r="B126" s="8">
        <v>5</v>
      </c>
      <c r="C126" s="8">
        <v>3034</v>
      </c>
      <c r="D126" s="16">
        <v>-1.6465869999999999E-3</v>
      </c>
      <c r="E126" s="8">
        <v>-8.2329349999999996E-4</v>
      </c>
    </row>
    <row r="127" spans="1:5" x14ac:dyDescent="0.3">
      <c r="A127" s="8">
        <v>16</v>
      </c>
      <c r="B127" s="8">
        <v>6</v>
      </c>
      <c r="C127" s="8">
        <v>3055</v>
      </c>
      <c r="D127" s="16">
        <v>-6.3619019999999998E-2</v>
      </c>
      <c r="E127" s="8">
        <v>-3.1809509999999999E-2</v>
      </c>
    </row>
    <row r="128" spans="1:5" x14ac:dyDescent="0.3">
      <c r="A128" s="8">
        <v>16</v>
      </c>
      <c r="B128" s="8">
        <v>7</v>
      </c>
      <c r="C128" s="8">
        <v>3047</v>
      </c>
      <c r="D128" s="16">
        <v>-2.8786079999999999E-2</v>
      </c>
      <c r="E128" s="8">
        <v>-1.4393039999999999E-2</v>
      </c>
    </row>
    <row r="129" spans="1:5" x14ac:dyDescent="0.3">
      <c r="A129" s="8">
        <v>16</v>
      </c>
      <c r="B129" s="8">
        <v>8</v>
      </c>
      <c r="C129" s="8">
        <v>3068</v>
      </c>
      <c r="D129" s="16">
        <v>-1.2318780000000001E-3</v>
      </c>
      <c r="E129" s="8">
        <v>-6.1593900000000003E-4</v>
      </c>
    </row>
    <row r="130" spans="1:5" x14ac:dyDescent="0.3">
      <c r="A130" s="8">
        <v>16</v>
      </c>
      <c r="B130" s="8">
        <v>9</v>
      </c>
      <c r="C130" s="8">
        <v>3049</v>
      </c>
      <c r="D130" s="16">
        <v>2.771618E-3</v>
      </c>
      <c r="E130" s="8">
        <v>1.385809E-3</v>
      </c>
    </row>
    <row r="131" spans="1:5" x14ac:dyDescent="0.3">
      <c r="A131" s="8">
        <v>16</v>
      </c>
      <c r="B131" s="8">
        <v>10</v>
      </c>
      <c r="C131" s="8">
        <v>3046</v>
      </c>
      <c r="D131" s="16">
        <v>-2.2360809999999998E-2</v>
      </c>
      <c r="E131" s="8">
        <v>-1.1180404999999999E-2</v>
      </c>
    </row>
    <row r="132" spans="1:5" x14ac:dyDescent="0.3">
      <c r="A132" s="8">
        <v>16</v>
      </c>
      <c r="B132" s="8">
        <v>11</v>
      </c>
      <c r="C132" s="8">
        <v>3048</v>
      </c>
      <c r="D132" s="16">
        <v>2.20384E-2</v>
      </c>
      <c r="E132" s="8">
        <v>1.10192E-2</v>
      </c>
    </row>
    <row r="133" spans="1:5" x14ac:dyDescent="0.3">
      <c r="A133" s="8">
        <v>16</v>
      </c>
      <c r="B133" s="8">
        <v>12</v>
      </c>
      <c r="C133" s="8">
        <v>3065</v>
      </c>
      <c r="D133" s="16">
        <v>-3.0988719999999999E-3</v>
      </c>
      <c r="E133" s="8">
        <v>-1.549436E-3</v>
      </c>
    </row>
    <row r="134" spans="1:5" x14ac:dyDescent="0.3">
      <c r="A134" s="8">
        <v>16</v>
      </c>
      <c r="B134" s="8">
        <v>13</v>
      </c>
      <c r="C134" s="8">
        <v>3043</v>
      </c>
      <c r="D134" s="16">
        <v>-4.1218999999999999E-2</v>
      </c>
      <c r="E134" s="8">
        <v>-2.0609499999999999E-2</v>
      </c>
    </row>
    <row r="135" spans="1:5" x14ac:dyDescent="0.3">
      <c r="A135" s="8">
        <v>16</v>
      </c>
      <c r="B135" s="8">
        <v>14</v>
      </c>
      <c r="C135" s="8">
        <v>3044</v>
      </c>
      <c r="D135" s="16">
        <v>2.1694910000000001E-2</v>
      </c>
      <c r="E135" s="8">
        <v>1.0847455000000001E-2</v>
      </c>
    </row>
    <row r="136" spans="1:5" x14ac:dyDescent="0.3">
      <c r="A136" s="8">
        <v>16</v>
      </c>
      <c r="B136" s="8">
        <v>15</v>
      </c>
      <c r="C136" s="8">
        <v>3053</v>
      </c>
      <c r="D136" s="16">
        <v>-2.2895140000000001E-2</v>
      </c>
      <c r="E136" s="8">
        <v>-1.1447570000000001E-2</v>
      </c>
    </row>
    <row r="137" spans="1:5" x14ac:dyDescent="0.3">
      <c r="A137" s="8">
        <v>16</v>
      </c>
      <c r="B137" s="8">
        <v>16</v>
      </c>
      <c r="C137" s="8">
        <v>3154</v>
      </c>
      <c r="D137" s="16">
        <v>1.044778</v>
      </c>
      <c r="E137" s="8"/>
    </row>
    <row r="138" spans="1:5" x14ac:dyDescent="0.3">
      <c r="A138" s="8">
        <v>17</v>
      </c>
      <c r="B138" s="8">
        <v>1</v>
      </c>
      <c r="C138" s="8">
        <v>3074</v>
      </c>
      <c r="D138" s="16">
        <v>1.7700919999999998E-2</v>
      </c>
      <c r="E138" s="8">
        <v>8.8504599999999992E-3</v>
      </c>
    </row>
    <row r="139" spans="1:5" x14ac:dyDescent="0.3">
      <c r="A139" s="8">
        <v>17</v>
      </c>
      <c r="B139" s="8">
        <v>2</v>
      </c>
      <c r="C139" s="8">
        <v>3038</v>
      </c>
      <c r="D139" s="16">
        <v>-1.361531E-2</v>
      </c>
      <c r="E139" s="8">
        <v>-6.8076550000000001E-3</v>
      </c>
    </row>
    <row r="140" spans="1:5" x14ac:dyDescent="0.3">
      <c r="A140" s="8">
        <v>17</v>
      </c>
      <c r="B140" s="8">
        <v>3</v>
      </c>
      <c r="C140" s="8">
        <v>3070</v>
      </c>
      <c r="D140" s="16">
        <v>-4.7795209999999998E-2</v>
      </c>
      <c r="E140" s="8">
        <v>-2.3897604999999999E-2</v>
      </c>
    </row>
    <row r="141" spans="1:5" x14ac:dyDescent="0.3">
      <c r="A141" s="8">
        <v>17</v>
      </c>
      <c r="B141" s="8">
        <v>4</v>
      </c>
      <c r="C141" s="8">
        <v>3044</v>
      </c>
      <c r="D141" s="16">
        <v>-1.109828E-2</v>
      </c>
      <c r="E141" s="8">
        <v>-5.5491400000000001E-3</v>
      </c>
    </row>
    <row r="142" spans="1:5" x14ac:dyDescent="0.3">
      <c r="A142" s="8">
        <v>17</v>
      </c>
      <c r="B142" s="8">
        <v>5</v>
      </c>
      <c r="C142" s="8">
        <v>3036</v>
      </c>
      <c r="D142" s="16">
        <v>-6.835637E-2</v>
      </c>
      <c r="E142" s="8">
        <v>-3.4178185E-2</v>
      </c>
    </row>
    <row r="143" spans="1:5" x14ac:dyDescent="0.3">
      <c r="A143" s="8">
        <v>17</v>
      </c>
      <c r="B143" s="8">
        <v>6</v>
      </c>
      <c r="C143" s="8">
        <v>3049</v>
      </c>
      <c r="D143" s="16">
        <v>1.069085E-2</v>
      </c>
      <c r="E143" s="8">
        <v>5.345425E-3</v>
      </c>
    </row>
    <row r="144" spans="1:5" x14ac:dyDescent="0.3">
      <c r="A144" s="8">
        <v>17</v>
      </c>
      <c r="B144" s="8">
        <v>7</v>
      </c>
      <c r="C144" s="8">
        <v>3039</v>
      </c>
      <c r="D144" s="16">
        <v>-2.3045800000000002E-2</v>
      </c>
      <c r="E144" s="8">
        <v>-1.1522900000000001E-2</v>
      </c>
    </row>
    <row r="145" spans="1:5" x14ac:dyDescent="0.3">
      <c r="A145" s="8">
        <v>17</v>
      </c>
      <c r="B145" s="8">
        <v>8</v>
      </c>
      <c r="C145" s="8">
        <v>3061</v>
      </c>
      <c r="D145" s="16">
        <v>1.2223110000000001E-2</v>
      </c>
      <c r="E145" s="8">
        <v>6.1115550000000003E-3</v>
      </c>
    </row>
    <row r="146" spans="1:5" x14ac:dyDescent="0.3">
      <c r="A146" s="8">
        <v>17</v>
      </c>
      <c r="B146" s="8">
        <v>9</v>
      </c>
      <c r="C146" s="8">
        <v>3050</v>
      </c>
      <c r="D146" s="16">
        <v>-4.9821579999999997E-2</v>
      </c>
      <c r="E146" s="8">
        <v>-2.4910789999999999E-2</v>
      </c>
    </row>
    <row r="147" spans="1:5" x14ac:dyDescent="0.3">
      <c r="A147" s="8">
        <v>17</v>
      </c>
      <c r="B147" s="8">
        <v>10</v>
      </c>
      <c r="C147" s="8">
        <v>3043</v>
      </c>
      <c r="D147" s="16">
        <v>-3.3343699999999997E-2</v>
      </c>
      <c r="E147" s="8">
        <v>-1.6671849999999998E-2</v>
      </c>
    </row>
    <row r="148" spans="1:5" x14ac:dyDescent="0.3">
      <c r="A148" s="8">
        <v>17</v>
      </c>
      <c r="B148" s="8">
        <v>11</v>
      </c>
      <c r="C148" s="8">
        <v>3043</v>
      </c>
      <c r="D148" s="16">
        <v>-3.6148399999999997E-2</v>
      </c>
      <c r="E148" s="8">
        <v>-1.8074199999999999E-2</v>
      </c>
    </row>
    <row r="149" spans="1:5" x14ac:dyDescent="0.3">
      <c r="A149" s="8">
        <v>17</v>
      </c>
      <c r="B149" s="8">
        <v>12</v>
      </c>
      <c r="C149" s="8">
        <v>3061</v>
      </c>
      <c r="D149" s="16">
        <v>-1.130961E-3</v>
      </c>
      <c r="E149" s="8">
        <v>-5.6548049999999999E-4</v>
      </c>
    </row>
    <row r="150" spans="1:5" x14ac:dyDescent="0.3">
      <c r="A150" s="8">
        <v>17</v>
      </c>
      <c r="B150" s="8">
        <v>13</v>
      </c>
      <c r="C150" s="8">
        <v>3042</v>
      </c>
      <c r="D150" s="16">
        <v>4.667175E-3</v>
      </c>
      <c r="E150" s="8">
        <v>2.3335875E-3</v>
      </c>
    </row>
    <row r="151" spans="1:5" x14ac:dyDescent="0.3">
      <c r="A151" s="8">
        <v>17</v>
      </c>
      <c r="B151" s="8">
        <v>14</v>
      </c>
      <c r="C151" s="8">
        <v>3042</v>
      </c>
      <c r="D151" s="16">
        <v>9.3809119999999999E-3</v>
      </c>
      <c r="E151" s="8">
        <v>4.690456E-3</v>
      </c>
    </row>
    <row r="152" spans="1:5" x14ac:dyDescent="0.3">
      <c r="A152" s="8">
        <v>17</v>
      </c>
      <c r="B152" s="8">
        <v>15</v>
      </c>
      <c r="C152" s="8">
        <v>3047</v>
      </c>
      <c r="D152" s="16">
        <v>-4.8264250000000002E-2</v>
      </c>
      <c r="E152" s="8">
        <v>-2.4132125000000001E-2</v>
      </c>
    </row>
    <row r="153" spans="1:5" x14ac:dyDescent="0.3">
      <c r="A153" s="8">
        <v>17</v>
      </c>
      <c r="B153" s="8">
        <v>16</v>
      </c>
      <c r="C153" s="8">
        <v>3055</v>
      </c>
      <c r="D153" s="16">
        <v>-3.4479879999999997E-2</v>
      </c>
      <c r="E153" s="8">
        <v>-1.7239939999999999E-2</v>
      </c>
    </row>
    <row r="154" spans="1:5" x14ac:dyDescent="0.3">
      <c r="A154" s="8">
        <v>17</v>
      </c>
      <c r="B154" s="8">
        <v>17</v>
      </c>
      <c r="C154" s="8">
        <v>3151</v>
      </c>
      <c r="D154" s="16">
        <v>1.1698219999999999</v>
      </c>
      <c r="E154" s="8"/>
    </row>
    <row r="155" spans="1:5" x14ac:dyDescent="0.3">
      <c r="A155" s="8">
        <v>18</v>
      </c>
      <c r="B155" s="8">
        <v>1</v>
      </c>
      <c r="C155" s="8">
        <v>3085</v>
      </c>
      <c r="D155" s="16">
        <v>-4.5238439999999998E-2</v>
      </c>
      <c r="E155" s="8">
        <v>-2.2619219999999999E-2</v>
      </c>
    </row>
    <row r="156" spans="1:5" x14ac:dyDescent="0.3">
      <c r="A156" s="8">
        <v>18</v>
      </c>
      <c r="B156" s="8">
        <v>2</v>
      </c>
      <c r="C156" s="8">
        <v>3060</v>
      </c>
      <c r="D156" s="16">
        <v>3.0897560000000001E-2</v>
      </c>
      <c r="E156" s="8">
        <v>1.544878E-2</v>
      </c>
    </row>
    <row r="157" spans="1:5" x14ac:dyDescent="0.3">
      <c r="A157" s="8">
        <v>18</v>
      </c>
      <c r="B157" s="8">
        <v>3</v>
      </c>
      <c r="C157" s="8">
        <v>3080</v>
      </c>
      <c r="D157" s="16">
        <v>1.665055E-2</v>
      </c>
      <c r="E157" s="8">
        <v>8.325275E-3</v>
      </c>
    </row>
    <row r="158" spans="1:5" x14ac:dyDescent="0.3">
      <c r="A158" s="8">
        <v>18</v>
      </c>
      <c r="B158" s="8">
        <v>4</v>
      </c>
      <c r="C158" s="8">
        <v>3062</v>
      </c>
      <c r="D158" s="16">
        <v>-4.7296680000000001E-2</v>
      </c>
      <c r="E158" s="8">
        <v>-2.364834E-2</v>
      </c>
    </row>
    <row r="159" spans="1:5" x14ac:dyDescent="0.3">
      <c r="A159" s="8">
        <v>18</v>
      </c>
      <c r="B159" s="8">
        <v>5</v>
      </c>
      <c r="C159" s="8">
        <v>3045</v>
      </c>
      <c r="D159" s="16">
        <v>4.0138340000000002E-2</v>
      </c>
      <c r="E159" s="8">
        <v>2.0069170000000001E-2</v>
      </c>
    </row>
    <row r="160" spans="1:5" x14ac:dyDescent="0.3">
      <c r="A160" s="8">
        <v>18</v>
      </c>
      <c r="B160" s="8">
        <v>6</v>
      </c>
      <c r="C160" s="8">
        <v>3062</v>
      </c>
      <c r="D160" s="16">
        <v>-3.805648E-3</v>
      </c>
      <c r="E160" s="8">
        <v>-1.902824E-3</v>
      </c>
    </row>
    <row r="161" spans="1:5" x14ac:dyDescent="0.3">
      <c r="A161" s="8">
        <v>18</v>
      </c>
      <c r="B161" s="8">
        <v>7</v>
      </c>
      <c r="C161" s="8">
        <v>3063</v>
      </c>
      <c r="D161" s="16">
        <v>-1.405346E-2</v>
      </c>
      <c r="E161" s="8">
        <v>-7.0267300000000001E-3</v>
      </c>
    </row>
    <row r="162" spans="1:5" x14ac:dyDescent="0.3">
      <c r="A162" s="8">
        <v>18</v>
      </c>
      <c r="B162" s="8">
        <v>8</v>
      </c>
      <c r="C162" s="8">
        <v>3078</v>
      </c>
      <c r="D162" s="16">
        <v>-3.4570999999999998E-2</v>
      </c>
      <c r="E162" s="8">
        <v>-1.7285499999999999E-2</v>
      </c>
    </row>
    <row r="163" spans="1:5" x14ac:dyDescent="0.3">
      <c r="A163" s="8">
        <v>18</v>
      </c>
      <c r="B163" s="8">
        <v>9</v>
      </c>
      <c r="C163" s="8">
        <v>3069</v>
      </c>
      <c r="D163" s="16">
        <v>7.4679769999999998E-3</v>
      </c>
      <c r="E163" s="8">
        <v>3.7339884999999999E-3</v>
      </c>
    </row>
    <row r="164" spans="1:5" x14ac:dyDescent="0.3">
      <c r="A164" s="8">
        <v>18</v>
      </c>
      <c r="B164" s="8">
        <v>10</v>
      </c>
      <c r="C164" s="8">
        <v>3059</v>
      </c>
      <c r="D164" s="16">
        <v>3.2133519999999999E-2</v>
      </c>
      <c r="E164" s="8">
        <v>1.6066759999999999E-2</v>
      </c>
    </row>
    <row r="165" spans="1:5" x14ac:dyDescent="0.3">
      <c r="A165" s="8">
        <v>18</v>
      </c>
      <c r="B165" s="8">
        <v>11</v>
      </c>
      <c r="C165" s="8">
        <v>3060</v>
      </c>
      <c r="D165" s="16">
        <v>-4.4002629999999997E-3</v>
      </c>
      <c r="E165" s="8">
        <v>-2.2001314999999999E-3</v>
      </c>
    </row>
    <row r="166" spans="1:5" x14ac:dyDescent="0.3">
      <c r="A166" s="8">
        <v>18</v>
      </c>
      <c r="B166" s="8">
        <v>12</v>
      </c>
      <c r="C166" s="8">
        <v>3081</v>
      </c>
      <c r="D166" s="16">
        <v>-1.059005E-3</v>
      </c>
      <c r="E166" s="8">
        <v>-5.2950250000000001E-4</v>
      </c>
    </row>
    <row r="167" spans="1:5" x14ac:dyDescent="0.3">
      <c r="A167" s="8">
        <v>18</v>
      </c>
      <c r="B167" s="8">
        <v>13</v>
      </c>
      <c r="C167" s="8">
        <v>3057</v>
      </c>
      <c r="D167" s="16">
        <v>2.895706E-2</v>
      </c>
      <c r="E167" s="8">
        <v>1.447853E-2</v>
      </c>
    </row>
    <row r="168" spans="1:5" x14ac:dyDescent="0.3">
      <c r="A168" s="8">
        <v>18</v>
      </c>
      <c r="B168" s="8">
        <v>14</v>
      </c>
      <c r="C168" s="8">
        <v>3058</v>
      </c>
      <c r="D168" s="16">
        <v>-1.333121E-2</v>
      </c>
      <c r="E168" s="8">
        <v>-6.6656049999999998E-3</v>
      </c>
    </row>
    <row r="169" spans="1:5" x14ac:dyDescent="0.3">
      <c r="A169" s="8">
        <v>18</v>
      </c>
      <c r="B169" s="8">
        <v>15</v>
      </c>
      <c r="C169" s="8">
        <v>3071</v>
      </c>
      <c r="D169" s="16">
        <v>1.8814529999999999E-2</v>
      </c>
      <c r="E169" s="8">
        <v>9.4072649999999997E-3</v>
      </c>
    </row>
    <row r="170" spans="1:5" x14ac:dyDescent="0.3">
      <c r="A170" s="8">
        <v>18</v>
      </c>
      <c r="B170" s="8">
        <v>16</v>
      </c>
      <c r="C170" s="8">
        <v>3072</v>
      </c>
      <c r="D170" s="16">
        <v>3.2161160000000001E-2</v>
      </c>
      <c r="E170" s="8">
        <v>1.6080580000000001E-2</v>
      </c>
    </row>
    <row r="171" spans="1:5" x14ac:dyDescent="0.3">
      <c r="A171" s="8">
        <v>18</v>
      </c>
      <c r="B171" s="8">
        <v>17</v>
      </c>
      <c r="C171" s="8">
        <v>3068</v>
      </c>
      <c r="D171" s="16">
        <v>-3.053418E-3</v>
      </c>
      <c r="E171" s="8">
        <v>-1.526709E-3</v>
      </c>
    </row>
    <row r="172" spans="1:5" x14ac:dyDescent="0.3">
      <c r="A172" s="8">
        <v>18</v>
      </c>
      <c r="B172" s="8">
        <v>18</v>
      </c>
      <c r="C172" s="8">
        <v>3168</v>
      </c>
      <c r="D172" s="16">
        <v>1.073895</v>
      </c>
      <c r="E172" s="8"/>
    </row>
    <row r="173" spans="1:5" x14ac:dyDescent="0.3">
      <c r="A173" s="8">
        <v>19</v>
      </c>
      <c r="B173" s="8">
        <v>1</v>
      </c>
      <c r="C173" s="8">
        <v>3069</v>
      </c>
      <c r="D173" s="16">
        <v>-2.2694929999999999E-2</v>
      </c>
      <c r="E173" s="8">
        <v>-1.1347464999999999E-2</v>
      </c>
    </row>
    <row r="174" spans="1:5" x14ac:dyDescent="0.3">
      <c r="A174" s="8">
        <v>19</v>
      </c>
      <c r="B174" s="8">
        <v>2</v>
      </c>
      <c r="C174" s="8">
        <v>3038</v>
      </c>
      <c r="D174" s="16">
        <v>-1.7536300000000001E-2</v>
      </c>
      <c r="E174" s="8">
        <v>-8.7681500000000006E-3</v>
      </c>
    </row>
    <row r="175" spans="1:5" x14ac:dyDescent="0.3">
      <c r="A175" s="8">
        <v>19</v>
      </c>
      <c r="B175" s="8">
        <v>3</v>
      </c>
      <c r="C175" s="8">
        <v>3063</v>
      </c>
      <c r="D175" s="16">
        <v>-1.3195729999999999E-2</v>
      </c>
      <c r="E175" s="8">
        <v>-6.5978649999999996E-3</v>
      </c>
    </row>
    <row r="176" spans="1:5" x14ac:dyDescent="0.3">
      <c r="A176" s="8">
        <v>19</v>
      </c>
      <c r="B176" s="8">
        <v>4</v>
      </c>
      <c r="C176" s="8">
        <v>3035</v>
      </c>
      <c r="D176" s="16">
        <v>-3.2122589999999999E-2</v>
      </c>
      <c r="E176" s="8">
        <v>-1.6061295E-2</v>
      </c>
    </row>
    <row r="177" spans="1:5" x14ac:dyDescent="0.3">
      <c r="A177" s="8">
        <v>19</v>
      </c>
      <c r="B177" s="8">
        <v>5</v>
      </c>
      <c r="C177" s="8">
        <v>3031</v>
      </c>
      <c r="D177" s="16">
        <v>-4.2757180000000004E-3</v>
      </c>
      <c r="E177" s="8">
        <v>-2.1378590000000002E-3</v>
      </c>
    </row>
    <row r="178" spans="1:5" x14ac:dyDescent="0.3">
      <c r="A178" s="8">
        <v>19</v>
      </c>
      <c r="B178" s="8">
        <v>6</v>
      </c>
      <c r="C178" s="8">
        <v>3048</v>
      </c>
      <c r="D178" s="16">
        <v>-2.128389E-2</v>
      </c>
      <c r="E178" s="8">
        <v>-1.0641945E-2</v>
      </c>
    </row>
    <row r="179" spans="1:5" x14ac:dyDescent="0.3">
      <c r="A179" s="8">
        <v>19</v>
      </c>
      <c r="B179" s="8">
        <v>7</v>
      </c>
      <c r="C179" s="8">
        <v>3046</v>
      </c>
      <c r="D179" s="16">
        <v>-2.0842530000000001E-2</v>
      </c>
      <c r="E179" s="8">
        <v>-1.0421265000000001E-2</v>
      </c>
    </row>
    <row r="180" spans="1:5" x14ac:dyDescent="0.3">
      <c r="A180" s="8">
        <v>19</v>
      </c>
      <c r="B180" s="8">
        <v>8</v>
      </c>
      <c r="C180" s="8">
        <v>3059</v>
      </c>
      <c r="D180" s="16">
        <v>-1.585365E-2</v>
      </c>
      <c r="E180" s="8">
        <v>-7.9268250000000002E-3</v>
      </c>
    </row>
    <row r="181" spans="1:5" x14ac:dyDescent="0.3">
      <c r="A181" s="8">
        <v>19</v>
      </c>
      <c r="B181" s="8">
        <v>9</v>
      </c>
      <c r="C181" s="8">
        <v>3048</v>
      </c>
      <c r="D181" s="16">
        <v>-5.5552539999999997E-2</v>
      </c>
      <c r="E181" s="8">
        <v>-2.7776269999999999E-2</v>
      </c>
    </row>
    <row r="182" spans="1:5" x14ac:dyDescent="0.3">
      <c r="A182" s="8">
        <v>19</v>
      </c>
      <c r="B182" s="8">
        <v>10</v>
      </c>
      <c r="C182" s="8">
        <v>3041</v>
      </c>
      <c r="D182" s="16">
        <v>-5.0847610000000001E-2</v>
      </c>
      <c r="E182" s="8">
        <v>-2.5423805000000001E-2</v>
      </c>
    </row>
    <row r="183" spans="1:5" x14ac:dyDescent="0.3">
      <c r="A183" s="8">
        <v>19</v>
      </c>
      <c r="B183" s="8">
        <v>11</v>
      </c>
      <c r="C183" s="8">
        <v>3042</v>
      </c>
      <c r="D183" s="16">
        <v>9.2402339999999997E-4</v>
      </c>
      <c r="E183" s="8">
        <v>4.6201169999999999E-4</v>
      </c>
    </row>
    <row r="184" spans="1:5" x14ac:dyDescent="0.3">
      <c r="A184" s="8">
        <v>19</v>
      </c>
      <c r="B184" s="8">
        <v>12</v>
      </c>
      <c r="C184" s="8">
        <v>3064</v>
      </c>
      <c r="D184" s="16">
        <v>1.8271369999999999E-2</v>
      </c>
      <c r="E184" s="8">
        <v>9.1356849999999993E-3</v>
      </c>
    </row>
    <row r="185" spans="1:5" x14ac:dyDescent="0.3">
      <c r="A185" s="8">
        <v>19</v>
      </c>
      <c r="B185" s="8">
        <v>13</v>
      </c>
      <c r="C185" s="8">
        <v>3044</v>
      </c>
      <c r="D185" s="16">
        <v>-2.8288779999999999E-2</v>
      </c>
      <c r="E185" s="8">
        <v>-1.414439E-2</v>
      </c>
    </row>
    <row r="186" spans="1:5" x14ac:dyDescent="0.3">
      <c r="A186" s="8">
        <v>19</v>
      </c>
      <c r="B186" s="8">
        <v>14</v>
      </c>
      <c r="C186" s="8">
        <v>3039</v>
      </c>
      <c r="D186" s="16">
        <v>-1.3114219999999999E-2</v>
      </c>
      <c r="E186" s="8">
        <v>-6.5571099999999997E-3</v>
      </c>
    </row>
    <row r="187" spans="1:5" x14ac:dyDescent="0.3">
      <c r="A187" s="8">
        <v>19</v>
      </c>
      <c r="B187" s="8">
        <v>15</v>
      </c>
      <c r="C187" s="8">
        <v>3054</v>
      </c>
      <c r="D187" s="16">
        <v>-4.0081319999999997E-2</v>
      </c>
      <c r="E187" s="8">
        <v>-2.0040659999999998E-2</v>
      </c>
    </row>
    <row r="188" spans="1:5" x14ac:dyDescent="0.3">
      <c r="A188" s="8">
        <v>19</v>
      </c>
      <c r="B188" s="8">
        <v>16</v>
      </c>
      <c r="C188" s="8">
        <v>3053</v>
      </c>
      <c r="D188" s="16">
        <v>4.6186459999999997E-3</v>
      </c>
      <c r="E188" s="8">
        <v>2.3093229999999998E-3</v>
      </c>
    </row>
    <row r="189" spans="1:5" x14ac:dyDescent="0.3">
      <c r="A189" s="8">
        <v>19</v>
      </c>
      <c r="B189" s="8">
        <v>17</v>
      </c>
      <c r="C189" s="8">
        <v>3045</v>
      </c>
      <c r="D189" s="16">
        <v>-3.1424609999999999E-2</v>
      </c>
      <c r="E189" s="8">
        <v>-1.5712304999999999E-2</v>
      </c>
    </row>
    <row r="190" spans="1:5" x14ac:dyDescent="0.3">
      <c r="A190" s="8">
        <v>19</v>
      </c>
      <c r="B190" s="8">
        <v>18</v>
      </c>
      <c r="C190" s="8">
        <v>3064</v>
      </c>
      <c r="D190" s="16">
        <v>-1.254385E-2</v>
      </c>
      <c r="E190" s="8">
        <v>-6.2719250000000002E-3</v>
      </c>
    </row>
    <row r="191" spans="1:5" x14ac:dyDescent="0.3">
      <c r="A191" s="8">
        <v>19</v>
      </c>
      <c r="B191" s="8">
        <v>19</v>
      </c>
      <c r="C191" s="8">
        <v>3149</v>
      </c>
      <c r="D191" s="16">
        <v>1.0619959999999999</v>
      </c>
      <c r="E191" s="8"/>
    </row>
    <row r="192" spans="1:5" x14ac:dyDescent="0.3">
      <c r="A192" s="8">
        <v>20</v>
      </c>
      <c r="B192" s="8">
        <v>1</v>
      </c>
      <c r="C192" s="8">
        <v>3081</v>
      </c>
      <c r="D192" s="16">
        <v>-4.8291649999999998E-2</v>
      </c>
      <c r="E192" s="8">
        <v>-2.4145824999999999E-2</v>
      </c>
    </row>
    <row r="193" spans="1:5" x14ac:dyDescent="0.3">
      <c r="A193" s="8">
        <v>20</v>
      </c>
      <c r="B193" s="8">
        <v>2</v>
      </c>
      <c r="C193" s="8">
        <v>3043</v>
      </c>
      <c r="D193" s="16">
        <v>-4.1589649999999999E-2</v>
      </c>
      <c r="E193" s="8">
        <v>-2.0794824999999999E-2</v>
      </c>
    </row>
    <row r="194" spans="1:5" x14ac:dyDescent="0.3">
      <c r="A194" s="8">
        <v>20</v>
      </c>
      <c r="B194" s="8">
        <v>3</v>
      </c>
      <c r="C194" s="8">
        <v>3073</v>
      </c>
      <c r="D194" s="16">
        <v>5.0887799999999997E-2</v>
      </c>
      <c r="E194" s="8">
        <v>2.5443899999999998E-2</v>
      </c>
    </row>
    <row r="195" spans="1:5" x14ac:dyDescent="0.3">
      <c r="A195" s="8">
        <v>20</v>
      </c>
      <c r="B195" s="8">
        <v>4</v>
      </c>
      <c r="C195" s="8">
        <v>3046</v>
      </c>
      <c r="D195" s="16">
        <v>-1.1526440000000001E-2</v>
      </c>
      <c r="E195" s="8">
        <v>-5.7632200000000003E-3</v>
      </c>
    </row>
    <row r="196" spans="1:5" x14ac:dyDescent="0.3">
      <c r="A196" s="8">
        <v>20</v>
      </c>
      <c r="B196" s="8">
        <v>5</v>
      </c>
      <c r="C196" s="8">
        <v>3037</v>
      </c>
      <c r="D196" s="16">
        <v>-1.2348919999999999E-2</v>
      </c>
      <c r="E196" s="8">
        <v>-6.1744599999999997E-3</v>
      </c>
    </row>
    <row r="197" spans="1:5" x14ac:dyDescent="0.3">
      <c r="A197" s="8">
        <v>20</v>
      </c>
      <c r="B197" s="8">
        <v>6</v>
      </c>
      <c r="C197" s="8">
        <v>3053</v>
      </c>
      <c r="D197" s="16">
        <v>1.2999129999999999E-2</v>
      </c>
      <c r="E197" s="8">
        <v>6.4995649999999997E-3</v>
      </c>
    </row>
    <row r="198" spans="1:5" x14ac:dyDescent="0.3">
      <c r="A198" s="8">
        <v>20</v>
      </c>
      <c r="B198" s="8">
        <v>7</v>
      </c>
      <c r="C198" s="8">
        <v>3048</v>
      </c>
      <c r="D198" s="16">
        <v>4.306285E-3</v>
      </c>
      <c r="E198" s="8">
        <v>2.1531425E-3</v>
      </c>
    </row>
    <row r="199" spans="1:5" x14ac:dyDescent="0.3">
      <c r="A199" s="8">
        <v>20</v>
      </c>
      <c r="B199" s="8">
        <v>8</v>
      </c>
      <c r="C199" s="8">
        <v>3066</v>
      </c>
      <c r="D199" s="16">
        <v>-1.532881E-2</v>
      </c>
      <c r="E199" s="8">
        <v>-7.664405E-3</v>
      </c>
    </row>
    <row r="200" spans="1:5" x14ac:dyDescent="0.3">
      <c r="A200" s="8">
        <v>20</v>
      </c>
      <c r="B200" s="8">
        <v>9</v>
      </c>
      <c r="C200" s="8">
        <v>3055</v>
      </c>
      <c r="D200" s="16">
        <v>1.5913119999999999E-2</v>
      </c>
      <c r="E200" s="8">
        <v>7.9565599999999997E-3</v>
      </c>
    </row>
    <row r="201" spans="1:5" x14ac:dyDescent="0.3">
      <c r="A201" s="8">
        <v>20</v>
      </c>
      <c r="B201" s="8">
        <v>10</v>
      </c>
      <c r="C201" s="8">
        <v>3046</v>
      </c>
      <c r="D201" s="16">
        <v>-9.8452969999999994E-3</v>
      </c>
      <c r="E201" s="8">
        <v>-4.9226484999999997E-3</v>
      </c>
    </row>
    <row r="202" spans="1:5" x14ac:dyDescent="0.3">
      <c r="A202" s="8">
        <v>20</v>
      </c>
      <c r="B202" s="8">
        <v>11</v>
      </c>
      <c r="C202" s="8">
        <v>3050</v>
      </c>
      <c r="D202" s="16">
        <v>-2.3823250000000001E-2</v>
      </c>
      <c r="E202" s="8">
        <v>-1.1911625E-2</v>
      </c>
    </row>
    <row r="203" spans="1:5" x14ac:dyDescent="0.3">
      <c r="A203" s="8">
        <v>20</v>
      </c>
      <c r="B203" s="8">
        <v>12</v>
      </c>
      <c r="C203" s="8">
        <v>3070</v>
      </c>
      <c r="D203" s="16">
        <v>1.1098119999999999E-5</v>
      </c>
      <c r="E203" s="8">
        <v>5.5490599999999997E-6</v>
      </c>
    </row>
    <row r="204" spans="1:5" x14ac:dyDescent="0.3">
      <c r="A204" s="8">
        <v>20</v>
      </c>
      <c r="B204" s="8">
        <v>13</v>
      </c>
      <c r="C204" s="8">
        <v>3048</v>
      </c>
      <c r="D204" s="16">
        <v>-7.236653E-3</v>
      </c>
      <c r="E204" s="8">
        <v>-3.6183265E-3</v>
      </c>
    </row>
    <row r="205" spans="1:5" x14ac:dyDescent="0.3">
      <c r="A205" s="8">
        <v>20</v>
      </c>
      <c r="B205" s="8">
        <v>14</v>
      </c>
      <c r="C205" s="8">
        <v>3046</v>
      </c>
      <c r="D205" s="16">
        <v>-3.8062579999999999E-2</v>
      </c>
      <c r="E205" s="8">
        <v>-1.9031289999999999E-2</v>
      </c>
    </row>
    <row r="206" spans="1:5" x14ac:dyDescent="0.3">
      <c r="A206" s="8">
        <v>20</v>
      </c>
      <c r="B206" s="8">
        <v>15</v>
      </c>
      <c r="C206" s="8">
        <v>3058</v>
      </c>
      <c r="D206" s="16">
        <v>-8.2996909999999993E-2</v>
      </c>
      <c r="E206" s="8">
        <v>-4.1498454999999997E-2</v>
      </c>
    </row>
    <row r="207" spans="1:5" x14ac:dyDescent="0.3">
      <c r="A207" s="8">
        <v>20</v>
      </c>
      <c r="B207" s="8">
        <v>16</v>
      </c>
      <c r="C207" s="8">
        <v>3059</v>
      </c>
      <c r="D207" s="16">
        <v>-2.2211390000000001E-2</v>
      </c>
      <c r="E207" s="8">
        <v>-1.1105695E-2</v>
      </c>
    </row>
    <row r="208" spans="1:5" x14ac:dyDescent="0.3">
      <c r="A208" s="8">
        <v>20</v>
      </c>
      <c r="B208" s="8">
        <v>17</v>
      </c>
      <c r="C208" s="8">
        <v>3057</v>
      </c>
      <c r="D208" s="16">
        <v>-2.3464639999999998E-2</v>
      </c>
      <c r="E208" s="8">
        <v>-1.1732319999999999E-2</v>
      </c>
    </row>
    <row r="209" spans="1:5" x14ac:dyDescent="0.3">
      <c r="A209" s="8">
        <v>20</v>
      </c>
      <c r="B209" s="8">
        <v>18</v>
      </c>
      <c r="C209" s="8">
        <v>3075</v>
      </c>
      <c r="D209" s="16">
        <v>-2.5708539999999998E-2</v>
      </c>
      <c r="E209" s="8">
        <v>-1.2854269999999999E-2</v>
      </c>
    </row>
    <row r="210" spans="1:5" x14ac:dyDescent="0.3">
      <c r="A210" s="8">
        <v>20</v>
      </c>
      <c r="B210" s="8">
        <v>19</v>
      </c>
      <c r="C210" s="8">
        <v>3054</v>
      </c>
      <c r="D210" s="16">
        <v>-9.6766700000000001E-3</v>
      </c>
      <c r="E210" s="8">
        <v>-4.838335E-3</v>
      </c>
    </row>
    <row r="211" spans="1:5" x14ac:dyDescent="0.3">
      <c r="A211" s="8">
        <v>20</v>
      </c>
      <c r="B211" s="8">
        <v>20</v>
      </c>
      <c r="C211" s="8">
        <v>3159</v>
      </c>
      <c r="D211" s="16">
        <v>1.0745899999999999</v>
      </c>
      <c r="E211" s="8"/>
    </row>
    <row r="212" spans="1:5" x14ac:dyDescent="0.3">
      <c r="A212" s="8">
        <v>21</v>
      </c>
      <c r="B212" s="8">
        <v>1</v>
      </c>
      <c r="C212" s="8">
        <v>3078</v>
      </c>
      <c r="D212" s="16">
        <v>-2.252258E-2</v>
      </c>
      <c r="E212" s="8">
        <v>-1.126129E-2</v>
      </c>
    </row>
    <row r="213" spans="1:5" x14ac:dyDescent="0.3">
      <c r="A213" s="8">
        <v>21</v>
      </c>
      <c r="B213" s="8">
        <v>2</v>
      </c>
      <c r="C213" s="8">
        <v>3044</v>
      </c>
      <c r="D213" s="16">
        <v>-7.7104039999999997E-3</v>
      </c>
      <c r="E213" s="8">
        <v>-3.8552019999999998E-3</v>
      </c>
    </row>
    <row r="214" spans="1:5" x14ac:dyDescent="0.3">
      <c r="A214" s="8">
        <v>21</v>
      </c>
      <c r="B214" s="8">
        <v>3</v>
      </c>
      <c r="C214" s="8">
        <v>3072</v>
      </c>
      <c r="D214" s="16">
        <v>3.355955E-2</v>
      </c>
      <c r="E214" s="8">
        <v>1.6779775E-2</v>
      </c>
    </row>
    <row r="215" spans="1:5" x14ac:dyDescent="0.3">
      <c r="A215" s="8">
        <v>21</v>
      </c>
      <c r="B215" s="8">
        <v>4</v>
      </c>
      <c r="C215" s="8">
        <v>3049</v>
      </c>
      <c r="D215" s="16">
        <v>-6.2561270000000002E-2</v>
      </c>
      <c r="E215" s="8">
        <v>-3.1280635000000001E-2</v>
      </c>
    </row>
    <row r="216" spans="1:5" x14ac:dyDescent="0.3">
      <c r="A216" s="8">
        <v>21</v>
      </c>
      <c r="B216" s="8">
        <v>5</v>
      </c>
      <c r="C216" s="8">
        <v>3038</v>
      </c>
      <c r="D216" s="16">
        <v>6.2505089999999996E-3</v>
      </c>
      <c r="E216" s="8">
        <v>3.1252544999999998E-3</v>
      </c>
    </row>
    <row r="217" spans="1:5" x14ac:dyDescent="0.3">
      <c r="A217" s="8">
        <v>21</v>
      </c>
      <c r="B217" s="8">
        <v>6</v>
      </c>
      <c r="C217" s="8">
        <v>3054</v>
      </c>
      <c r="D217" s="16">
        <v>-4.4976290000000002E-2</v>
      </c>
      <c r="E217" s="8">
        <v>-2.2488145000000001E-2</v>
      </c>
    </row>
    <row r="218" spans="1:5" x14ac:dyDescent="0.3">
      <c r="A218" s="8">
        <v>21</v>
      </c>
      <c r="B218" s="8">
        <v>7</v>
      </c>
      <c r="C218" s="8">
        <v>3044</v>
      </c>
      <c r="D218" s="16">
        <v>-2.0488530000000001E-2</v>
      </c>
      <c r="E218" s="8">
        <v>-1.0244265000000001E-2</v>
      </c>
    </row>
    <row r="219" spans="1:5" x14ac:dyDescent="0.3">
      <c r="A219" s="8">
        <v>21</v>
      </c>
      <c r="B219" s="8">
        <v>8</v>
      </c>
      <c r="C219" s="8">
        <v>3066</v>
      </c>
      <c r="D219" s="16">
        <v>3.4330149999999997E-2</v>
      </c>
      <c r="E219" s="8">
        <v>1.7165074999999998E-2</v>
      </c>
    </row>
    <row r="220" spans="1:5" x14ac:dyDescent="0.3">
      <c r="A220" s="8">
        <v>21</v>
      </c>
      <c r="B220" s="8">
        <v>9</v>
      </c>
      <c r="C220" s="8">
        <v>3059</v>
      </c>
      <c r="D220" s="16">
        <v>-9.5867330000000001E-3</v>
      </c>
      <c r="E220" s="8">
        <v>-4.7933665E-3</v>
      </c>
    </row>
    <row r="221" spans="1:5" x14ac:dyDescent="0.3">
      <c r="A221" s="8">
        <v>21</v>
      </c>
      <c r="B221" s="8">
        <v>10</v>
      </c>
      <c r="C221" s="8">
        <v>3049</v>
      </c>
      <c r="D221" s="16">
        <v>-3.2187500000000001E-2</v>
      </c>
      <c r="E221" s="8">
        <v>-1.609375E-2</v>
      </c>
    </row>
    <row r="222" spans="1:5" x14ac:dyDescent="0.3">
      <c r="A222" s="8">
        <v>21</v>
      </c>
      <c r="B222" s="8">
        <v>11</v>
      </c>
      <c r="C222" s="8">
        <v>3047</v>
      </c>
      <c r="D222" s="16">
        <v>2.9305600000000001E-2</v>
      </c>
      <c r="E222" s="8">
        <v>1.4652800000000001E-2</v>
      </c>
    </row>
    <row r="223" spans="1:5" x14ac:dyDescent="0.3">
      <c r="A223" s="8">
        <v>21</v>
      </c>
      <c r="B223" s="8">
        <v>12</v>
      </c>
      <c r="C223" s="8">
        <v>3067</v>
      </c>
      <c r="D223" s="16">
        <v>2.1605070000000001E-2</v>
      </c>
      <c r="E223" s="8">
        <v>1.0802535E-2</v>
      </c>
    </row>
    <row r="224" spans="1:5" x14ac:dyDescent="0.3">
      <c r="A224" s="8">
        <v>21</v>
      </c>
      <c r="B224" s="8">
        <v>13</v>
      </c>
      <c r="C224" s="8">
        <v>3046</v>
      </c>
      <c r="D224" s="16">
        <v>-1.167793E-2</v>
      </c>
      <c r="E224" s="8">
        <v>-5.8389649999999998E-3</v>
      </c>
    </row>
    <row r="225" spans="1:5" x14ac:dyDescent="0.3">
      <c r="A225" s="8">
        <v>21</v>
      </c>
      <c r="B225" s="8">
        <v>14</v>
      </c>
      <c r="C225" s="8">
        <v>3042</v>
      </c>
      <c r="D225" s="16">
        <v>6.6211450000000002E-3</v>
      </c>
      <c r="E225" s="8">
        <v>3.3105725000000001E-3</v>
      </c>
    </row>
    <row r="226" spans="1:5" x14ac:dyDescent="0.3">
      <c r="A226" s="8">
        <v>21</v>
      </c>
      <c r="B226" s="8">
        <v>15</v>
      </c>
      <c r="C226" s="8">
        <v>3054</v>
      </c>
      <c r="D226" s="16">
        <v>-2.1802820000000001E-2</v>
      </c>
      <c r="E226" s="8">
        <v>-1.090141E-2</v>
      </c>
    </row>
    <row r="227" spans="1:5" x14ac:dyDescent="0.3">
      <c r="A227" s="8">
        <v>21</v>
      </c>
      <c r="B227" s="8">
        <v>16</v>
      </c>
      <c r="C227" s="8">
        <v>3062</v>
      </c>
      <c r="D227" s="16">
        <v>-1.090634E-2</v>
      </c>
      <c r="E227" s="8">
        <v>-5.4531700000000002E-3</v>
      </c>
    </row>
    <row r="228" spans="1:5" x14ac:dyDescent="0.3">
      <c r="A228" s="8">
        <v>21</v>
      </c>
      <c r="B228" s="8">
        <v>17</v>
      </c>
      <c r="C228" s="8">
        <v>3055</v>
      </c>
      <c r="D228" s="16">
        <v>2.0113019999999999E-2</v>
      </c>
      <c r="E228" s="8">
        <v>1.0056509999999999E-2</v>
      </c>
    </row>
    <row r="229" spans="1:5" x14ac:dyDescent="0.3">
      <c r="A229" s="8">
        <v>21</v>
      </c>
      <c r="B229" s="8">
        <v>18</v>
      </c>
      <c r="C229" s="8">
        <v>3072</v>
      </c>
      <c r="D229" s="16">
        <v>2.0392710000000001E-3</v>
      </c>
      <c r="E229" s="8">
        <v>1.0196355E-3</v>
      </c>
    </row>
    <row r="230" spans="1:5" x14ac:dyDescent="0.3">
      <c r="A230" s="8">
        <v>21</v>
      </c>
      <c r="B230" s="8">
        <v>19</v>
      </c>
      <c r="C230" s="8">
        <v>3053</v>
      </c>
      <c r="D230" s="16">
        <v>1.073882E-3</v>
      </c>
      <c r="E230" s="8">
        <v>5.3694099999999998E-4</v>
      </c>
    </row>
    <row r="231" spans="1:5" x14ac:dyDescent="0.3">
      <c r="A231" s="8">
        <v>21</v>
      </c>
      <c r="B231" s="8">
        <v>20</v>
      </c>
      <c r="C231" s="8">
        <v>3068</v>
      </c>
      <c r="D231" s="16">
        <v>-2.8757290000000001E-2</v>
      </c>
      <c r="E231" s="8">
        <v>-1.4378645000000001E-2</v>
      </c>
    </row>
    <row r="232" spans="1:5" x14ac:dyDescent="0.3">
      <c r="A232" s="8">
        <v>21</v>
      </c>
      <c r="B232" s="8">
        <v>21</v>
      </c>
      <c r="C232" s="8">
        <v>3156</v>
      </c>
      <c r="D232" s="16">
        <v>1.1437889999999999</v>
      </c>
      <c r="E232" s="8"/>
    </row>
    <row r="233" spans="1:5" x14ac:dyDescent="0.3">
      <c r="A233" s="8">
        <v>22</v>
      </c>
      <c r="B233" s="8">
        <v>1</v>
      </c>
      <c r="C233" s="8">
        <v>3060</v>
      </c>
      <c r="D233" s="16">
        <v>-2.4056370000000001E-2</v>
      </c>
      <c r="E233" s="8">
        <v>-1.2028185E-2</v>
      </c>
    </row>
    <row r="234" spans="1:5" x14ac:dyDescent="0.3">
      <c r="A234" s="8">
        <v>22</v>
      </c>
      <c r="B234" s="8">
        <v>2</v>
      </c>
      <c r="C234" s="8">
        <v>3028</v>
      </c>
      <c r="D234" s="16">
        <v>-1.7978069999999999E-2</v>
      </c>
      <c r="E234" s="8">
        <v>-8.9890349999999994E-3</v>
      </c>
    </row>
    <row r="235" spans="1:5" x14ac:dyDescent="0.3">
      <c r="A235" s="8">
        <v>22</v>
      </c>
      <c r="B235" s="8">
        <v>3</v>
      </c>
      <c r="C235" s="8">
        <v>3062</v>
      </c>
      <c r="D235" s="16">
        <v>-3.5514249999999997E-2</v>
      </c>
      <c r="E235" s="8">
        <v>-1.7757124999999999E-2</v>
      </c>
    </row>
    <row r="236" spans="1:5" x14ac:dyDescent="0.3">
      <c r="A236" s="8">
        <v>22</v>
      </c>
      <c r="B236" s="8">
        <v>4</v>
      </c>
      <c r="C236" s="8">
        <v>3031</v>
      </c>
      <c r="D236" s="16">
        <v>1.433049E-3</v>
      </c>
      <c r="E236" s="8">
        <v>7.1652450000000002E-4</v>
      </c>
    </row>
    <row r="237" spans="1:5" x14ac:dyDescent="0.3">
      <c r="A237" s="8">
        <v>22</v>
      </c>
      <c r="B237" s="8">
        <v>5</v>
      </c>
      <c r="C237" s="8">
        <v>3024</v>
      </c>
      <c r="D237" s="16">
        <v>-9.1925080000000003E-3</v>
      </c>
      <c r="E237" s="8">
        <v>-4.5962540000000001E-3</v>
      </c>
    </row>
    <row r="238" spans="1:5" x14ac:dyDescent="0.3">
      <c r="A238" s="8">
        <v>22</v>
      </c>
      <c r="B238" s="8">
        <v>6</v>
      </c>
      <c r="C238" s="8">
        <v>3041</v>
      </c>
      <c r="D238" s="16">
        <v>-2.8330060000000001E-2</v>
      </c>
      <c r="E238" s="8">
        <v>-1.416503E-2</v>
      </c>
    </row>
    <row r="239" spans="1:5" x14ac:dyDescent="0.3">
      <c r="A239" s="8">
        <v>22</v>
      </c>
      <c r="B239" s="8">
        <v>7</v>
      </c>
      <c r="C239" s="8">
        <v>3034</v>
      </c>
      <c r="D239" s="16">
        <v>2.087785E-2</v>
      </c>
      <c r="E239" s="8">
        <v>1.0438925E-2</v>
      </c>
    </row>
    <row r="240" spans="1:5" x14ac:dyDescent="0.3">
      <c r="A240" s="8">
        <v>22</v>
      </c>
      <c r="B240" s="8">
        <v>8</v>
      </c>
      <c r="C240" s="8">
        <v>3052</v>
      </c>
      <c r="D240" s="16">
        <v>-1.51807E-2</v>
      </c>
      <c r="E240" s="8">
        <v>-7.59035E-3</v>
      </c>
    </row>
    <row r="241" spans="1:5" x14ac:dyDescent="0.3">
      <c r="A241" s="8">
        <v>22</v>
      </c>
      <c r="B241" s="8">
        <v>9</v>
      </c>
      <c r="C241" s="8">
        <v>3041</v>
      </c>
      <c r="D241" s="16">
        <v>-4.3865019999999998E-2</v>
      </c>
      <c r="E241" s="8">
        <v>-2.1932509999999999E-2</v>
      </c>
    </row>
    <row r="242" spans="1:5" x14ac:dyDescent="0.3">
      <c r="A242" s="8">
        <v>22</v>
      </c>
      <c r="B242" s="8">
        <v>10</v>
      </c>
      <c r="C242" s="8">
        <v>3037</v>
      </c>
      <c r="D242" s="16">
        <v>-4.4083280000000002E-2</v>
      </c>
      <c r="E242" s="8">
        <v>-2.2041640000000001E-2</v>
      </c>
    </row>
    <row r="243" spans="1:5" x14ac:dyDescent="0.3">
      <c r="A243" s="8">
        <v>22</v>
      </c>
      <c r="B243" s="8">
        <v>11</v>
      </c>
      <c r="C243" s="8">
        <v>3035</v>
      </c>
      <c r="D243" s="16">
        <v>2.022579E-3</v>
      </c>
      <c r="E243" s="8">
        <v>1.0112895E-3</v>
      </c>
    </row>
    <row r="244" spans="1:5" x14ac:dyDescent="0.3">
      <c r="A244" s="8">
        <v>22</v>
      </c>
      <c r="B244" s="8">
        <v>12</v>
      </c>
      <c r="C244" s="8">
        <v>3061</v>
      </c>
      <c r="D244" s="16">
        <v>-1.9504670000000002E-2</v>
      </c>
      <c r="E244" s="8">
        <v>-9.7523350000000009E-3</v>
      </c>
    </row>
    <row r="245" spans="1:5" x14ac:dyDescent="0.3">
      <c r="A245" s="8">
        <v>22</v>
      </c>
      <c r="B245" s="8">
        <v>13</v>
      </c>
      <c r="C245" s="8">
        <v>3037</v>
      </c>
      <c r="D245" s="16">
        <v>-2.0676440000000001E-2</v>
      </c>
      <c r="E245" s="8">
        <v>-1.033822E-2</v>
      </c>
    </row>
    <row r="246" spans="1:5" x14ac:dyDescent="0.3">
      <c r="A246" s="8">
        <v>22</v>
      </c>
      <c r="B246" s="8">
        <v>14</v>
      </c>
      <c r="C246" s="8">
        <v>3034</v>
      </c>
      <c r="D246" s="16">
        <v>1.5365129999999999E-2</v>
      </c>
      <c r="E246" s="8">
        <v>7.6825649999999997E-3</v>
      </c>
    </row>
    <row r="247" spans="1:5" x14ac:dyDescent="0.3">
      <c r="A247" s="8">
        <v>22</v>
      </c>
      <c r="B247" s="8">
        <v>15</v>
      </c>
      <c r="C247" s="8">
        <v>3042</v>
      </c>
      <c r="D247" s="16">
        <v>-2.6932230000000001E-2</v>
      </c>
      <c r="E247" s="8">
        <v>-1.3466115000000001E-2</v>
      </c>
    </row>
    <row r="248" spans="1:5" x14ac:dyDescent="0.3">
      <c r="A248" s="8">
        <v>22</v>
      </c>
      <c r="B248" s="8">
        <v>16</v>
      </c>
      <c r="C248" s="8">
        <v>3047</v>
      </c>
      <c r="D248" s="16">
        <v>-4.1767909999999998E-2</v>
      </c>
      <c r="E248" s="8">
        <v>-2.0883954999999999E-2</v>
      </c>
    </row>
    <row r="249" spans="1:5" x14ac:dyDescent="0.3">
      <c r="A249" s="8">
        <v>22</v>
      </c>
      <c r="B249" s="8">
        <v>17</v>
      </c>
      <c r="C249" s="8">
        <v>3048</v>
      </c>
      <c r="D249" s="16">
        <v>1.191149E-2</v>
      </c>
      <c r="E249" s="8">
        <v>5.9557450000000001E-3</v>
      </c>
    </row>
    <row r="250" spans="1:5" x14ac:dyDescent="0.3">
      <c r="A250" s="8">
        <v>22</v>
      </c>
      <c r="B250" s="8">
        <v>18</v>
      </c>
      <c r="C250" s="8">
        <v>3057</v>
      </c>
      <c r="D250" s="16">
        <v>-4.3738440000000003E-2</v>
      </c>
      <c r="E250" s="8">
        <v>-2.1869220000000002E-2</v>
      </c>
    </row>
    <row r="251" spans="1:5" x14ac:dyDescent="0.3">
      <c r="A251" s="8">
        <v>22</v>
      </c>
      <c r="B251" s="8">
        <v>19</v>
      </c>
      <c r="C251" s="8">
        <v>3043</v>
      </c>
      <c r="D251" s="16">
        <v>-1.9913670000000001E-2</v>
      </c>
      <c r="E251" s="8">
        <v>-9.9568350000000007E-3</v>
      </c>
    </row>
    <row r="252" spans="1:5" x14ac:dyDescent="0.3">
      <c r="A252" s="8">
        <v>22</v>
      </c>
      <c r="B252" s="8">
        <v>20</v>
      </c>
      <c r="C252" s="8">
        <v>3045</v>
      </c>
      <c r="D252" s="16">
        <v>-1.01522E-2</v>
      </c>
      <c r="E252" s="8">
        <v>-5.0761000000000001E-3</v>
      </c>
    </row>
    <row r="253" spans="1:5" x14ac:dyDescent="0.3">
      <c r="A253" s="8">
        <v>22</v>
      </c>
      <c r="B253" s="8">
        <v>21</v>
      </c>
      <c r="C253" s="8">
        <v>3051</v>
      </c>
      <c r="D253" s="16">
        <v>-5.045669E-3</v>
      </c>
      <c r="E253" s="8">
        <v>-2.5228345E-3</v>
      </c>
    </row>
    <row r="254" spans="1:5" x14ac:dyDescent="0.3">
      <c r="A254" s="8">
        <v>22</v>
      </c>
      <c r="B254" s="8">
        <v>22</v>
      </c>
      <c r="C254" s="8">
        <v>3143</v>
      </c>
      <c r="D254" s="16">
        <v>1.0565420000000001</v>
      </c>
      <c r="E254" s="8"/>
    </row>
    <row r="255" spans="1:5" x14ac:dyDescent="0.3">
      <c r="A255" s="8">
        <v>23</v>
      </c>
      <c r="B255" s="8">
        <v>1</v>
      </c>
      <c r="C255" s="8">
        <v>3060</v>
      </c>
      <c r="D255" s="16">
        <v>-4.1735670000000002E-2</v>
      </c>
      <c r="E255" s="8">
        <v>-2.0867835000000001E-2</v>
      </c>
    </row>
    <row r="256" spans="1:5" x14ac:dyDescent="0.3">
      <c r="A256" s="8">
        <v>23</v>
      </c>
      <c r="B256" s="8">
        <v>2</v>
      </c>
      <c r="C256" s="8">
        <v>3033</v>
      </c>
      <c r="D256" s="16">
        <v>-4.4571989999999999E-2</v>
      </c>
      <c r="E256" s="8">
        <v>-2.2285994999999999E-2</v>
      </c>
    </row>
    <row r="257" spans="1:5" x14ac:dyDescent="0.3">
      <c r="A257" s="8">
        <v>23</v>
      </c>
      <c r="B257" s="8">
        <v>3</v>
      </c>
      <c r="C257" s="8">
        <v>3058</v>
      </c>
      <c r="D257" s="16">
        <v>6.1994069999999997E-3</v>
      </c>
      <c r="E257" s="8">
        <v>3.0997034999999998E-3</v>
      </c>
    </row>
    <row r="258" spans="1:5" x14ac:dyDescent="0.3">
      <c r="A258" s="8">
        <v>23</v>
      </c>
      <c r="B258" s="8">
        <v>4</v>
      </c>
      <c r="C258" s="8">
        <v>3035</v>
      </c>
      <c r="D258" s="16">
        <v>6.218599E-3</v>
      </c>
      <c r="E258" s="8">
        <v>3.1092995E-3</v>
      </c>
    </row>
    <row r="259" spans="1:5" x14ac:dyDescent="0.3">
      <c r="A259" s="8">
        <v>23</v>
      </c>
      <c r="B259" s="8">
        <v>5</v>
      </c>
      <c r="C259" s="8">
        <v>3018</v>
      </c>
      <c r="D259" s="16">
        <v>-4.6120229999999998E-2</v>
      </c>
      <c r="E259" s="8">
        <v>-2.3060114999999999E-2</v>
      </c>
    </row>
    <row r="260" spans="1:5" x14ac:dyDescent="0.3">
      <c r="A260" s="8">
        <v>23</v>
      </c>
      <c r="B260" s="8">
        <v>6</v>
      </c>
      <c r="C260" s="8">
        <v>3039</v>
      </c>
      <c r="D260" s="16">
        <v>1.168283E-2</v>
      </c>
      <c r="E260" s="8">
        <v>5.841415E-3</v>
      </c>
    </row>
    <row r="261" spans="1:5" x14ac:dyDescent="0.3">
      <c r="A261" s="8">
        <v>23</v>
      </c>
      <c r="B261" s="8">
        <v>7</v>
      </c>
      <c r="C261" s="8">
        <v>3033</v>
      </c>
      <c r="D261" s="16">
        <v>3.0563460000000001E-2</v>
      </c>
      <c r="E261" s="8">
        <v>1.528173E-2</v>
      </c>
    </row>
    <row r="262" spans="1:5" x14ac:dyDescent="0.3">
      <c r="A262" s="8">
        <v>23</v>
      </c>
      <c r="B262" s="8">
        <v>8</v>
      </c>
      <c r="C262" s="8">
        <v>3047</v>
      </c>
      <c r="D262" s="16">
        <v>3.5422330000000001E-3</v>
      </c>
      <c r="E262" s="8">
        <v>1.7711165000000001E-3</v>
      </c>
    </row>
    <row r="263" spans="1:5" x14ac:dyDescent="0.3">
      <c r="A263" s="8">
        <v>23</v>
      </c>
      <c r="B263" s="8">
        <v>9</v>
      </c>
      <c r="C263" s="8">
        <v>3039</v>
      </c>
      <c r="D263" s="16">
        <v>-5.10035E-2</v>
      </c>
      <c r="E263" s="8">
        <v>-2.550175E-2</v>
      </c>
    </row>
    <row r="264" spans="1:5" x14ac:dyDescent="0.3">
      <c r="A264" s="8">
        <v>23</v>
      </c>
      <c r="B264" s="8">
        <v>10</v>
      </c>
      <c r="C264" s="8">
        <v>3032</v>
      </c>
      <c r="D264" s="16">
        <v>-1.7525900000000001E-2</v>
      </c>
      <c r="E264" s="8">
        <v>-8.7629500000000003E-3</v>
      </c>
    </row>
    <row r="265" spans="1:5" x14ac:dyDescent="0.3">
      <c r="A265" s="8">
        <v>23</v>
      </c>
      <c r="B265" s="8">
        <v>11</v>
      </c>
      <c r="C265" s="8">
        <v>3037</v>
      </c>
      <c r="D265" s="16">
        <v>-7.2191379999999999E-2</v>
      </c>
      <c r="E265" s="8">
        <v>-3.609569E-2</v>
      </c>
    </row>
    <row r="266" spans="1:5" x14ac:dyDescent="0.3">
      <c r="A266" s="8">
        <v>23</v>
      </c>
      <c r="B266" s="8">
        <v>12</v>
      </c>
      <c r="C266" s="8">
        <v>3053</v>
      </c>
      <c r="D266" s="16">
        <v>-2.7995900000000001E-2</v>
      </c>
      <c r="E266" s="8">
        <v>-1.399795E-2</v>
      </c>
    </row>
    <row r="267" spans="1:5" x14ac:dyDescent="0.3">
      <c r="A267" s="8">
        <v>23</v>
      </c>
      <c r="B267" s="8">
        <v>13</v>
      </c>
      <c r="C267" s="8">
        <v>3032</v>
      </c>
      <c r="D267" s="16">
        <v>5.626023E-3</v>
      </c>
      <c r="E267" s="8">
        <v>2.8130115E-3</v>
      </c>
    </row>
    <row r="268" spans="1:5" x14ac:dyDescent="0.3">
      <c r="A268" s="8">
        <v>23</v>
      </c>
      <c r="B268" s="8">
        <v>14</v>
      </c>
      <c r="C268" s="8">
        <v>3029</v>
      </c>
      <c r="D268" s="16">
        <v>-1.4027390000000001E-2</v>
      </c>
      <c r="E268" s="8">
        <v>-7.0136950000000003E-3</v>
      </c>
    </row>
    <row r="269" spans="1:5" x14ac:dyDescent="0.3">
      <c r="A269" s="8">
        <v>23</v>
      </c>
      <c r="B269" s="8">
        <v>15</v>
      </c>
      <c r="C269" s="8">
        <v>3042</v>
      </c>
      <c r="D269" s="16">
        <v>-1.397231E-2</v>
      </c>
      <c r="E269" s="8">
        <v>-6.986155E-3</v>
      </c>
    </row>
    <row r="270" spans="1:5" x14ac:dyDescent="0.3">
      <c r="A270" s="8">
        <v>23</v>
      </c>
      <c r="B270" s="8">
        <v>16</v>
      </c>
      <c r="C270" s="8">
        <v>3044</v>
      </c>
      <c r="D270" s="16">
        <v>-1.9841729999999998E-2</v>
      </c>
      <c r="E270" s="8">
        <v>-9.9208649999999992E-3</v>
      </c>
    </row>
    <row r="271" spans="1:5" x14ac:dyDescent="0.3">
      <c r="A271" s="8">
        <v>23</v>
      </c>
      <c r="B271" s="8">
        <v>17</v>
      </c>
      <c r="C271" s="8">
        <v>3043</v>
      </c>
      <c r="D271" s="16">
        <v>1.0892209999999999E-2</v>
      </c>
      <c r="E271" s="8">
        <v>5.4461049999999997E-3</v>
      </c>
    </row>
    <row r="272" spans="1:5" x14ac:dyDescent="0.3">
      <c r="A272" s="8">
        <v>23</v>
      </c>
      <c r="B272" s="8">
        <v>18</v>
      </c>
      <c r="C272" s="8">
        <v>3056</v>
      </c>
      <c r="D272" s="16">
        <v>1.423728E-2</v>
      </c>
      <c r="E272" s="8">
        <v>7.1186399999999999E-3</v>
      </c>
    </row>
    <row r="273" spans="1:5" x14ac:dyDescent="0.3">
      <c r="A273" s="8">
        <v>23</v>
      </c>
      <c r="B273" s="8">
        <v>19</v>
      </c>
      <c r="C273" s="8">
        <v>3042</v>
      </c>
      <c r="D273" s="16">
        <v>7.5882520000000002E-3</v>
      </c>
      <c r="E273" s="8">
        <v>3.7941260000000001E-3</v>
      </c>
    </row>
    <row r="274" spans="1:5" x14ac:dyDescent="0.3">
      <c r="A274" s="8">
        <v>23</v>
      </c>
      <c r="B274" s="8">
        <v>20</v>
      </c>
      <c r="C274" s="8">
        <v>3047</v>
      </c>
      <c r="D274" s="16">
        <v>-1.1493059999999999E-2</v>
      </c>
      <c r="E274" s="8">
        <v>-5.7465299999999997E-3</v>
      </c>
    </row>
    <row r="275" spans="1:5" x14ac:dyDescent="0.3">
      <c r="A275" s="8">
        <v>23</v>
      </c>
      <c r="B275" s="8">
        <v>21</v>
      </c>
      <c r="C275" s="8">
        <v>3048</v>
      </c>
      <c r="D275" s="16">
        <v>-4.9957050000000003E-2</v>
      </c>
      <c r="E275" s="8">
        <v>-2.4978525000000001E-2</v>
      </c>
    </row>
    <row r="276" spans="1:5" x14ac:dyDescent="0.3">
      <c r="A276" s="8">
        <v>23</v>
      </c>
      <c r="B276" s="8">
        <v>22</v>
      </c>
      <c r="C276" s="8">
        <v>3039</v>
      </c>
      <c r="D276" s="16">
        <v>-3.3558699999999997E-2</v>
      </c>
      <c r="E276" s="8">
        <v>-1.6779349999999998E-2</v>
      </c>
    </row>
    <row r="277" spans="1:5" x14ac:dyDescent="0.3">
      <c r="A277" s="8">
        <v>23</v>
      </c>
      <c r="B277" s="8">
        <v>23</v>
      </c>
      <c r="C277" s="8">
        <v>3142</v>
      </c>
      <c r="D277" s="16">
        <v>1.1246179999999999</v>
      </c>
      <c r="E277" s="8"/>
    </row>
    <row r="278" spans="1:5" x14ac:dyDescent="0.3">
      <c r="A278" s="8">
        <v>24</v>
      </c>
      <c r="B278" s="8">
        <v>1</v>
      </c>
      <c r="C278" s="8">
        <v>3086</v>
      </c>
      <c r="D278" s="16">
        <v>7.3734389999999999E-3</v>
      </c>
      <c r="E278" s="8">
        <v>3.6867194999999999E-3</v>
      </c>
    </row>
    <row r="279" spans="1:5" x14ac:dyDescent="0.3">
      <c r="A279" s="8">
        <v>24</v>
      </c>
      <c r="B279" s="8">
        <v>2</v>
      </c>
      <c r="C279" s="8">
        <v>3055</v>
      </c>
      <c r="D279" s="16">
        <v>1.240425E-2</v>
      </c>
      <c r="E279" s="8">
        <v>6.2021250000000002E-3</v>
      </c>
    </row>
    <row r="280" spans="1:5" x14ac:dyDescent="0.3">
      <c r="A280" s="8">
        <v>24</v>
      </c>
      <c r="B280" s="8">
        <v>3</v>
      </c>
      <c r="C280" s="8">
        <v>3080</v>
      </c>
      <c r="D280" s="16">
        <v>-2.1158570000000001E-3</v>
      </c>
      <c r="E280" s="8">
        <v>-1.0579285E-3</v>
      </c>
    </row>
    <row r="281" spans="1:5" x14ac:dyDescent="0.3">
      <c r="A281" s="8">
        <v>24</v>
      </c>
      <c r="B281" s="8">
        <v>4</v>
      </c>
      <c r="C281" s="8">
        <v>3056</v>
      </c>
      <c r="D281" s="16">
        <v>2.1458040000000001E-2</v>
      </c>
      <c r="E281" s="8">
        <v>1.0729020000000001E-2</v>
      </c>
    </row>
    <row r="282" spans="1:5" x14ac:dyDescent="0.3">
      <c r="A282" s="8">
        <v>24</v>
      </c>
      <c r="B282" s="8">
        <v>5</v>
      </c>
      <c r="C282" s="8">
        <v>3045</v>
      </c>
      <c r="D282" s="16">
        <v>-3.7733200000000001E-2</v>
      </c>
      <c r="E282" s="8">
        <v>-1.8866600000000001E-2</v>
      </c>
    </row>
    <row r="283" spans="1:5" x14ac:dyDescent="0.3">
      <c r="A283" s="8">
        <v>24</v>
      </c>
      <c r="B283" s="8">
        <v>6</v>
      </c>
      <c r="C283" s="8">
        <v>3069</v>
      </c>
      <c r="D283" s="16">
        <v>-2.5357449999999998E-3</v>
      </c>
      <c r="E283" s="8">
        <v>-1.2678724999999999E-3</v>
      </c>
    </row>
    <row r="284" spans="1:5" x14ac:dyDescent="0.3">
      <c r="A284" s="8">
        <v>24</v>
      </c>
      <c r="B284" s="8">
        <v>7</v>
      </c>
      <c r="C284" s="8">
        <v>3061</v>
      </c>
      <c r="D284" s="16">
        <v>-5.089868E-3</v>
      </c>
      <c r="E284" s="8">
        <v>-2.544934E-3</v>
      </c>
    </row>
    <row r="285" spans="1:5" x14ac:dyDescent="0.3">
      <c r="A285" s="8">
        <v>24</v>
      </c>
      <c r="B285" s="8">
        <v>8</v>
      </c>
      <c r="C285" s="8">
        <v>3078</v>
      </c>
      <c r="D285" s="16">
        <v>1.6932860000000001E-2</v>
      </c>
      <c r="E285" s="8">
        <v>8.4664300000000005E-3</v>
      </c>
    </row>
    <row r="286" spans="1:5" x14ac:dyDescent="0.3">
      <c r="A286" s="8">
        <v>24</v>
      </c>
      <c r="B286" s="8">
        <v>9</v>
      </c>
      <c r="C286" s="8">
        <v>3069</v>
      </c>
      <c r="D286" s="16">
        <v>1.4634899999999999E-2</v>
      </c>
      <c r="E286" s="8">
        <v>7.3174499999999996E-3</v>
      </c>
    </row>
    <row r="287" spans="1:5" x14ac:dyDescent="0.3">
      <c r="A287" s="8">
        <v>24</v>
      </c>
      <c r="B287" s="8">
        <v>10</v>
      </c>
      <c r="C287" s="8">
        <v>3061</v>
      </c>
      <c r="D287" s="16">
        <v>-3.963962E-2</v>
      </c>
      <c r="E287" s="8">
        <v>-1.981981E-2</v>
      </c>
    </row>
    <row r="288" spans="1:5" x14ac:dyDescent="0.3">
      <c r="A288" s="8">
        <v>24</v>
      </c>
      <c r="B288" s="8">
        <v>11</v>
      </c>
      <c r="C288" s="8">
        <v>3062</v>
      </c>
      <c r="D288" s="16">
        <v>2.2481399999999999E-2</v>
      </c>
      <c r="E288" s="8">
        <v>1.1240699999999999E-2</v>
      </c>
    </row>
    <row r="289" spans="1:5" x14ac:dyDescent="0.3">
      <c r="A289" s="8">
        <v>24</v>
      </c>
      <c r="B289" s="8">
        <v>12</v>
      </c>
      <c r="C289" s="8">
        <v>3083</v>
      </c>
      <c r="D289" s="16">
        <v>-3.7465999999999999E-2</v>
      </c>
      <c r="E289" s="8">
        <v>-1.8733E-2</v>
      </c>
    </row>
    <row r="290" spans="1:5" x14ac:dyDescent="0.3">
      <c r="A290" s="8">
        <v>24</v>
      </c>
      <c r="B290" s="8">
        <v>13</v>
      </c>
      <c r="C290" s="8">
        <v>3062</v>
      </c>
      <c r="D290" s="16">
        <v>-3.1858049999999999E-2</v>
      </c>
      <c r="E290" s="8">
        <v>-1.5929024999999999E-2</v>
      </c>
    </row>
    <row r="291" spans="1:5" x14ac:dyDescent="0.3">
      <c r="A291" s="8">
        <v>24</v>
      </c>
      <c r="B291" s="8">
        <v>14</v>
      </c>
      <c r="C291" s="8">
        <v>3058</v>
      </c>
      <c r="D291" s="16">
        <v>-4.3550409999999998E-2</v>
      </c>
      <c r="E291" s="8">
        <v>-2.1775204999999999E-2</v>
      </c>
    </row>
    <row r="292" spans="1:5" x14ac:dyDescent="0.3">
      <c r="A292" s="8">
        <v>24</v>
      </c>
      <c r="B292" s="8">
        <v>15</v>
      </c>
      <c r="C292" s="8">
        <v>3064</v>
      </c>
      <c r="D292" s="16">
        <v>7.8895949999999992E-3</v>
      </c>
      <c r="E292" s="8">
        <v>3.9447974999999996E-3</v>
      </c>
    </row>
    <row r="293" spans="1:5" x14ac:dyDescent="0.3">
      <c r="A293" s="8">
        <v>24</v>
      </c>
      <c r="B293" s="8">
        <v>16</v>
      </c>
      <c r="C293" s="8">
        <v>3077</v>
      </c>
      <c r="D293" s="16">
        <v>3.0085919999999999E-2</v>
      </c>
      <c r="E293" s="8">
        <v>1.5042959999999999E-2</v>
      </c>
    </row>
    <row r="294" spans="1:5" x14ac:dyDescent="0.3">
      <c r="A294" s="8">
        <v>24</v>
      </c>
      <c r="B294" s="8">
        <v>17</v>
      </c>
      <c r="C294" s="8">
        <v>3066</v>
      </c>
      <c r="D294" s="16">
        <v>7.6363569999999999E-3</v>
      </c>
      <c r="E294" s="8">
        <v>3.8181784999999999E-3</v>
      </c>
    </row>
    <row r="295" spans="1:5" x14ac:dyDescent="0.3">
      <c r="A295" s="8">
        <v>24</v>
      </c>
      <c r="B295" s="8">
        <v>18</v>
      </c>
      <c r="C295" s="8">
        <v>3086</v>
      </c>
      <c r="D295" s="16">
        <v>-3.6290610000000001E-2</v>
      </c>
      <c r="E295" s="8">
        <v>-1.8145305E-2</v>
      </c>
    </row>
    <row r="296" spans="1:5" x14ac:dyDescent="0.3">
      <c r="A296" s="8">
        <v>24</v>
      </c>
      <c r="B296" s="8">
        <v>19</v>
      </c>
      <c r="C296" s="8">
        <v>3066</v>
      </c>
      <c r="D296" s="16">
        <v>1.2833000000000001E-2</v>
      </c>
      <c r="E296" s="8">
        <v>6.4165000000000003E-3</v>
      </c>
    </row>
    <row r="297" spans="1:5" x14ac:dyDescent="0.3">
      <c r="A297" s="8">
        <v>24</v>
      </c>
      <c r="B297" s="8">
        <v>20</v>
      </c>
      <c r="C297" s="8">
        <v>3074</v>
      </c>
      <c r="D297" s="16">
        <v>-3.4923990000000002E-2</v>
      </c>
      <c r="E297" s="8">
        <v>-1.7461995000000001E-2</v>
      </c>
    </row>
    <row r="298" spans="1:5" x14ac:dyDescent="0.3">
      <c r="A298" s="8">
        <v>24</v>
      </c>
      <c r="B298" s="8">
        <v>21</v>
      </c>
      <c r="C298" s="8">
        <v>3073</v>
      </c>
      <c r="D298" s="16">
        <v>4.0503849999999999E-4</v>
      </c>
      <c r="E298" s="8">
        <v>2.0251924999999999E-4</v>
      </c>
    </row>
    <row r="299" spans="1:5" x14ac:dyDescent="0.3">
      <c r="A299" s="8">
        <v>24</v>
      </c>
      <c r="B299" s="8">
        <v>22</v>
      </c>
      <c r="C299" s="8">
        <v>3065</v>
      </c>
      <c r="D299" s="16">
        <v>9.0675359999999993E-3</v>
      </c>
      <c r="E299" s="8">
        <v>4.5337679999999997E-3</v>
      </c>
    </row>
    <row r="300" spans="1:5" x14ac:dyDescent="0.3">
      <c r="A300" s="8">
        <v>24</v>
      </c>
      <c r="B300" s="8">
        <v>23</v>
      </c>
      <c r="C300" s="8">
        <v>3059</v>
      </c>
      <c r="D300" s="16">
        <v>5.2007009999999999E-2</v>
      </c>
      <c r="E300" s="8">
        <v>2.6003505E-2</v>
      </c>
    </row>
    <row r="301" spans="1:5" x14ac:dyDescent="0.3">
      <c r="A301" s="8">
        <v>24</v>
      </c>
      <c r="B301" s="8">
        <v>24</v>
      </c>
      <c r="C301" s="8">
        <v>3169</v>
      </c>
      <c r="D301" s="16">
        <v>1.0880320000000001</v>
      </c>
      <c r="E301" s="8"/>
    </row>
    <row r="302" spans="1:5" x14ac:dyDescent="0.3">
      <c r="A302" s="8">
        <v>25</v>
      </c>
      <c r="B302" s="8">
        <v>1</v>
      </c>
      <c r="C302" s="8">
        <v>3067</v>
      </c>
      <c r="D302" s="16">
        <v>-3.4200130000000002E-2</v>
      </c>
      <c r="E302" s="8">
        <v>-1.7100065000000001E-2</v>
      </c>
    </row>
    <row r="303" spans="1:5" x14ac:dyDescent="0.3">
      <c r="A303" s="8">
        <v>25</v>
      </c>
      <c r="B303" s="8">
        <v>2</v>
      </c>
      <c r="C303" s="8">
        <v>3036</v>
      </c>
      <c r="D303" s="16">
        <v>-6.9006849999999995E-2</v>
      </c>
      <c r="E303" s="8">
        <v>-3.4503424999999997E-2</v>
      </c>
    </row>
    <row r="304" spans="1:5" x14ac:dyDescent="0.3">
      <c r="A304" s="8">
        <v>25</v>
      </c>
      <c r="B304" s="8">
        <v>3</v>
      </c>
      <c r="C304" s="8">
        <v>3063</v>
      </c>
      <c r="D304" s="16">
        <v>1.401165E-2</v>
      </c>
      <c r="E304" s="8">
        <v>7.0058250000000002E-3</v>
      </c>
    </row>
    <row r="305" spans="1:5" x14ac:dyDescent="0.3">
      <c r="A305" s="8">
        <v>25</v>
      </c>
      <c r="B305" s="8">
        <v>4</v>
      </c>
      <c r="C305" s="8">
        <v>3043</v>
      </c>
      <c r="D305" s="16">
        <v>-1.460121E-2</v>
      </c>
      <c r="E305" s="8">
        <v>-7.3006049999999999E-3</v>
      </c>
    </row>
    <row r="306" spans="1:5" x14ac:dyDescent="0.3">
      <c r="A306" s="8">
        <v>25</v>
      </c>
      <c r="B306" s="8">
        <v>5</v>
      </c>
      <c r="C306" s="8">
        <v>3028</v>
      </c>
      <c r="D306" s="16">
        <v>4.2528430000000001E-3</v>
      </c>
      <c r="E306" s="8">
        <v>2.1264215E-3</v>
      </c>
    </row>
    <row r="307" spans="1:5" x14ac:dyDescent="0.3">
      <c r="A307" s="8">
        <v>25</v>
      </c>
      <c r="B307" s="8">
        <v>6</v>
      </c>
      <c r="C307" s="8">
        <v>3047</v>
      </c>
      <c r="D307" s="16">
        <v>-2.2859870000000001E-2</v>
      </c>
      <c r="E307" s="8">
        <v>-1.1429935E-2</v>
      </c>
    </row>
    <row r="308" spans="1:5" x14ac:dyDescent="0.3">
      <c r="A308" s="8">
        <v>25</v>
      </c>
      <c r="B308" s="8">
        <v>7</v>
      </c>
      <c r="C308" s="8">
        <v>3041</v>
      </c>
      <c r="D308" s="16">
        <v>9.6383189999999994E-3</v>
      </c>
      <c r="E308" s="8">
        <v>4.8191594999999997E-3</v>
      </c>
    </row>
    <row r="309" spans="1:5" x14ac:dyDescent="0.3">
      <c r="A309" s="8">
        <v>25</v>
      </c>
      <c r="B309" s="8">
        <v>8</v>
      </c>
      <c r="C309" s="8">
        <v>3059</v>
      </c>
      <c r="D309" s="16">
        <v>-7.2854950000000003E-3</v>
      </c>
      <c r="E309" s="8">
        <v>-3.6427475000000002E-3</v>
      </c>
    </row>
    <row r="310" spans="1:5" x14ac:dyDescent="0.3">
      <c r="A310" s="8">
        <v>25</v>
      </c>
      <c r="B310" s="8">
        <v>9</v>
      </c>
      <c r="C310" s="8">
        <v>3050</v>
      </c>
      <c r="D310" s="16">
        <v>7.4129059999999997E-2</v>
      </c>
      <c r="E310" s="8">
        <v>3.7064529999999998E-2</v>
      </c>
    </row>
    <row r="311" spans="1:5" x14ac:dyDescent="0.3">
      <c r="A311" s="8">
        <v>25</v>
      </c>
      <c r="B311" s="8">
        <v>10</v>
      </c>
      <c r="C311" s="8">
        <v>3041</v>
      </c>
      <c r="D311" s="16">
        <v>4.5114509999999997E-2</v>
      </c>
      <c r="E311" s="8">
        <v>2.2557254999999998E-2</v>
      </c>
    </row>
    <row r="312" spans="1:5" x14ac:dyDescent="0.3">
      <c r="A312" s="8">
        <v>25</v>
      </c>
      <c r="B312" s="8">
        <v>11</v>
      </c>
      <c r="C312" s="8">
        <v>3045</v>
      </c>
      <c r="D312" s="16">
        <v>-4.039214E-2</v>
      </c>
      <c r="E312" s="8">
        <v>-2.019607E-2</v>
      </c>
    </row>
    <row r="313" spans="1:5" x14ac:dyDescent="0.3">
      <c r="A313" s="8">
        <v>25</v>
      </c>
      <c r="B313" s="8">
        <v>12</v>
      </c>
      <c r="C313" s="8">
        <v>3061</v>
      </c>
      <c r="D313" s="16">
        <v>-3.4776920000000003E-2</v>
      </c>
      <c r="E313" s="8">
        <v>-1.7388460000000001E-2</v>
      </c>
    </row>
    <row r="314" spans="1:5" x14ac:dyDescent="0.3">
      <c r="A314" s="8">
        <v>25</v>
      </c>
      <c r="B314" s="8">
        <v>13</v>
      </c>
      <c r="C314" s="8">
        <v>3039</v>
      </c>
      <c r="D314" s="16">
        <v>-1.838074E-2</v>
      </c>
      <c r="E314" s="8">
        <v>-9.1903699999999998E-3</v>
      </c>
    </row>
    <row r="315" spans="1:5" x14ac:dyDescent="0.3">
      <c r="A315" s="8">
        <v>25</v>
      </c>
      <c r="B315" s="8">
        <v>14</v>
      </c>
      <c r="C315" s="8">
        <v>3040</v>
      </c>
      <c r="D315" s="16">
        <v>-3.5250030000000002E-2</v>
      </c>
      <c r="E315" s="8">
        <v>-1.7625015000000001E-2</v>
      </c>
    </row>
    <row r="316" spans="1:5" x14ac:dyDescent="0.3">
      <c r="A316" s="8">
        <v>25</v>
      </c>
      <c r="B316" s="8">
        <v>15</v>
      </c>
      <c r="C316" s="8">
        <v>3050</v>
      </c>
      <c r="D316" s="16">
        <v>-1.649988E-3</v>
      </c>
      <c r="E316" s="8">
        <v>-8.2499400000000001E-4</v>
      </c>
    </row>
    <row r="317" spans="1:5" x14ac:dyDescent="0.3">
      <c r="A317" s="8">
        <v>25</v>
      </c>
      <c r="B317" s="8">
        <v>16</v>
      </c>
      <c r="C317" s="8">
        <v>3055</v>
      </c>
      <c r="D317" s="16">
        <v>-1.1563759999999999E-2</v>
      </c>
      <c r="E317" s="8">
        <v>-5.7818799999999997E-3</v>
      </c>
    </row>
    <row r="318" spans="1:5" x14ac:dyDescent="0.3">
      <c r="A318" s="8">
        <v>25</v>
      </c>
      <c r="B318" s="8">
        <v>17</v>
      </c>
      <c r="C318" s="8">
        <v>3052</v>
      </c>
      <c r="D318" s="16">
        <v>-4.5375020000000002E-2</v>
      </c>
      <c r="E318" s="8">
        <v>-2.2687510000000001E-2</v>
      </c>
    </row>
    <row r="319" spans="1:5" x14ac:dyDescent="0.3">
      <c r="A319" s="8">
        <v>25</v>
      </c>
      <c r="B319" s="8">
        <v>18</v>
      </c>
      <c r="C319" s="8">
        <v>3068</v>
      </c>
      <c r="D319" s="16">
        <v>-6.0402639999999999E-5</v>
      </c>
      <c r="E319" s="8">
        <v>-3.020132E-5</v>
      </c>
    </row>
    <row r="320" spans="1:5" x14ac:dyDescent="0.3">
      <c r="A320" s="8">
        <v>25</v>
      </c>
      <c r="B320" s="8">
        <v>19</v>
      </c>
      <c r="C320" s="8">
        <v>3049</v>
      </c>
      <c r="D320" s="16">
        <v>-2.2770269999999999E-2</v>
      </c>
      <c r="E320" s="8">
        <v>-1.1385134999999999E-2</v>
      </c>
    </row>
    <row r="321" spans="1:5" x14ac:dyDescent="0.3">
      <c r="A321" s="8">
        <v>25</v>
      </c>
      <c r="B321" s="8">
        <v>20</v>
      </c>
      <c r="C321" s="8">
        <v>3055</v>
      </c>
      <c r="D321" s="16">
        <v>-5.4659369999999997E-3</v>
      </c>
      <c r="E321" s="8">
        <v>-2.7329684999999999E-3</v>
      </c>
    </row>
    <row r="322" spans="1:5" x14ac:dyDescent="0.3">
      <c r="A322" s="8">
        <v>25</v>
      </c>
      <c r="B322" s="8">
        <v>21</v>
      </c>
      <c r="C322" s="8">
        <v>3054</v>
      </c>
      <c r="D322" s="16">
        <v>-1.9488999999999999E-2</v>
      </c>
      <c r="E322" s="8">
        <v>-9.7444999999999997E-3</v>
      </c>
    </row>
    <row r="323" spans="1:5" x14ac:dyDescent="0.3">
      <c r="A323" s="8">
        <v>25</v>
      </c>
      <c r="B323" s="8">
        <v>22</v>
      </c>
      <c r="C323" s="8">
        <v>3042</v>
      </c>
      <c r="D323" s="16">
        <v>-4.1940489999999997E-2</v>
      </c>
      <c r="E323" s="8">
        <v>-2.0970244999999998E-2</v>
      </c>
    </row>
    <row r="324" spans="1:5" x14ac:dyDescent="0.3">
      <c r="A324" s="8">
        <v>25</v>
      </c>
      <c r="B324" s="8">
        <v>23</v>
      </c>
      <c r="C324" s="8">
        <v>3039</v>
      </c>
      <c r="D324" s="16">
        <v>-1.672336E-2</v>
      </c>
      <c r="E324" s="8">
        <v>-8.3616799999999998E-3</v>
      </c>
    </row>
    <row r="325" spans="1:5" x14ac:dyDescent="0.3">
      <c r="A325" s="8">
        <v>25</v>
      </c>
      <c r="B325" s="8">
        <v>24</v>
      </c>
      <c r="C325" s="8">
        <v>3068</v>
      </c>
      <c r="D325" s="16">
        <v>-6.63636E-3</v>
      </c>
      <c r="E325" s="8">
        <v>-3.31818E-3</v>
      </c>
    </row>
    <row r="326" spans="1:5" x14ac:dyDescent="0.3">
      <c r="A326" s="8">
        <v>25</v>
      </c>
      <c r="B326" s="8">
        <v>25</v>
      </c>
      <c r="C326" s="8">
        <v>3152</v>
      </c>
      <c r="D326" s="16">
        <v>1.143413</v>
      </c>
      <c r="E326" s="8"/>
    </row>
    <row r="327" spans="1:5" x14ac:dyDescent="0.3">
      <c r="A327" s="8">
        <v>26</v>
      </c>
      <c r="B327" s="8">
        <v>1</v>
      </c>
      <c r="C327" s="8">
        <v>3081</v>
      </c>
      <c r="D327" s="16">
        <v>-3.9924059999999997E-2</v>
      </c>
      <c r="E327" s="8">
        <v>-1.9962029999999999E-2</v>
      </c>
    </row>
    <row r="328" spans="1:5" x14ac:dyDescent="0.3">
      <c r="A328" s="8">
        <v>26</v>
      </c>
      <c r="B328" s="8">
        <v>2</v>
      </c>
      <c r="C328" s="8">
        <v>3046</v>
      </c>
      <c r="D328" s="16">
        <v>1.5894010000000001E-3</v>
      </c>
      <c r="E328" s="8">
        <v>7.9470050000000003E-4</v>
      </c>
    </row>
    <row r="329" spans="1:5" x14ac:dyDescent="0.3">
      <c r="A329" s="8">
        <v>26</v>
      </c>
      <c r="B329" s="8">
        <v>3</v>
      </c>
      <c r="C329" s="8">
        <v>3077</v>
      </c>
      <c r="D329" s="16">
        <v>4.8349530000000002E-2</v>
      </c>
      <c r="E329" s="8">
        <v>2.4174765000000001E-2</v>
      </c>
    </row>
    <row r="330" spans="1:5" x14ac:dyDescent="0.3">
      <c r="A330" s="8">
        <v>26</v>
      </c>
      <c r="B330" s="8">
        <v>4</v>
      </c>
      <c r="C330" s="8">
        <v>3052</v>
      </c>
      <c r="D330" s="16">
        <v>-2.9665839999999999E-2</v>
      </c>
      <c r="E330" s="8">
        <v>-1.4832919999999999E-2</v>
      </c>
    </row>
    <row r="331" spans="1:5" x14ac:dyDescent="0.3">
      <c r="A331" s="8">
        <v>26</v>
      </c>
      <c r="B331" s="8">
        <v>5</v>
      </c>
      <c r="C331" s="8">
        <v>3041</v>
      </c>
      <c r="D331" s="16">
        <v>-1.4356900000000001E-2</v>
      </c>
      <c r="E331" s="8">
        <v>-7.1784500000000003E-3</v>
      </c>
    </row>
    <row r="332" spans="1:5" x14ac:dyDescent="0.3">
      <c r="A332" s="8">
        <v>26</v>
      </c>
      <c r="B332" s="8">
        <v>6</v>
      </c>
      <c r="C332" s="8">
        <v>3059</v>
      </c>
      <c r="D332" s="16">
        <v>2.6846370000000001E-2</v>
      </c>
      <c r="E332" s="8">
        <v>1.3423185000000001E-2</v>
      </c>
    </row>
    <row r="333" spans="1:5" x14ac:dyDescent="0.3">
      <c r="A333" s="8">
        <v>26</v>
      </c>
      <c r="B333" s="8">
        <v>7</v>
      </c>
      <c r="C333" s="8">
        <v>3051</v>
      </c>
      <c r="D333" s="16">
        <v>-1.2280549999999999E-2</v>
      </c>
      <c r="E333" s="8">
        <v>-6.1402749999999997E-3</v>
      </c>
    </row>
    <row r="334" spans="1:5" x14ac:dyDescent="0.3">
      <c r="A334" s="8">
        <v>26</v>
      </c>
      <c r="B334" s="8">
        <v>8</v>
      </c>
      <c r="C334" s="8">
        <v>3071</v>
      </c>
      <c r="D334" s="16">
        <v>-1.647475E-2</v>
      </c>
      <c r="E334" s="8">
        <v>-8.2373749999999999E-3</v>
      </c>
    </row>
    <row r="335" spans="1:5" x14ac:dyDescent="0.3">
      <c r="A335" s="8">
        <v>26</v>
      </c>
      <c r="B335" s="8">
        <v>9</v>
      </c>
      <c r="C335" s="8">
        <v>3060</v>
      </c>
      <c r="D335" s="16">
        <v>-1.154341E-2</v>
      </c>
      <c r="E335" s="8">
        <v>-5.7717050000000002E-3</v>
      </c>
    </row>
    <row r="336" spans="1:5" x14ac:dyDescent="0.3">
      <c r="A336" s="8">
        <v>26</v>
      </c>
      <c r="B336" s="8">
        <v>10</v>
      </c>
      <c r="C336" s="8">
        <v>3052</v>
      </c>
      <c r="D336" s="16">
        <v>-5.0561580000000002E-2</v>
      </c>
      <c r="E336" s="8">
        <v>-2.5280790000000001E-2</v>
      </c>
    </row>
    <row r="337" spans="1:5" x14ac:dyDescent="0.3">
      <c r="A337" s="8">
        <v>26</v>
      </c>
      <c r="B337" s="8">
        <v>11</v>
      </c>
      <c r="C337" s="8">
        <v>3051</v>
      </c>
      <c r="D337" s="16">
        <v>8.2129439999999998E-3</v>
      </c>
      <c r="E337" s="8">
        <v>4.1064719999999999E-3</v>
      </c>
    </row>
    <row r="338" spans="1:5" x14ac:dyDescent="0.3">
      <c r="A338" s="8">
        <v>26</v>
      </c>
      <c r="B338" s="8">
        <v>12</v>
      </c>
      <c r="C338" s="8">
        <v>3075</v>
      </c>
      <c r="D338" s="16">
        <v>2.7426720000000002E-2</v>
      </c>
      <c r="E338" s="8">
        <v>1.3713360000000001E-2</v>
      </c>
    </row>
    <row r="339" spans="1:5" x14ac:dyDescent="0.3">
      <c r="A339" s="8">
        <v>26</v>
      </c>
      <c r="B339" s="8">
        <v>13</v>
      </c>
      <c r="C339" s="8">
        <v>3052</v>
      </c>
      <c r="D339" s="16">
        <v>-2.120911E-2</v>
      </c>
      <c r="E339" s="8">
        <v>-1.0604555E-2</v>
      </c>
    </row>
    <row r="340" spans="1:5" x14ac:dyDescent="0.3">
      <c r="A340" s="8">
        <v>26</v>
      </c>
      <c r="B340" s="8">
        <v>14</v>
      </c>
      <c r="C340" s="8">
        <v>3051</v>
      </c>
      <c r="D340" s="16">
        <v>-5.1156100000000003E-2</v>
      </c>
      <c r="E340" s="8">
        <v>-2.5578050000000001E-2</v>
      </c>
    </row>
    <row r="341" spans="1:5" x14ac:dyDescent="0.3">
      <c r="A341" s="8">
        <v>26</v>
      </c>
      <c r="B341" s="8">
        <v>15</v>
      </c>
      <c r="C341" s="8">
        <v>3064</v>
      </c>
      <c r="D341" s="16">
        <v>-4.725539E-3</v>
      </c>
      <c r="E341" s="8">
        <v>-2.3627695E-3</v>
      </c>
    </row>
    <row r="342" spans="1:5" x14ac:dyDescent="0.3">
      <c r="A342" s="8">
        <v>26</v>
      </c>
      <c r="B342" s="8">
        <v>16</v>
      </c>
      <c r="C342" s="8">
        <v>3064</v>
      </c>
      <c r="D342" s="16">
        <v>8.6309009999999999E-4</v>
      </c>
      <c r="E342" s="8">
        <v>4.3154504999999999E-4</v>
      </c>
    </row>
    <row r="343" spans="1:5" x14ac:dyDescent="0.3">
      <c r="A343" s="8">
        <v>26</v>
      </c>
      <c r="B343" s="8">
        <v>17</v>
      </c>
      <c r="C343" s="8">
        <v>3060</v>
      </c>
      <c r="D343" s="16">
        <v>-5.5214319999999997E-2</v>
      </c>
      <c r="E343" s="8">
        <v>-2.7607159999999999E-2</v>
      </c>
    </row>
    <row r="344" spans="1:5" x14ac:dyDescent="0.3">
      <c r="A344" s="8">
        <v>26</v>
      </c>
      <c r="B344" s="8">
        <v>18</v>
      </c>
      <c r="C344" s="8">
        <v>3075</v>
      </c>
      <c r="D344" s="16">
        <v>4.6823009999999998E-3</v>
      </c>
      <c r="E344" s="8">
        <v>2.3411504999999999E-3</v>
      </c>
    </row>
    <row r="345" spans="1:5" x14ac:dyDescent="0.3">
      <c r="A345" s="8">
        <v>26</v>
      </c>
      <c r="B345" s="8">
        <v>19</v>
      </c>
      <c r="C345" s="8">
        <v>3059</v>
      </c>
      <c r="D345" s="16">
        <v>-1.2415259999999999E-2</v>
      </c>
      <c r="E345" s="8">
        <v>-6.2076299999999996E-3</v>
      </c>
    </row>
    <row r="346" spans="1:5" x14ac:dyDescent="0.3">
      <c r="A346" s="8">
        <v>26</v>
      </c>
      <c r="B346" s="8">
        <v>20</v>
      </c>
      <c r="C346" s="8">
        <v>3065</v>
      </c>
      <c r="D346" s="16">
        <v>-1.1243919999999999E-2</v>
      </c>
      <c r="E346" s="8">
        <v>-5.6219599999999996E-3</v>
      </c>
    </row>
    <row r="347" spans="1:5" x14ac:dyDescent="0.3">
      <c r="A347" s="8">
        <v>26</v>
      </c>
      <c r="B347" s="8">
        <v>21</v>
      </c>
      <c r="C347" s="8">
        <v>3070</v>
      </c>
      <c r="D347" s="16">
        <v>-3.2301330000000003E-2</v>
      </c>
      <c r="E347" s="8">
        <v>-1.6150665000000002E-2</v>
      </c>
    </row>
    <row r="348" spans="1:5" x14ac:dyDescent="0.3">
      <c r="A348" s="8">
        <v>26</v>
      </c>
      <c r="B348" s="8">
        <v>22</v>
      </c>
      <c r="C348" s="8">
        <v>3053</v>
      </c>
      <c r="D348" s="16">
        <v>-1.6749130000000001E-2</v>
      </c>
      <c r="E348" s="8">
        <v>-8.3745650000000005E-3</v>
      </c>
    </row>
    <row r="349" spans="1:5" x14ac:dyDescent="0.3">
      <c r="A349" s="8">
        <v>26</v>
      </c>
      <c r="B349" s="8">
        <v>23</v>
      </c>
      <c r="C349" s="8">
        <v>3049</v>
      </c>
      <c r="D349" s="16">
        <v>-1.027045E-2</v>
      </c>
      <c r="E349" s="8">
        <v>-5.1352250000000002E-3</v>
      </c>
    </row>
    <row r="350" spans="1:5" x14ac:dyDescent="0.3">
      <c r="A350" s="8">
        <v>26</v>
      </c>
      <c r="B350" s="8">
        <v>24</v>
      </c>
      <c r="C350" s="8">
        <v>3080</v>
      </c>
      <c r="D350" s="16">
        <v>-4.728313E-2</v>
      </c>
      <c r="E350" s="8">
        <v>-2.3641565E-2</v>
      </c>
    </row>
    <row r="351" spans="1:5" x14ac:dyDescent="0.3">
      <c r="A351" s="8">
        <v>26</v>
      </c>
      <c r="B351" s="8">
        <v>25</v>
      </c>
      <c r="C351" s="8">
        <v>3060</v>
      </c>
      <c r="D351" s="16">
        <v>-2.7031909999999999E-2</v>
      </c>
      <c r="E351" s="8">
        <v>-1.3515955E-2</v>
      </c>
    </row>
    <row r="352" spans="1:5" x14ac:dyDescent="0.3">
      <c r="A352" s="8">
        <v>26</v>
      </c>
      <c r="B352" s="8">
        <v>26</v>
      </c>
      <c r="C352" s="8">
        <v>3161</v>
      </c>
      <c r="D352" s="16">
        <v>1.0825450000000001</v>
      </c>
      <c r="E352" s="8"/>
    </row>
    <row r="353" spans="1:5" x14ac:dyDescent="0.3">
      <c r="A353" s="8">
        <v>27</v>
      </c>
      <c r="B353" s="8">
        <v>1</v>
      </c>
      <c r="C353" s="8">
        <v>3091</v>
      </c>
      <c r="D353" s="16">
        <v>-1.4016280000000001E-2</v>
      </c>
      <c r="E353" s="8">
        <v>-7.0081400000000004E-3</v>
      </c>
    </row>
    <row r="354" spans="1:5" x14ac:dyDescent="0.3">
      <c r="A354" s="8">
        <v>27</v>
      </c>
      <c r="B354" s="8">
        <v>2</v>
      </c>
      <c r="C354" s="8">
        <v>3054</v>
      </c>
      <c r="D354" s="16">
        <v>-4.565027E-2</v>
      </c>
      <c r="E354" s="8">
        <v>-2.2825135E-2</v>
      </c>
    </row>
    <row r="355" spans="1:5" x14ac:dyDescent="0.3">
      <c r="A355" s="8">
        <v>27</v>
      </c>
      <c r="B355" s="8">
        <v>3</v>
      </c>
      <c r="C355" s="8">
        <v>3080</v>
      </c>
      <c r="D355" s="16">
        <v>-9.0717829999999999E-3</v>
      </c>
      <c r="E355" s="8">
        <v>-4.5358915E-3</v>
      </c>
    </row>
    <row r="356" spans="1:5" x14ac:dyDescent="0.3">
      <c r="A356" s="8">
        <v>27</v>
      </c>
      <c r="B356" s="8">
        <v>4</v>
      </c>
      <c r="C356" s="8">
        <v>3060</v>
      </c>
      <c r="D356" s="16">
        <v>-1.1157419999999999E-2</v>
      </c>
      <c r="E356" s="8">
        <v>-5.5787099999999997E-3</v>
      </c>
    </row>
    <row r="357" spans="1:5" x14ac:dyDescent="0.3">
      <c r="A357" s="8">
        <v>27</v>
      </c>
      <c r="B357" s="8">
        <v>5</v>
      </c>
      <c r="C357" s="8">
        <v>3049</v>
      </c>
      <c r="D357" s="16">
        <v>-9.5599329999999996E-2</v>
      </c>
      <c r="E357" s="8">
        <v>-4.7799664999999998E-2</v>
      </c>
    </row>
    <row r="358" spans="1:5" x14ac:dyDescent="0.3">
      <c r="A358" s="8">
        <v>27</v>
      </c>
      <c r="B358" s="8">
        <v>6</v>
      </c>
      <c r="C358" s="8">
        <v>3065</v>
      </c>
      <c r="D358" s="16">
        <v>5.2954269999999995E-4</v>
      </c>
      <c r="E358" s="8">
        <v>2.6477134999999997E-4</v>
      </c>
    </row>
    <row r="359" spans="1:5" x14ac:dyDescent="0.3">
      <c r="A359" s="8">
        <v>27</v>
      </c>
      <c r="B359" s="8">
        <v>7</v>
      </c>
      <c r="C359" s="8">
        <v>3061</v>
      </c>
      <c r="D359" s="16">
        <v>6.8953349999999998E-3</v>
      </c>
      <c r="E359" s="8">
        <v>3.4476674999999999E-3</v>
      </c>
    </row>
    <row r="360" spans="1:5" x14ac:dyDescent="0.3">
      <c r="A360" s="8">
        <v>27</v>
      </c>
      <c r="B360" s="8">
        <v>8</v>
      </c>
      <c r="C360" s="8">
        <v>3081</v>
      </c>
      <c r="D360" s="16">
        <v>-4.6634849999999999E-2</v>
      </c>
      <c r="E360" s="8">
        <v>-2.3317424999999999E-2</v>
      </c>
    </row>
    <row r="361" spans="1:5" x14ac:dyDescent="0.3">
      <c r="A361" s="8">
        <v>27</v>
      </c>
      <c r="B361" s="8">
        <v>9</v>
      </c>
      <c r="C361" s="8">
        <v>3071</v>
      </c>
      <c r="D361" s="16">
        <v>2.2427829999999999E-3</v>
      </c>
      <c r="E361" s="8">
        <v>1.1213915E-3</v>
      </c>
    </row>
    <row r="362" spans="1:5" x14ac:dyDescent="0.3">
      <c r="A362" s="8">
        <v>27</v>
      </c>
      <c r="B362" s="8">
        <v>10</v>
      </c>
      <c r="C362" s="8">
        <v>3060</v>
      </c>
      <c r="D362" s="16">
        <v>-1.6637530000000001E-2</v>
      </c>
      <c r="E362" s="8">
        <v>-8.3187650000000005E-3</v>
      </c>
    </row>
    <row r="363" spans="1:5" x14ac:dyDescent="0.3">
      <c r="A363" s="8">
        <v>27</v>
      </c>
      <c r="B363" s="8">
        <v>11</v>
      </c>
      <c r="C363" s="8">
        <v>3061</v>
      </c>
      <c r="D363" s="16">
        <v>-1.888447E-2</v>
      </c>
      <c r="E363" s="8">
        <v>-9.4422350000000002E-3</v>
      </c>
    </row>
    <row r="364" spans="1:5" x14ac:dyDescent="0.3">
      <c r="A364" s="8">
        <v>27</v>
      </c>
      <c r="B364" s="8">
        <v>12</v>
      </c>
      <c r="C364" s="8">
        <v>3079</v>
      </c>
      <c r="D364" s="16">
        <v>-2.762978E-2</v>
      </c>
      <c r="E364" s="8">
        <v>-1.381489E-2</v>
      </c>
    </row>
    <row r="365" spans="1:5" x14ac:dyDescent="0.3">
      <c r="A365" s="8">
        <v>27</v>
      </c>
      <c r="B365" s="8">
        <v>13</v>
      </c>
      <c r="C365" s="8">
        <v>3057</v>
      </c>
      <c r="D365" s="16">
        <v>4.5824289999999997E-2</v>
      </c>
      <c r="E365" s="8">
        <v>2.2912144999999998E-2</v>
      </c>
    </row>
    <row r="366" spans="1:5" x14ac:dyDescent="0.3">
      <c r="A366" s="8">
        <v>27</v>
      </c>
      <c r="B366" s="8">
        <v>14</v>
      </c>
      <c r="C366" s="8">
        <v>3055</v>
      </c>
      <c r="D366" s="16">
        <v>-7.8345270000000009E-3</v>
      </c>
      <c r="E366" s="8">
        <v>-3.9172635000000004E-3</v>
      </c>
    </row>
    <row r="367" spans="1:5" x14ac:dyDescent="0.3">
      <c r="A367" s="8">
        <v>27</v>
      </c>
      <c r="B367" s="8">
        <v>15</v>
      </c>
      <c r="C367" s="8">
        <v>3068</v>
      </c>
      <c r="D367" s="16">
        <v>9.8721380000000008E-3</v>
      </c>
      <c r="E367" s="8">
        <v>4.9360690000000004E-3</v>
      </c>
    </row>
    <row r="368" spans="1:5" x14ac:dyDescent="0.3">
      <c r="A368" s="8">
        <v>27</v>
      </c>
      <c r="B368" s="8">
        <v>16</v>
      </c>
      <c r="C368" s="8">
        <v>3071</v>
      </c>
      <c r="D368" s="16">
        <v>-4.9129949999999999E-2</v>
      </c>
      <c r="E368" s="8">
        <v>-2.4564974999999999E-2</v>
      </c>
    </row>
    <row r="369" spans="1:5" x14ac:dyDescent="0.3">
      <c r="A369" s="8">
        <v>27</v>
      </c>
      <c r="B369" s="8">
        <v>17</v>
      </c>
      <c r="C369" s="8">
        <v>3067</v>
      </c>
      <c r="D369" s="16">
        <v>-6.7601610000000002E-4</v>
      </c>
      <c r="E369" s="8">
        <v>-3.3800805000000001E-4</v>
      </c>
    </row>
    <row r="370" spans="1:5" x14ac:dyDescent="0.3">
      <c r="A370" s="8">
        <v>27</v>
      </c>
      <c r="B370" s="8">
        <v>18</v>
      </c>
      <c r="C370" s="8">
        <v>3085</v>
      </c>
      <c r="D370" s="16">
        <v>-7.0410330000000004E-3</v>
      </c>
      <c r="E370" s="8">
        <v>-3.5205165000000002E-3</v>
      </c>
    </row>
    <row r="371" spans="1:5" x14ac:dyDescent="0.3">
      <c r="A371" s="8">
        <v>27</v>
      </c>
      <c r="B371" s="8">
        <v>19</v>
      </c>
      <c r="C371" s="8">
        <v>3068</v>
      </c>
      <c r="D371" s="16">
        <v>-2.114162E-2</v>
      </c>
      <c r="E371" s="8">
        <v>-1.057081E-2</v>
      </c>
    </row>
    <row r="372" spans="1:5" x14ac:dyDescent="0.3">
      <c r="A372" s="8">
        <v>27</v>
      </c>
      <c r="B372" s="8">
        <v>20</v>
      </c>
      <c r="C372" s="8">
        <v>3076</v>
      </c>
      <c r="D372" s="16">
        <v>8.1738079999999994E-3</v>
      </c>
      <c r="E372" s="8">
        <v>4.0869039999999997E-3</v>
      </c>
    </row>
    <row r="373" spans="1:5" x14ac:dyDescent="0.3">
      <c r="A373" s="8">
        <v>27</v>
      </c>
      <c r="B373" s="8">
        <v>21</v>
      </c>
      <c r="C373" s="8">
        <v>3072</v>
      </c>
      <c r="D373" s="16">
        <v>-4.5146810000000004E-3</v>
      </c>
      <c r="E373" s="8">
        <v>-2.2573405000000002E-3</v>
      </c>
    </row>
    <row r="374" spans="1:5" x14ac:dyDescent="0.3">
      <c r="A374" s="8">
        <v>27</v>
      </c>
      <c r="B374" s="8">
        <v>22</v>
      </c>
      <c r="C374" s="8">
        <v>3060</v>
      </c>
      <c r="D374" s="16">
        <v>-3.9872879999999999E-2</v>
      </c>
      <c r="E374" s="8">
        <v>-1.993644E-2</v>
      </c>
    </row>
    <row r="375" spans="1:5" x14ac:dyDescent="0.3">
      <c r="A375" s="8">
        <v>27</v>
      </c>
      <c r="B375" s="8">
        <v>23</v>
      </c>
      <c r="C375" s="8">
        <v>3058</v>
      </c>
      <c r="D375" s="16">
        <v>-1.7783899999999998E-2</v>
      </c>
      <c r="E375" s="8">
        <v>-8.8919499999999992E-3</v>
      </c>
    </row>
    <row r="376" spans="1:5" x14ac:dyDescent="0.3">
      <c r="A376" s="8">
        <v>27</v>
      </c>
      <c r="B376" s="8">
        <v>24</v>
      </c>
      <c r="C376" s="8">
        <v>3087</v>
      </c>
      <c r="D376" s="16">
        <v>2.7740379999999999E-2</v>
      </c>
      <c r="E376" s="8">
        <v>1.3870189999999999E-2</v>
      </c>
    </row>
    <row r="377" spans="1:5" x14ac:dyDescent="0.3">
      <c r="A377" s="8">
        <v>27</v>
      </c>
      <c r="B377" s="8">
        <v>25</v>
      </c>
      <c r="C377" s="8">
        <v>3069</v>
      </c>
      <c r="D377" s="16">
        <v>1.1794860000000001E-2</v>
      </c>
      <c r="E377" s="8">
        <v>5.8974300000000004E-3</v>
      </c>
    </row>
    <row r="378" spans="1:5" x14ac:dyDescent="0.3">
      <c r="A378" s="8">
        <v>27</v>
      </c>
      <c r="B378" s="8">
        <v>26</v>
      </c>
      <c r="C378" s="8">
        <v>3080</v>
      </c>
      <c r="D378" s="16">
        <v>-2.169859E-2</v>
      </c>
      <c r="E378" s="8">
        <v>-1.0849295E-2</v>
      </c>
    </row>
    <row r="379" spans="1:5" x14ac:dyDescent="0.3">
      <c r="A379" s="8">
        <v>27</v>
      </c>
      <c r="B379" s="8">
        <v>27</v>
      </c>
      <c r="C379" s="8">
        <v>3170</v>
      </c>
      <c r="D379" s="16">
        <v>1.0679479999999999</v>
      </c>
      <c r="E379" s="8"/>
    </row>
    <row r="380" spans="1:5" x14ac:dyDescent="0.3">
      <c r="A380" s="8">
        <v>28</v>
      </c>
      <c r="B380" s="8">
        <v>1</v>
      </c>
      <c r="C380" s="8">
        <v>3058</v>
      </c>
      <c r="D380" s="16">
        <v>-5.6431839999999997E-2</v>
      </c>
      <c r="E380" s="8">
        <v>-2.8215919999999999E-2</v>
      </c>
    </row>
    <row r="381" spans="1:5" x14ac:dyDescent="0.3">
      <c r="A381" s="8">
        <v>28</v>
      </c>
      <c r="B381" s="8">
        <v>2</v>
      </c>
      <c r="C381" s="8">
        <v>3022</v>
      </c>
      <c r="D381" s="16">
        <v>-2.0103599999999999E-2</v>
      </c>
      <c r="E381" s="8">
        <v>-1.00518E-2</v>
      </c>
    </row>
    <row r="382" spans="1:5" x14ac:dyDescent="0.3">
      <c r="A382" s="8">
        <v>28</v>
      </c>
      <c r="B382" s="8">
        <v>3</v>
      </c>
      <c r="C382" s="8">
        <v>3052</v>
      </c>
      <c r="D382" s="16">
        <v>1.019541E-2</v>
      </c>
      <c r="E382" s="8">
        <v>5.0977050000000001E-3</v>
      </c>
    </row>
    <row r="383" spans="1:5" x14ac:dyDescent="0.3">
      <c r="A383" s="8">
        <v>28</v>
      </c>
      <c r="B383" s="8">
        <v>4</v>
      </c>
      <c r="C383" s="8">
        <v>3034</v>
      </c>
      <c r="D383" s="16">
        <v>-2.57288E-2</v>
      </c>
      <c r="E383" s="8">
        <v>-1.28644E-2</v>
      </c>
    </row>
    <row r="384" spans="1:5" x14ac:dyDescent="0.3">
      <c r="A384" s="8">
        <v>28</v>
      </c>
      <c r="B384" s="8">
        <v>5</v>
      </c>
      <c r="C384" s="8">
        <v>3019</v>
      </c>
      <c r="D384" s="16">
        <v>-2.5568899999999999E-2</v>
      </c>
      <c r="E384" s="8">
        <v>-1.2784449999999999E-2</v>
      </c>
    </row>
    <row r="385" spans="1:5" x14ac:dyDescent="0.3">
      <c r="A385" s="8">
        <v>28</v>
      </c>
      <c r="B385" s="8">
        <v>6</v>
      </c>
      <c r="C385" s="8">
        <v>3034</v>
      </c>
      <c r="D385" s="16">
        <v>-2.0910140000000001E-2</v>
      </c>
      <c r="E385" s="8">
        <v>-1.045507E-2</v>
      </c>
    </row>
    <row r="386" spans="1:5" x14ac:dyDescent="0.3">
      <c r="A386" s="8">
        <v>28</v>
      </c>
      <c r="B386" s="8">
        <v>7</v>
      </c>
      <c r="C386" s="8">
        <v>3031</v>
      </c>
      <c r="D386" s="16">
        <v>9.9874639999999993E-4</v>
      </c>
      <c r="E386" s="8">
        <v>4.9937319999999996E-4</v>
      </c>
    </row>
    <row r="387" spans="1:5" x14ac:dyDescent="0.3">
      <c r="A387" s="8">
        <v>28</v>
      </c>
      <c r="B387" s="8">
        <v>8</v>
      </c>
      <c r="C387" s="8">
        <v>3046</v>
      </c>
      <c r="D387" s="16">
        <v>-2.5383739999999998E-2</v>
      </c>
      <c r="E387" s="8">
        <v>-1.2691869999999999E-2</v>
      </c>
    </row>
    <row r="388" spans="1:5" x14ac:dyDescent="0.3">
      <c r="A388" s="8">
        <v>28</v>
      </c>
      <c r="B388" s="8">
        <v>9</v>
      </c>
      <c r="C388" s="8">
        <v>3035</v>
      </c>
      <c r="D388" s="16">
        <v>2.819031E-2</v>
      </c>
      <c r="E388" s="8">
        <v>1.4095155E-2</v>
      </c>
    </row>
    <row r="389" spans="1:5" x14ac:dyDescent="0.3">
      <c r="A389" s="8">
        <v>28</v>
      </c>
      <c r="B389" s="8">
        <v>10</v>
      </c>
      <c r="C389" s="8">
        <v>3026</v>
      </c>
      <c r="D389" s="16">
        <v>2.6499689999999999E-2</v>
      </c>
      <c r="E389" s="8">
        <v>1.3249845E-2</v>
      </c>
    </row>
    <row r="390" spans="1:5" x14ac:dyDescent="0.3">
      <c r="A390" s="8">
        <v>28</v>
      </c>
      <c r="B390" s="8">
        <v>11</v>
      </c>
      <c r="C390" s="8">
        <v>3029</v>
      </c>
      <c r="D390" s="16">
        <v>-4.4551010000000002E-2</v>
      </c>
      <c r="E390" s="8">
        <v>-2.2275505000000001E-2</v>
      </c>
    </row>
    <row r="391" spans="1:5" x14ac:dyDescent="0.3">
      <c r="A391" s="8">
        <v>28</v>
      </c>
      <c r="B391" s="8">
        <v>12</v>
      </c>
      <c r="C391" s="8">
        <v>3048</v>
      </c>
      <c r="D391" s="16">
        <v>-7.0135509999999998E-2</v>
      </c>
      <c r="E391" s="8">
        <v>-3.5067754999999999E-2</v>
      </c>
    </row>
    <row r="392" spans="1:5" x14ac:dyDescent="0.3">
      <c r="A392" s="8">
        <v>28</v>
      </c>
      <c r="B392" s="8">
        <v>13</v>
      </c>
      <c r="C392" s="8">
        <v>3025</v>
      </c>
      <c r="D392" s="16">
        <v>-6.4406819999999997E-3</v>
      </c>
      <c r="E392" s="8">
        <v>-3.2203409999999998E-3</v>
      </c>
    </row>
    <row r="393" spans="1:5" x14ac:dyDescent="0.3">
      <c r="A393" s="8">
        <v>28</v>
      </c>
      <c r="B393" s="8">
        <v>14</v>
      </c>
      <c r="C393" s="8">
        <v>3029</v>
      </c>
      <c r="D393" s="16">
        <v>4.9260379999999998E-3</v>
      </c>
      <c r="E393" s="8">
        <v>2.4630189999999999E-3</v>
      </c>
    </row>
    <row r="394" spans="1:5" x14ac:dyDescent="0.3">
      <c r="A394" s="8">
        <v>28</v>
      </c>
      <c r="B394" s="8">
        <v>15</v>
      </c>
      <c r="C394" s="8">
        <v>3038</v>
      </c>
      <c r="D394" s="16">
        <v>-7.7030009999999995E-4</v>
      </c>
      <c r="E394" s="8">
        <v>-3.8515004999999997E-4</v>
      </c>
    </row>
    <row r="395" spans="1:5" x14ac:dyDescent="0.3">
      <c r="A395" s="8">
        <v>28</v>
      </c>
      <c r="B395" s="8">
        <v>16</v>
      </c>
      <c r="C395" s="8">
        <v>3042</v>
      </c>
      <c r="D395" s="16">
        <v>-1.601522E-3</v>
      </c>
      <c r="E395" s="8">
        <v>-8.0076099999999999E-4</v>
      </c>
    </row>
    <row r="396" spans="1:5" x14ac:dyDescent="0.3">
      <c r="A396" s="8">
        <v>28</v>
      </c>
      <c r="B396" s="8">
        <v>17</v>
      </c>
      <c r="C396" s="8">
        <v>3036</v>
      </c>
      <c r="D396" s="16">
        <v>-3.544402E-2</v>
      </c>
      <c r="E396" s="8">
        <v>-1.772201E-2</v>
      </c>
    </row>
    <row r="397" spans="1:5" x14ac:dyDescent="0.3">
      <c r="A397" s="8">
        <v>28</v>
      </c>
      <c r="B397" s="8">
        <v>18</v>
      </c>
      <c r="C397" s="8">
        <v>3050</v>
      </c>
      <c r="D397" s="16">
        <v>2.3660259999999999E-2</v>
      </c>
      <c r="E397" s="8">
        <v>1.1830129999999999E-2</v>
      </c>
    </row>
    <row r="398" spans="1:5" x14ac:dyDescent="0.3">
      <c r="A398" s="8">
        <v>28</v>
      </c>
      <c r="B398" s="8">
        <v>19</v>
      </c>
      <c r="C398" s="8">
        <v>3030</v>
      </c>
      <c r="D398" s="16">
        <v>-3.5716440000000002E-2</v>
      </c>
      <c r="E398" s="8">
        <v>-1.7858220000000001E-2</v>
      </c>
    </row>
    <row r="399" spans="1:5" x14ac:dyDescent="0.3">
      <c r="A399" s="8">
        <v>28</v>
      </c>
      <c r="B399" s="8">
        <v>20</v>
      </c>
      <c r="C399" s="8">
        <v>3046</v>
      </c>
      <c r="D399" s="16">
        <v>7.297039E-3</v>
      </c>
      <c r="E399" s="8">
        <v>3.6485195E-3</v>
      </c>
    </row>
    <row r="400" spans="1:5" x14ac:dyDescent="0.3">
      <c r="A400" s="8">
        <v>28</v>
      </c>
      <c r="B400" s="8">
        <v>21</v>
      </c>
      <c r="C400" s="8">
        <v>3041</v>
      </c>
      <c r="D400" s="16">
        <v>-2.6882799999999998E-2</v>
      </c>
      <c r="E400" s="8">
        <v>-1.3441399999999999E-2</v>
      </c>
    </row>
    <row r="401" spans="1:5" x14ac:dyDescent="0.3">
      <c r="A401" s="8">
        <v>28</v>
      </c>
      <c r="B401" s="8">
        <v>22</v>
      </c>
      <c r="C401" s="8">
        <v>3031</v>
      </c>
      <c r="D401" s="16">
        <v>1.5815780000000002E-2</v>
      </c>
      <c r="E401" s="8">
        <v>7.9078900000000008E-3</v>
      </c>
    </row>
    <row r="402" spans="1:5" x14ac:dyDescent="0.3">
      <c r="A402" s="8">
        <v>28</v>
      </c>
      <c r="B402" s="8">
        <v>23</v>
      </c>
      <c r="C402" s="8">
        <v>3028</v>
      </c>
      <c r="D402" s="16">
        <v>-1.9784050000000001E-2</v>
      </c>
      <c r="E402" s="8">
        <v>-9.8920250000000005E-3</v>
      </c>
    </row>
    <row r="403" spans="1:5" x14ac:dyDescent="0.3">
      <c r="A403" s="8">
        <v>28</v>
      </c>
      <c r="B403" s="8">
        <v>24</v>
      </c>
      <c r="C403" s="8">
        <v>3058</v>
      </c>
      <c r="D403" s="16">
        <v>1.334012E-2</v>
      </c>
      <c r="E403" s="8">
        <v>6.6700600000000002E-3</v>
      </c>
    </row>
    <row r="404" spans="1:5" x14ac:dyDescent="0.3">
      <c r="A404" s="8">
        <v>28</v>
      </c>
      <c r="B404" s="8">
        <v>25</v>
      </c>
      <c r="C404" s="8">
        <v>3046</v>
      </c>
      <c r="D404" s="16">
        <v>-2.3660339999999999E-3</v>
      </c>
      <c r="E404" s="8">
        <v>-1.183017E-3</v>
      </c>
    </row>
    <row r="405" spans="1:5" x14ac:dyDescent="0.3">
      <c r="A405" s="8">
        <v>28</v>
      </c>
      <c r="B405" s="8">
        <v>26</v>
      </c>
      <c r="C405" s="8">
        <v>3051</v>
      </c>
      <c r="D405" s="16">
        <v>-1.827324E-2</v>
      </c>
      <c r="E405" s="8">
        <v>-9.1366199999999998E-3</v>
      </c>
    </row>
    <row r="406" spans="1:5" x14ac:dyDescent="0.3">
      <c r="A406" s="8">
        <v>28</v>
      </c>
      <c r="B406" s="8">
        <v>27</v>
      </c>
      <c r="C406" s="8">
        <v>3058</v>
      </c>
      <c r="D406" s="16">
        <v>2.4942309999999999E-2</v>
      </c>
      <c r="E406" s="8">
        <v>1.2471154999999999E-2</v>
      </c>
    </row>
    <row r="407" spans="1:5" x14ac:dyDescent="0.3">
      <c r="A407" s="8">
        <v>28</v>
      </c>
      <c r="B407" s="8">
        <v>28</v>
      </c>
      <c r="C407" s="8">
        <v>3137</v>
      </c>
      <c r="D407" s="16">
        <v>1.072662</v>
      </c>
      <c r="E407" s="8"/>
    </row>
    <row r="408" spans="1:5" x14ac:dyDescent="0.3">
      <c r="A408" s="8">
        <v>29</v>
      </c>
      <c r="B408" s="8">
        <v>1</v>
      </c>
      <c r="C408" s="8">
        <v>3063</v>
      </c>
      <c r="D408" s="16">
        <v>-8.2936750000000004E-2</v>
      </c>
      <c r="E408" s="8">
        <v>-4.1468375000000002E-2</v>
      </c>
    </row>
    <row r="409" spans="1:5" x14ac:dyDescent="0.3">
      <c r="A409" s="8">
        <v>29</v>
      </c>
      <c r="B409" s="8">
        <v>2</v>
      </c>
      <c r="C409" s="8">
        <v>3026</v>
      </c>
      <c r="D409" s="16">
        <v>-1.3133219999999999E-2</v>
      </c>
      <c r="E409" s="8">
        <v>-6.5666099999999996E-3</v>
      </c>
    </row>
    <row r="410" spans="1:5" x14ac:dyDescent="0.3">
      <c r="A410" s="8">
        <v>29</v>
      </c>
      <c r="B410" s="8">
        <v>3</v>
      </c>
      <c r="C410" s="8">
        <v>3057</v>
      </c>
      <c r="D410" s="16">
        <v>-6.8997370000000004E-3</v>
      </c>
      <c r="E410" s="8">
        <v>-3.4498685000000002E-3</v>
      </c>
    </row>
    <row r="411" spans="1:5" x14ac:dyDescent="0.3">
      <c r="A411" s="8">
        <v>29</v>
      </c>
      <c r="B411" s="8">
        <v>4</v>
      </c>
      <c r="C411" s="8">
        <v>3034</v>
      </c>
      <c r="D411" s="16">
        <v>-1.228638E-2</v>
      </c>
      <c r="E411" s="8">
        <v>-6.1431899999999998E-3</v>
      </c>
    </row>
    <row r="412" spans="1:5" x14ac:dyDescent="0.3">
      <c r="A412" s="8">
        <v>29</v>
      </c>
      <c r="B412" s="8">
        <v>5</v>
      </c>
      <c r="C412" s="8">
        <v>3018</v>
      </c>
      <c r="D412" s="16">
        <v>-3.9414240000000003E-2</v>
      </c>
      <c r="E412" s="8">
        <v>-1.9707120000000002E-2</v>
      </c>
    </row>
    <row r="413" spans="1:5" x14ac:dyDescent="0.3">
      <c r="A413" s="8">
        <v>29</v>
      </c>
      <c r="B413" s="8">
        <v>6</v>
      </c>
      <c r="C413" s="8">
        <v>3042</v>
      </c>
      <c r="D413" s="16">
        <v>-4.0586650000000002E-2</v>
      </c>
      <c r="E413" s="8">
        <v>-2.0293325000000001E-2</v>
      </c>
    </row>
    <row r="414" spans="1:5" x14ac:dyDescent="0.3">
      <c r="A414" s="8">
        <v>29</v>
      </c>
      <c r="B414" s="8">
        <v>7</v>
      </c>
      <c r="C414" s="8">
        <v>3030</v>
      </c>
      <c r="D414" s="16">
        <v>-4.548795E-4</v>
      </c>
      <c r="E414" s="8">
        <v>-2.2743975E-4</v>
      </c>
    </row>
    <row r="415" spans="1:5" x14ac:dyDescent="0.3">
      <c r="A415" s="8">
        <v>29</v>
      </c>
      <c r="B415" s="8">
        <v>8</v>
      </c>
      <c r="C415" s="8">
        <v>3055</v>
      </c>
      <c r="D415" s="16">
        <v>5.140716E-3</v>
      </c>
      <c r="E415" s="8">
        <v>2.570358E-3</v>
      </c>
    </row>
    <row r="416" spans="1:5" x14ac:dyDescent="0.3">
      <c r="A416" s="8">
        <v>29</v>
      </c>
      <c r="B416" s="8">
        <v>9</v>
      </c>
      <c r="C416" s="8">
        <v>3042</v>
      </c>
      <c r="D416" s="16">
        <v>-4.1295430000000003E-3</v>
      </c>
      <c r="E416" s="8">
        <v>-2.0647715000000001E-3</v>
      </c>
    </row>
    <row r="417" spans="1:5" x14ac:dyDescent="0.3">
      <c r="A417" s="8">
        <v>29</v>
      </c>
      <c r="B417" s="8">
        <v>10</v>
      </c>
      <c r="C417" s="8">
        <v>3033</v>
      </c>
      <c r="D417" s="16">
        <v>1.366873E-2</v>
      </c>
      <c r="E417" s="8">
        <v>6.8343650000000002E-3</v>
      </c>
    </row>
    <row r="418" spans="1:5" x14ac:dyDescent="0.3">
      <c r="A418" s="8">
        <v>29</v>
      </c>
      <c r="B418" s="8">
        <v>11</v>
      </c>
      <c r="C418" s="8">
        <v>3033</v>
      </c>
      <c r="D418" s="16">
        <v>4.9761889999999998E-3</v>
      </c>
      <c r="E418" s="8">
        <v>2.4880944999999999E-3</v>
      </c>
    </row>
    <row r="419" spans="1:5" x14ac:dyDescent="0.3">
      <c r="A419" s="8">
        <v>29</v>
      </c>
      <c r="B419" s="8">
        <v>12</v>
      </c>
      <c r="C419" s="8">
        <v>3056</v>
      </c>
      <c r="D419" s="16">
        <v>-4.4223030000000003E-2</v>
      </c>
      <c r="E419" s="8">
        <v>-2.2111515000000002E-2</v>
      </c>
    </row>
    <row r="420" spans="1:5" x14ac:dyDescent="0.3">
      <c r="A420" s="8">
        <v>29</v>
      </c>
      <c r="B420" s="8">
        <v>13</v>
      </c>
      <c r="C420" s="8">
        <v>3034</v>
      </c>
      <c r="D420" s="16">
        <v>-3.4185529999999999E-2</v>
      </c>
      <c r="E420" s="8">
        <v>-1.7092764999999999E-2</v>
      </c>
    </row>
    <row r="421" spans="1:5" x14ac:dyDescent="0.3">
      <c r="A421" s="8">
        <v>29</v>
      </c>
      <c r="B421" s="8">
        <v>14</v>
      </c>
      <c r="C421" s="8">
        <v>3032</v>
      </c>
      <c r="D421" s="16">
        <v>1.6807240000000001E-2</v>
      </c>
      <c r="E421" s="8">
        <v>8.4036200000000005E-3</v>
      </c>
    </row>
    <row r="422" spans="1:5" x14ac:dyDescent="0.3">
      <c r="A422" s="8">
        <v>29</v>
      </c>
      <c r="B422" s="8">
        <v>15</v>
      </c>
      <c r="C422" s="8">
        <v>3038</v>
      </c>
      <c r="D422" s="16">
        <v>-1.0544410000000001E-2</v>
      </c>
      <c r="E422" s="8">
        <v>-5.2722050000000003E-3</v>
      </c>
    </row>
    <row r="423" spans="1:5" x14ac:dyDescent="0.3">
      <c r="A423" s="8">
        <v>29</v>
      </c>
      <c r="B423" s="8">
        <v>16</v>
      </c>
      <c r="C423" s="8">
        <v>3048</v>
      </c>
      <c r="D423" s="16">
        <v>-2.0387389999999998E-2</v>
      </c>
      <c r="E423" s="8">
        <v>-1.0193694999999999E-2</v>
      </c>
    </row>
    <row r="424" spans="1:5" x14ac:dyDescent="0.3">
      <c r="A424" s="8">
        <v>29</v>
      </c>
      <c r="B424" s="8">
        <v>17</v>
      </c>
      <c r="C424" s="8">
        <v>3040</v>
      </c>
      <c r="D424" s="16">
        <v>-2.194745E-2</v>
      </c>
      <c r="E424" s="8">
        <v>-1.0973725E-2</v>
      </c>
    </row>
    <row r="425" spans="1:5" x14ac:dyDescent="0.3">
      <c r="A425" s="8">
        <v>29</v>
      </c>
      <c r="B425" s="8">
        <v>18</v>
      </c>
      <c r="C425" s="8">
        <v>3060</v>
      </c>
      <c r="D425" s="16">
        <v>1.527907E-2</v>
      </c>
      <c r="E425" s="8">
        <v>7.6395350000000002E-3</v>
      </c>
    </row>
    <row r="426" spans="1:5" x14ac:dyDescent="0.3">
      <c r="A426" s="8">
        <v>29</v>
      </c>
      <c r="B426" s="8">
        <v>19</v>
      </c>
      <c r="C426" s="8">
        <v>3040</v>
      </c>
      <c r="D426" s="16">
        <v>-3.7292829999999999E-2</v>
      </c>
      <c r="E426" s="8">
        <v>-1.8646415E-2</v>
      </c>
    </row>
    <row r="427" spans="1:5" x14ac:dyDescent="0.3">
      <c r="A427" s="8">
        <v>29</v>
      </c>
      <c r="B427" s="8">
        <v>20</v>
      </c>
      <c r="C427" s="8">
        <v>3045</v>
      </c>
      <c r="D427" s="16">
        <v>-2.7613619999999998E-2</v>
      </c>
      <c r="E427" s="8">
        <v>-1.3806809999999999E-2</v>
      </c>
    </row>
    <row r="428" spans="1:5" x14ac:dyDescent="0.3">
      <c r="A428" s="8">
        <v>29</v>
      </c>
      <c r="B428" s="8">
        <v>21</v>
      </c>
      <c r="C428" s="8">
        <v>3047</v>
      </c>
      <c r="D428" s="16">
        <v>-3.1796999999999999E-2</v>
      </c>
      <c r="E428" s="8">
        <v>-1.5898499999999999E-2</v>
      </c>
    </row>
    <row r="429" spans="1:5" x14ac:dyDescent="0.3">
      <c r="A429" s="8">
        <v>29</v>
      </c>
      <c r="B429" s="8">
        <v>22</v>
      </c>
      <c r="C429" s="8">
        <v>3037</v>
      </c>
      <c r="D429" s="16">
        <v>-2.2946689999999999E-2</v>
      </c>
      <c r="E429" s="8">
        <v>-1.1473344999999999E-2</v>
      </c>
    </row>
    <row r="430" spans="1:5" x14ac:dyDescent="0.3">
      <c r="A430" s="8">
        <v>29</v>
      </c>
      <c r="B430" s="8">
        <v>23</v>
      </c>
      <c r="C430" s="8">
        <v>3032</v>
      </c>
      <c r="D430" s="16">
        <v>-3.8873979999999998E-3</v>
      </c>
      <c r="E430" s="8">
        <v>-1.9436989999999999E-3</v>
      </c>
    </row>
    <row r="431" spans="1:5" x14ac:dyDescent="0.3">
      <c r="A431" s="8">
        <v>29</v>
      </c>
      <c r="B431" s="8">
        <v>24</v>
      </c>
      <c r="C431" s="8">
        <v>3060</v>
      </c>
      <c r="D431" s="16">
        <v>-2.4929739999999999E-2</v>
      </c>
      <c r="E431" s="8">
        <v>-1.2464869999999999E-2</v>
      </c>
    </row>
    <row r="432" spans="1:5" x14ac:dyDescent="0.3">
      <c r="A432" s="8">
        <v>29</v>
      </c>
      <c r="B432" s="8">
        <v>25</v>
      </c>
      <c r="C432" s="8">
        <v>3044</v>
      </c>
      <c r="D432" s="16">
        <v>-4.2075439999999997E-3</v>
      </c>
      <c r="E432" s="8">
        <v>-2.1037719999999998E-3</v>
      </c>
    </row>
    <row r="433" spans="1:5" x14ac:dyDescent="0.3">
      <c r="A433" s="8">
        <v>29</v>
      </c>
      <c r="B433" s="8">
        <v>26</v>
      </c>
      <c r="C433" s="8">
        <v>3054</v>
      </c>
      <c r="D433" s="16">
        <v>9.5922830000000001E-3</v>
      </c>
      <c r="E433" s="8">
        <v>4.7961415E-3</v>
      </c>
    </row>
    <row r="434" spans="1:5" x14ac:dyDescent="0.3">
      <c r="A434" s="8">
        <v>29</v>
      </c>
      <c r="B434" s="8">
        <v>27</v>
      </c>
      <c r="C434" s="8">
        <v>3057</v>
      </c>
      <c r="D434" s="16">
        <v>3.9434930000000002E-3</v>
      </c>
      <c r="E434" s="8">
        <v>1.9717465000000001E-3</v>
      </c>
    </row>
    <row r="435" spans="1:5" x14ac:dyDescent="0.3">
      <c r="A435" s="8">
        <v>29</v>
      </c>
      <c r="B435" s="8">
        <v>28</v>
      </c>
      <c r="C435" s="8">
        <v>3030</v>
      </c>
      <c r="D435" s="16">
        <v>4.9159929999999998E-2</v>
      </c>
      <c r="E435" s="8">
        <v>2.4579964999999999E-2</v>
      </c>
    </row>
    <row r="436" spans="1:5" x14ac:dyDescent="0.3">
      <c r="A436" s="8">
        <v>29</v>
      </c>
      <c r="B436" s="8">
        <v>29</v>
      </c>
      <c r="C436" s="8">
        <v>3142</v>
      </c>
      <c r="D436" s="16">
        <v>1.0475950000000001</v>
      </c>
      <c r="E436" s="8"/>
    </row>
    <row r="437" spans="1:5" x14ac:dyDescent="0.3">
      <c r="A437" s="8">
        <v>30</v>
      </c>
      <c r="B437" s="8">
        <v>1</v>
      </c>
      <c r="C437" s="8">
        <v>3071</v>
      </c>
      <c r="D437" s="16">
        <v>-1.2282919999999999E-2</v>
      </c>
      <c r="E437" s="8">
        <v>-6.1414599999999996E-3</v>
      </c>
    </row>
    <row r="438" spans="1:5" x14ac:dyDescent="0.3">
      <c r="A438" s="8">
        <v>30</v>
      </c>
      <c r="B438" s="8">
        <v>2</v>
      </c>
      <c r="C438" s="8">
        <v>3039</v>
      </c>
      <c r="D438" s="16">
        <v>-5.9309419999999998E-3</v>
      </c>
      <c r="E438" s="8">
        <v>-2.9654709999999999E-3</v>
      </c>
    </row>
    <row r="439" spans="1:5" x14ac:dyDescent="0.3">
      <c r="A439" s="8">
        <v>30</v>
      </c>
      <c r="B439" s="8">
        <v>3</v>
      </c>
      <c r="C439" s="8">
        <v>3064</v>
      </c>
      <c r="D439" s="16">
        <v>-5.6798639999999997E-2</v>
      </c>
      <c r="E439" s="8">
        <v>-2.8399319999999999E-2</v>
      </c>
    </row>
    <row r="440" spans="1:5" x14ac:dyDescent="0.3">
      <c r="A440" s="8">
        <v>30</v>
      </c>
      <c r="B440" s="8">
        <v>4</v>
      </c>
      <c r="C440" s="8">
        <v>3040</v>
      </c>
      <c r="D440" s="16">
        <v>-2.71366E-2</v>
      </c>
      <c r="E440" s="8">
        <v>-1.35683E-2</v>
      </c>
    </row>
    <row r="441" spans="1:5" x14ac:dyDescent="0.3">
      <c r="A441" s="8">
        <v>30</v>
      </c>
      <c r="B441" s="8">
        <v>5</v>
      </c>
      <c r="C441" s="8">
        <v>3029</v>
      </c>
      <c r="D441" s="16">
        <v>4.8256389999999996E-3</v>
      </c>
      <c r="E441" s="8">
        <v>2.4128194999999998E-3</v>
      </c>
    </row>
    <row r="442" spans="1:5" x14ac:dyDescent="0.3">
      <c r="A442" s="8">
        <v>30</v>
      </c>
      <c r="B442" s="8">
        <v>6</v>
      </c>
      <c r="C442" s="8">
        <v>3048</v>
      </c>
      <c r="D442" s="16">
        <v>-2.580004E-2</v>
      </c>
      <c r="E442" s="8">
        <v>-1.290002E-2</v>
      </c>
    </row>
    <row r="443" spans="1:5" x14ac:dyDescent="0.3">
      <c r="A443" s="8">
        <v>30</v>
      </c>
      <c r="B443" s="8">
        <v>7</v>
      </c>
      <c r="C443" s="8">
        <v>3045</v>
      </c>
      <c r="D443" s="16">
        <v>-3.1213350000000001E-2</v>
      </c>
      <c r="E443" s="8">
        <v>-1.5606675E-2</v>
      </c>
    </row>
    <row r="444" spans="1:5" x14ac:dyDescent="0.3">
      <c r="A444" s="8">
        <v>30</v>
      </c>
      <c r="B444" s="8">
        <v>8</v>
      </c>
      <c r="C444" s="8">
        <v>3066</v>
      </c>
      <c r="D444" s="16">
        <v>-4.1017539999999998E-2</v>
      </c>
      <c r="E444" s="8">
        <v>-2.0508769999999999E-2</v>
      </c>
    </row>
    <row r="445" spans="1:5" x14ac:dyDescent="0.3">
      <c r="A445" s="8">
        <v>30</v>
      </c>
      <c r="B445" s="8">
        <v>9</v>
      </c>
      <c r="C445" s="8">
        <v>3047</v>
      </c>
      <c r="D445" s="16">
        <v>-3.3716950000000002E-2</v>
      </c>
      <c r="E445" s="8">
        <v>-1.6858475000000001E-2</v>
      </c>
    </row>
    <row r="446" spans="1:5" x14ac:dyDescent="0.3">
      <c r="A446" s="8">
        <v>30</v>
      </c>
      <c r="B446" s="8">
        <v>10</v>
      </c>
      <c r="C446" s="8">
        <v>3041</v>
      </c>
      <c r="D446" s="16">
        <v>8.0139960000000007E-3</v>
      </c>
      <c r="E446" s="8">
        <v>4.0069980000000003E-3</v>
      </c>
    </row>
    <row r="447" spans="1:5" x14ac:dyDescent="0.3">
      <c r="A447" s="8">
        <v>30</v>
      </c>
      <c r="B447" s="8">
        <v>11</v>
      </c>
      <c r="C447" s="8">
        <v>3042</v>
      </c>
      <c r="D447" s="16">
        <v>-8.6734370000000009E-3</v>
      </c>
      <c r="E447" s="8">
        <v>-4.3367185000000004E-3</v>
      </c>
    </row>
    <row r="448" spans="1:5" x14ac:dyDescent="0.3">
      <c r="A448" s="8">
        <v>30</v>
      </c>
      <c r="B448" s="8">
        <v>12</v>
      </c>
      <c r="C448" s="8">
        <v>3064</v>
      </c>
      <c r="D448" s="16">
        <v>-4.1014639999999998E-2</v>
      </c>
      <c r="E448" s="8">
        <v>-2.0507319999999999E-2</v>
      </c>
    </row>
    <row r="449" spans="1:5" x14ac:dyDescent="0.3">
      <c r="A449" s="8">
        <v>30</v>
      </c>
      <c r="B449" s="8">
        <v>13</v>
      </c>
      <c r="C449" s="8">
        <v>3040</v>
      </c>
      <c r="D449" s="16">
        <v>-1.8102210000000001E-2</v>
      </c>
      <c r="E449" s="8">
        <v>-9.0511050000000003E-3</v>
      </c>
    </row>
    <row r="450" spans="1:5" x14ac:dyDescent="0.3">
      <c r="A450" s="8">
        <v>30</v>
      </c>
      <c r="B450" s="8">
        <v>14</v>
      </c>
      <c r="C450" s="8">
        <v>3044</v>
      </c>
      <c r="D450" s="16">
        <v>-1.4328219999999999E-2</v>
      </c>
      <c r="E450" s="8">
        <v>-7.1641099999999996E-3</v>
      </c>
    </row>
    <row r="451" spans="1:5" x14ac:dyDescent="0.3">
      <c r="A451" s="8">
        <v>30</v>
      </c>
      <c r="B451" s="8">
        <v>15</v>
      </c>
      <c r="C451" s="8">
        <v>3049</v>
      </c>
      <c r="D451" s="16">
        <v>2.7454469999999998E-3</v>
      </c>
      <c r="E451" s="8">
        <v>1.3727234999999999E-3</v>
      </c>
    </row>
    <row r="452" spans="1:5" x14ac:dyDescent="0.3">
      <c r="A452" s="8">
        <v>30</v>
      </c>
      <c r="B452" s="8">
        <v>16</v>
      </c>
      <c r="C452" s="8">
        <v>3051</v>
      </c>
      <c r="D452" s="16">
        <v>1.6475090000000001E-2</v>
      </c>
      <c r="E452" s="8">
        <v>8.2375450000000006E-3</v>
      </c>
    </row>
    <row r="453" spans="1:5" x14ac:dyDescent="0.3">
      <c r="A453" s="8">
        <v>30</v>
      </c>
      <c r="B453" s="8">
        <v>17</v>
      </c>
      <c r="C453" s="8">
        <v>3054</v>
      </c>
      <c r="D453" s="16">
        <v>-1.158559E-2</v>
      </c>
      <c r="E453" s="8">
        <v>-5.7927949999999999E-3</v>
      </c>
    </row>
    <row r="454" spans="1:5" x14ac:dyDescent="0.3">
      <c r="A454" s="8">
        <v>30</v>
      </c>
      <c r="B454" s="8">
        <v>18</v>
      </c>
      <c r="C454" s="8">
        <v>3064</v>
      </c>
      <c r="D454" s="16">
        <v>-3.3828190000000001E-2</v>
      </c>
      <c r="E454" s="8">
        <v>-1.6914095000000001E-2</v>
      </c>
    </row>
    <row r="455" spans="1:5" x14ac:dyDescent="0.3">
      <c r="A455" s="8">
        <v>30</v>
      </c>
      <c r="B455" s="8">
        <v>19</v>
      </c>
      <c r="C455" s="8">
        <v>3051</v>
      </c>
      <c r="D455" s="16">
        <v>-1.450955E-2</v>
      </c>
      <c r="E455" s="8">
        <v>-7.2547749999999998E-3</v>
      </c>
    </row>
    <row r="456" spans="1:5" x14ac:dyDescent="0.3">
      <c r="A456" s="8">
        <v>30</v>
      </c>
      <c r="B456" s="8">
        <v>20</v>
      </c>
      <c r="C456" s="8">
        <v>3058</v>
      </c>
      <c r="D456" s="16">
        <v>-3.867073E-3</v>
      </c>
      <c r="E456" s="8">
        <v>-1.9335365E-3</v>
      </c>
    </row>
    <row r="457" spans="1:5" x14ac:dyDescent="0.3">
      <c r="A457" s="8">
        <v>30</v>
      </c>
      <c r="B457" s="8">
        <v>21</v>
      </c>
      <c r="C457" s="8">
        <v>3054</v>
      </c>
      <c r="D457" s="16">
        <v>-1.5979030000000002E-2</v>
      </c>
      <c r="E457" s="8">
        <v>-7.9895150000000009E-3</v>
      </c>
    </row>
    <row r="458" spans="1:5" x14ac:dyDescent="0.3">
      <c r="A458" s="8">
        <v>30</v>
      </c>
      <c r="B458" s="8">
        <v>22</v>
      </c>
      <c r="C458" s="8">
        <v>3043</v>
      </c>
      <c r="D458" s="16">
        <v>1.3359930000000001E-2</v>
      </c>
      <c r="E458" s="8">
        <v>6.6799650000000004E-3</v>
      </c>
    </row>
    <row r="459" spans="1:5" x14ac:dyDescent="0.3">
      <c r="A459" s="8">
        <v>30</v>
      </c>
      <c r="B459" s="8">
        <v>23</v>
      </c>
      <c r="C459" s="8">
        <v>3040</v>
      </c>
      <c r="D459" s="16">
        <v>-3.8340869999999999E-2</v>
      </c>
      <c r="E459" s="8">
        <v>-1.9170435E-2</v>
      </c>
    </row>
    <row r="460" spans="1:5" x14ac:dyDescent="0.3">
      <c r="A460" s="8">
        <v>30</v>
      </c>
      <c r="B460" s="8">
        <v>24</v>
      </c>
      <c r="C460" s="8">
        <v>3066</v>
      </c>
      <c r="D460" s="16">
        <v>-3.7234179999999999E-2</v>
      </c>
      <c r="E460" s="8">
        <v>-1.8617089999999999E-2</v>
      </c>
    </row>
    <row r="461" spans="1:5" x14ac:dyDescent="0.3">
      <c r="A461" s="8">
        <v>30</v>
      </c>
      <c r="B461" s="8">
        <v>25</v>
      </c>
      <c r="C461" s="8">
        <v>3052</v>
      </c>
      <c r="D461" s="16">
        <v>-1.3160689999999999E-2</v>
      </c>
      <c r="E461" s="8">
        <v>-6.5803449999999996E-3</v>
      </c>
    </row>
    <row r="462" spans="1:5" x14ac:dyDescent="0.3">
      <c r="A462" s="8">
        <v>30</v>
      </c>
      <c r="B462" s="8">
        <v>26</v>
      </c>
      <c r="C462" s="8">
        <v>3060</v>
      </c>
      <c r="D462" s="16">
        <v>-5.3469559999999999E-2</v>
      </c>
      <c r="E462" s="8">
        <v>-2.673478E-2</v>
      </c>
    </row>
    <row r="463" spans="1:5" x14ac:dyDescent="0.3">
      <c r="A463" s="8">
        <v>30</v>
      </c>
      <c r="B463" s="8">
        <v>27</v>
      </c>
      <c r="C463" s="8">
        <v>3070</v>
      </c>
      <c r="D463" s="16">
        <v>-2.0070250000000001E-2</v>
      </c>
      <c r="E463" s="8">
        <v>-1.0035125000000001E-2</v>
      </c>
    </row>
    <row r="464" spans="1:5" x14ac:dyDescent="0.3">
      <c r="A464" s="8">
        <v>30</v>
      </c>
      <c r="B464" s="8">
        <v>28</v>
      </c>
      <c r="C464" s="8">
        <v>3038</v>
      </c>
      <c r="D464" s="16">
        <v>-2.1134590000000002E-2</v>
      </c>
      <c r="E464" s="8">
        <v>-1.0567295000000001E-2</v>
      </c>
    </row>
    <row r="465" spans="1:5" x14ac:dyDescent="0.3">
      <c r="A465" s="8">
        <v>30</v>
      </c>
      <c r="B465" s="8">
        <v>29</v>
      </c>
      <c r="C465" s="8">
        <v>3045</v>
      </c>
      <c r="D465" s="16">
        <v>1.010835E-2</v>
      </c>
      <c r="E465" s="8">
        <v>5.0541750000000002E-3</v>
      </c>
    </row>
    <row r="466" spans="1:5" x14ac:dyDescent="0.3">
      <c r="A466" s="8">
        <v>30</v>
      </c>
      <c r="B466" s="8">
        <v>30</v>
      </c>
      <c r="C466" s="8">
        <v>3152</v>
      </c>
      <c r="D466" s="16">
        <v>1.0846849999999999</v>
      </c>
      <c r="E466" s="8"/>
    </row>
    <row r="467" spans="1:5" x14ac:dyDescent="0.3">
      <c r="A467" s="8">
        <v>31</v>
      </c>
      <c r="B467" s="8">
        <v>1</v>
      </c>
      <c r="C467" s="8">
        <v>2993</v>
      </c>
      <c r="D467" s="16">
        <v>-1.6484539999999999E-2</v>
      </c>
      <c r="E467" s="8">
        <v>-8.2422699999999995E-3</v>
      </c>
    </row>
    <row r="468" spans="1:5" x14ac:dyDescent="0.3">
      <c r="A468" s="8">
        <v>31</v>
      </c>
      <c r="B468" s="8">
        <v>2</v>
      </c>
      <c r="C468" s="8">
        <v>2961</v>
      </c>
      <c r="D468" s="16">
        <v>-1.8907319999999998E-2</v>
      </c>
      <c r="E468" s="8">
        <v>-9.4536599999999991E-3</v>
      </c>
    </row>
    <row r="469" spans="1:5" x14ac:dyDescent="0.3">
      <c r="A469" s="8">
        <v>31</v>
      </c>
      <c r="B469" s="8">
        <v>3</v>
      </c>
      <c r="C469" s="8">
        <v>2991</v>
      </c>
      <c r="D469" s="16">
        <v>6.2229550000000002E-2</v>
      </c>
      <c r="E469" s="8">
        <v>3.1114775000000001E-2</v>
      </c>
    </row>
    <row r="470" spans="1:5" x14ac:dyDescent="0.3">
      <c r="A470" s="8">
        <v>31</v>
      </c>
      <c r="B470" s="8">
        <v>4</v>
      </c>
      <c r="C470" s="8">
        <v>2964</v>
      </c>
      <c r="D470" s="16">
        <v>-3.9486729999999998E-3</v>
      </c>
      <c r="E470" s="8">
        <v>-1.9743364999999999E-3</v>
      </c>
    </row>
    <row r="471" spans="1:5" x14ac:dyDescent="0.3">
      <c r="A471" s="8">
        <v>31</v>
      </c>
      <c r="B471" s="8">
        <v>5</v>
      </c>
      <c r="C471" s="8">
        <v>2961</v>
      </c>
      <c r="D471" s="16">
        <v>8.9493790000000004E-3</v>
      </c>
      <c r="E471" s="8">
        <v>4.4746895000000002E-3</v>
      </c>
    </row>
    <row r="472" spans="1:5" x14ac:dyDescent="0.3">
      <c r="A472" s="8">
        <v>31</v>
      </c>
      <c r="B472" s="8">
        <v>6</v>
      </c>
      <c r="C472" s="8">
        <v>2968</v>
      </c>
      <c r="D472" s="16">
        <v>-3.7651850000000001E-2</v>
      </c>
      <c r="E472" s="8">
        <v>-1.8825925E-2</v>
      </c>
    </row>
    <row r="473" spans="1:5" x14ac:dyDescent="0.3">
      <c r="A473" s="8">
        <v>31</v>
      </c>
      <c r="B473" s="8">
        <v>7</v>
      </c>
      <c r="C473" s="8">
        <v>2963</v>
      </c>
      <c r="D473" s="16">
        <v>-3.7086630000000002E-2</v>
      </c>
      <c r="E473" s="8">
        <v>-1.8543315000000001E-2</v>
      </c>
    </row>
    <row r="474" spans="1:5" x14ac:dyDescent="0.3">
      <c r="A474" s="8">
        <v>31</v>
      </c>
      <c r="B474" s="8">
        <v>8</v>
      </c>
      <c r="C474" s="8">
        <v>2985</v>
      </c>
      <c r="D474" s="16">
        <v>-2.5755150000000001E-2</v>
      </c>
      <c r="E474" s="8">
        <v>-1.2877575E-2</v>
      </c>
    </row>
    <row r="475" spans="1:5" x14ac:dyDescent="0.3">
      <c r="A475" s="8">
        <v>31</v>
      </c>
      <c r="B475" s="8">
        <v>9</v>
      </c>
      <c r="C475" s="8">
        <v>2968</v>
      </c>
      <c r="D475" s="16">
        <v>-1.6886669999999999E-2</v>
      </c>
      <c r="E475" s="8">
        <v>-8.4433349999999997E-3</v>
      </c>
    </row>
    <row r="476" spans="1:5" x14ac:dyDescent="0.3">
      <c r="A476" s="8">
        <v>31</v>
      </c>
      <c r="B476" s="8">
        <v>10</v>
      </c>
      <c r="C476" s="8">
        <v>2964</v>
      </c>
      <c r="D476" s="16">
        <v>1.086286E-2</v>
      </c>
      <c r="E476" s="8">
        <v>5.4314300000000001E-3</v>
      </c>
    </row>
    <row r="477" spans="1:5" x14ac:dyDescent="0.3">
      <c r="A477" s="8">
        <v>31</v>
      </c>
      <c r="B477" s="8">
        <v>11</v>
      </c>
      <c r="C477" s="8">
        <v>2966</v>
      </c>
      <c r="D477" s="16">
        <v>-1.126273E-2</v>
      </c>
      <c r="E477" s="8">
        <v>-5.6313650000000002E-3</v>
      </c>
    </row>
    <row r="478" spans="1:5" x14ac:dyDescent="0.3">
      <c r="A478" s="8">
        <v>31</v>
      </c>
      <c r="B478" s="8">
        <v>12</v>
      </c>
      <c r="C478" s="8">
        <v>2986</v>
      </c>
      <c r="D478" s="16">
        <v>1.1645259999999999E-2</v>
      </c>
      <c r="E478" s="8">
        <v>5.8226299999999996E-3</v>
      </c>
    </row>
    <row r="479" spans="1:5" x14ac:dyDescent="0.3">
      <c r="A479" s="8">
        <v>31</v>
      </c>
      <c r="B479" s="8">
        <v>13</v>
      </c>
      <c r="C479" s="8">
        <v>2964</v>
      </c>
      <c r="D479" s="16">
        <v>-2.9718189999999998E-2</v>
      </c>
      <c r="E479" s="8">
        <v>-1.4859094999999999E-2</v>
      </c>
    </row>
    <row r="480" spans="1:5" x14ac:dyDescent="0.3">
      <c r="A480" s="8">
        <v>31</v>
      </c>
      <c r="B480" s="8">
        <v>14</v>
      </c>
      <c r="C480" s="8">
        <v>2961</v>
      </c>
      <c r="D480" s="16">
        <v>-1.5944759999999999E-2</v>
      </c>
      <c r="E480" s="8">
        <v>-7.9723799999999994E-3</v>
      </c>
    </row>
    <row r="481" spans="1:5" x14ac:dyDescent="0.3">
      <c r="A481" s="8">
        <v>31</v>
      </c>
      <c r="B481" s="8">
        <v>15</v>
      </c>
      <c r="C481" s="8">
        <v>2977</v>
      </c>
      <c r="D481" s="16">
        <v>-9.0451290000000007E-3</v>
      </c>
      <c r="E481" s="8">
        <v>-4.5225645000000004E-3</v>
      </c>
    </row>
    <row r="482" spans="1:5" x14ac:dyDescent="0.3">
      <c r="A482" s="8">
        <v>31</v>
      </c>
      <c r="B482" s="8">
        <v>16</v>
      </c>
      <c r="C482" s="8">
        <v>2977</v>
      </c>
      <c r="D482" s="16">
        <v>-1.5420420000000001E-2</v>
      </c>
      <c r="E482" s="8">
        <v>-7.7102100000000003E-3</v>
      </c>
    </row>
    <row r="483" spans="1:5" x14ac:dyDescent="0.3">
      <c r="A483" s="8">
        <v>31</v>
      </c>
      <c r="B483" s="8">
        <v>17</v>
      </c>
      <c r="C483" s="8">
        <v>2972</v>
      </c>
      <c r="D483" s="16">
        <v>-1.8820429999999999E-2</v>
      </c>
      <c r="E483" s="8">
        <v>-9.4102149999999996E-3</v>
      </c>
    </row>
    <row r="484" spans="1:5" x14ac:dyDescent="0.3">
      <c r="A484" s="8">
        <v>31</v>
      </c>
      <c r="B484" s="8">
        <v>18</v>
      </c>
      <c r="C484" s="8">
        <v>2990</v>
      </c>
      <c r="D484" s="16">
        <v>1.032746E-2</v>
      </c>
      <c r="E484" s="8">
        <v>5.1637300000000001E-3</v>
      </c>
    </row>
    <row r="485" spans="1:5" x14ac:dyDescent="0.3">
      <c r="A485" s="8">
        <v>31</v>
      </c>
      <c r="B485" s="8">
        <v>19</v>
      </c>
      <c r="C485" s="8">
        <v>2970</v>
      </c>
      <c r="D485" s="16">
        <v>-7.69362E-3</v>
      </c>
      <c r="E485" s="8">
        <v>-3.84681E-3</v>
      </c>
    </row>
    <row r="486" spans="1:5" x14ac:dyDescent="0.3">
      <c r="A486" s="8">
        <v>31</v>
      </c>
      <c r="B486" s="8">
        <v>20</v>
      </c>
      <c r="C486" s="8">
        <v>2980</v>
      </c>
      <c r="D486" s="16">
        <v>3.2190289999999998E-4</v>
      </c>
      <c r="E486" s="8">
        <v>1.6095144999999999E-4</v>
      </c>
    </row>
    <row r="487" spans="1:5" x14ac:dyDescent="0.3">
      <c r="A487" s="8">
        <v>31</v>
      </c>
      <c r="B487" s="8">
        <v>21</v>
      </c>
      <c r="C487" s="8">
        <v>2977</v>
      </c>
      <c r="D487" s="16">
        <v>-7.0391100000000003E-3</v>
      </c>
      <c r="E487" s="8">
        <v>-3.5195550000000002E-3</v>
      </c>
    </row>
    <row r="488" spans="1:5" x14ac:dyDescent="0.3">
      <c r="A488" s="8">
        <v>31</v>
      </c>
      <c r="B488" s="8">
        <v>22</v>
      </c>
      <c r="C488" s="8">
        <v>2965</v>
      </c>
      <c r="D488" s="16">
        <v>-2.1492339999999999E-2</v>
      </c>
      <c r="E488" s="8">
        <v>-1.0746169999999999E-2</v>
      </c>
    </row>
    <row r="489" spans="1:5" x14ac:dyDescent="0.3">
      <c r="A489" s="8">
        <v>31</v>
      </c>
      <c r="B489" s="8">
        <v>23</v>
      </c>
      <c r="C489" s="8">
        <v>2965</v>
      </c>
      <c r="D489" s="16">
        <v>-4.92065E-2</v>
      </c>
      <c r="E489" s="8">
        <v>-2.460325E-2</v>
      </c>
    </row>
    <row r="490" spans="1:5" x14ac:dyDescent="0.3">
      <c r="A490" s="8">
        <v>31</v>
      </c>
      <c r="B490" s="8">
        <v>24</v>
      </c>
      <c r="C490" s="8">
        <v>2996</v>
      </c>
      <c r="D490" s="16">
        <v>-8.7298440000000005E-2</v>
      </c>
      <c r="E490" s="8">
        <v>-4.3649220000000002E-2</v>
      </c>
    </row>
    <row r="491" spans="1:5" x14ac:dyDescent="0.3">
      <c r="A491" s="8">
        <v>31</v>
      </c>
      <c r="B491" s="8">
        <v>25</v>
      </c>
      <c r="C491" s="8">
        <v>2972</v>
      </c>
      <c r="D491" s="16">
        <v>2.218827E-2</v>
      </c>
      <c r="E491" s="8">
        <v>1.1094135E-2</v>
      </c>
    </row>
    <row r="492" spans="1:5" x14ac:dyDescent="0.3">
      <c r="A492" s="8">
        <v>31</v>
      </c>
      <c r="B492" s="8">
        <v>26</v>
      </c>
      <c r="C492" s="8">
        <v>2987</v>
      </c>
      <c r="D492" s="16">
        <v>2.3347300000000001E-3</v>
      </c>
      <c r="E492" s="8">
        <v>1.1673650000000001E-3</v>
      </c>
    </row>
    <row r="493" spans="1:5" x14ac:dyDescent="0.3">
      <c r="A493" s="8">
        <v>31</v>
      </c>
      <c r="B493" s="8">
        <v>27</v>
      </c>
      <c r="C493" s="8">
        <v>2987</v>
      </c>
      <c r="D493" s="16">
        <v>-3.347601E-2</v>
      </c>
      <c r="E493" s="8">
        <v>-1.6738005E-2</v>
      </c>
    </row>
    <row r="494" spans="1:5" x14ac:dyDescent="0.3">
      <c r="A494" s="8">
        <v>31</v>
      </c>
      <c r="B494" s="8">
        <v>28</v>
      </c>
      <c r="C494" s="8">
        <v>2964</v>
      </c>
      <c r="D494" s="16">
        <v>1.192622E-2</v>
      </c>
      <c r="E494" s="8">
        <v>5.9631099999999998E-3</v>
      </c>
    </row>
    <row r="495" spans="1:5" x14ac:dyDescent="0.3">
      <c r="A495" s="8">
        <v>31</v>
      </c>
      <c r="B495" s="8">
        <v>29</v>
      </c>
      <c r="C495" s="8">
        <v>2969</v>
      </c>
      <c r="D495" s="16">
        <v>-2.624479E-2</v>
      </c>
      <c r="E495" s="8">
        <v>-1.3122395E-2</v>
      </c>
    </row>
    <row r="496" spans="1:5" x14ac:dyDescent="0.3">
      <c r="A496" s="8">
        <v>31</v>
      </c>
      <c r="B496" s="8">
        <v>30</v>
      </c>
      <c r="C496" s="8">
        <v>2973</v>
      </c>
      <c r="D496" s="16">
        <v>7.255035E-3</v>
      </c>
      <c r="E496" s="8">
        <v>3.6275175E-3</v>
      </c>
    </row>
    <row r="497" spans="1:5" x14ac:dyDescent="0.3">
      <c r="A497" s="8">
        <v>31</v>
      </c>
      <c r="B497" s="8">
        <v>31</v>
      </c>
      <c r="C497" s="8">
        <v>3071</v>
      </c>
      <c r="D497" s="16">
        <v>1.0046870000000001</v>
      </c>
      <c r="E497" s="8"/>
    </row>
    <row r="498" spans="1:5" x14ac:dyDescent="0.3">
      <c r="A498" s="8">
        <v>32</v>
      </c>
      <c r="B498" s="8">
        <v>1</v>
      </c>
      <c r="C498" s="8">
        <v>3058</v>
      </c>
      <c r="D498" s="16">
        <v>8.2762979999999996E-3</v>
      </c>
      <c r="E498" s="8">
        <v>4.1381489999999998E-3</v>
      </c>
    </row>
    <row r="499" spans="1:5" x14ac:dyDescent="0.3">
      <c r="A499" s="8">
        <v>32</v>
      </c>
      <c r="B499" s="8">
        <v>2</v>
      </c>
      <c r="C499" s="8">
        <v>3026</v>
      </c>
      <c r="D499" s="16">
        <v>-5.4763409999999998E-2</v>
      </c>
      <c r="E499" s="8">
        <v>-2.7381704999999999E-2</v>
      </c>
    </row>
    <row r="500" spans="1:5" x14ac:dyDescent="0.3">
      <c r="A500" s="8">
        <v>32</v>
      </c>
      <c r="B500" s="8">
        <v>3</v>
      </c>
      <c r="C500" s="8">
        <v>3051</v>
      </c>
      <c r="D500" s="16">
        <v>4.854549E-4</v>
      </c>
      <c r="E500" s="8">
        <v>2.4272745E-4</v>
      </c>
    </row>
    <row r="501" spans="1:5" x14ac:dyDescent="0.3">
      <c r="A501" s="8">
        <v>32</v>
      </c>
      <c r="B501" s="8">
        <v>4</v>
      </c>
      <c r="C501" s="8">
        <v>3031</v>
      </c>
      <c r="D501" s="16">
        <v>-3.2863030000000001E-2</v>
      </c>
      <c r="E501" s="8">
        <v>-1.6431515000000001E-2</v>
      </c>
    </row>
    <row r="502" spans="1:5" x14ac:dyDescent="0.3">
      <c r="A502" s="8">
        <v>32</v>
      </c>
      <c r="B502" s="8">
        <v>5</v>
      </c>
      <c r="C502" s="8">
        <v>3019</v>
      </c>
      <c r="D502" s="16">
        <v>-1.5784630000000001E-2</v>
      </c>
      <c r="E502" s="8">
        <v>-7.8923150000000004E-3</v>
      </c>
    </row>
    <row r="503" spans="1:5" x14ac:dyDescent="0.3">
      <c r="A503" s="8">
        <v>32</v>
      </c>
      <c r="B503" s="8">
        <v>6</v>
      </c>
      <c r="C503" s="8">
        <v>3038</v>
      </c>
      <c r="D503" s="16">
        <v>-9.4506229999999998E-4</v>
      </c>
      <c r="E503" s="8">
        <v>-4.7253114999999999E-4</v>
      </c>
    </row>
    <row r="504" spans="1:5" x14ac:dyDescent="0.3">
      <c r="A504" s="8">
        <v>32</v>
      </c>
      <c r="B504" s="8">
        <v>7</v>
      </c>
      <c r="C504" s="8">
        <v>3034</v>
      </c>
      <c r="D504" s="16">
        <v>-5.268022E-2</v>
      </c>
      <c r="E504" s="8">
        <v>-2.634011E-2</v>
      </c>
    </row>
    <row r="505" spans="1:5" x14ac:dyDescent="0.3">
      <c r="A505" s="8">
        <v>32</v>
      </c>
      <c r="B505" s="8">
        <v>8</v>
      </c>
      <c r="C505" s="8">
        <v>3045</v>
      </c>
      <c r="D505" s="16">
        <v>-2.0977929999999999E-2</v>
      </c>
      <c r="E505" s="8">
        <v>-1.0488964999999999E-2</v>
      </c>
    </row>
    <row r="506" spans="1:5" x14ac:dyDescent="0.3">
      <c r="A506" s="8">
        <v>32</v>
      </c>
      <c r="B506" s="8">
        <v>9</v>
      </c>
      <c r="C506" s="8">
        <v>3036</v>
      </c>
      <c r="D506" s="16">
        <v>1.7116949999999999E-5</v>
      </c>
      <c r="E506" s="8">
        <v>8.5584749999999994E-6</v>
      </c>
    </row>
    <row r="507" spans="1:5" x14ac:dyDescent="0.3">
      <c r="A507" s="8">
        <v>32</v>
      </c>
      <c r="B507" s="8">
        <v>10</v>
      </c>
      <c r="C507" s="8">
        <v>3031</v>
      </c>
      <c r="D507" s="16">
        <v>-1.9011110000000001E-2</v>
      </c>
      <c r="E507" s="8">
        <v>-9.5055550000000006E-3</v>
      </c>
    </row>
    <row r="508" spans="1:5" x14ac:dyDescent="0.3">
      <c r="A508" s="8">
        <v>32</v>
      </c>
      <c r="B508" s="8">
        <v>11</v>
      </c>
      <c r="C508" s="8">
        <v>3032</v>
      </c>
      <c r="D508" s="16">
        <v>2.030649E-2</v>
      </c>
      <c r="E508" s="8">
        <v>1.0153245E-2</v>
      </c>
    </row>
    <row r="509" spans="1:5" x14ac:dyDescent="0.3">
      <c r="A509" s="8">
        <v>32</v>
      </c>
      <c r="B509" s="8">
        <v>12</v>
      </c>
      <c r="C509" s="8">
        <v>3050</v>
      </c>
      <c r="D509" s="16">
        <v>-3.251706E-2</v>
      </c>
      <c r="E509" s="8">
        <v>-1.625853E-2</v>
      </c>
    </row>
    <row r="510" spans="1:5" x14ac:dyDescent="0.3">
      <c r="A510" s="8">
        <v>32</v>
      </c>
      <c r="B510" s="8">
        <v>13</v>
      </c>
      <c r="C510" s="8">
        <v>3027</v>
      </c>
      <c r="D510" s="16">
        <v>-3.1570840000000003E-2</v>
      </c>
      <c r="E510" s="8">
        <v>-1.5785420000000001E-2</v>
      </c>
    </row>
    <row r="511" spans="1:5" x14ac:dyDescent="0.3">
      <c r="A511" s="8">
        <v>32</v>
      </c>
      <c r="B511" s="8">
        <v>14</v>
      </c>
      <c r="C511" s="8">
        <v>3024</v>
      </c>
      <c r="D511" s="16">
        <v>-1.9087170000000001E-2</v>
      </c>
      <c r="E511" s="8">
        <v>-9.5435850000000003E-3</v>
      </c>
    </row>
    <row r="512" spans="1:5" x14ac:dyDescent="0.3">
      <c r="A512" s="8">
        <v>32</v>
      </c>
      <c r="B512" s="8">
        <v>15</v>
      </c>
      <c r="C512" s="8">
        <v>3040</v>
      </c>
      <c r="D512" s="16">
        <v>-4.9678060000000003E-2</v>
      </c>
      <c r="E512" s="8">
        <v>-2.4839030000000002E-2</v>
      </c>
    </row>
    <row r="513" spans="1:5" x14ac:dyDescent="0.3">
      <c r="A513" s="8">
        <v>32</v>
      </c>
      <c r="B513" s="8">
        <v>16</v>
      </c>
      <c r="C513" s="8">
        <v>3041</v>
      </c>
      <c r="D513" s="16">
        <v>-1.513859E-2</v>
      </c>
      <c r="E513" s="8">
        <v>-7.5692950000000002E-3</v>
      </c>
    </row>
    <row r="514" spans="1:5" x14ac:dyDescent="0.3">
      <c r="A514" s="8">
        <v>32</v>
      </c>
      <c r="B514" s="8">
        <v>17</v>
      </c>
      <c r="C514" s="8">
        <v>3036</v>
      </c>
      <c r="D514" s="16">
        <v>-3.8165360000000002E-2</v>
      </c>
      <c r="E514" s="8">
        <v>-1.9082680000000001E-2</v>
      </c>
    </row>
    <row r="515" spans="1:5" x14ac:dyDescent="0.3">
      <c r="A515" s="8">
        <v>32</v>
      </c>
      <c r="B515" s="8">
        <v>18</v>
      </c>
      <c r="C515" s="8">
        <v>3058</v>
      </c>
      <c r="D515" s="16">
        <v>-9.5965340000000003E-3</v>
      </c>
      <c r="E515" s="8">
        <v>-4.7982670000000002E-3</v>
      </c>
    </row>
    <row r="516" spans="1:5" x14ac:dyDescent="0.3">
      <c r="A516" s="8">
        <v>32</v>
      </c>
      <c r="B516" s="8">
        <v>19</v>
      </c>
      <c r="C516" s="8">
        <v>3037</v>
      </c>
      <c r="D516" s="16">
        <v>1.060795E-2</v>
      </c>
      <c r="E516" s="8">
        <v>5.3039749999999998E-3</v>
      </c>
    </row>
    <row r="517" spans="1:5" x14ac:dyDescent="0.3">
      <c r="A517" s="8">
        <v>32</v>
      </c>
      <c r="B517" s="8">
        <v>20</v>
      </c>
      <c r="C517" s="8">
        <v>3048</v>
      </c>
      <c r="D517" s="16">
        <v>1.21376E-2</v>
      </c>
      <c r="E517" s="8">
        <v>6.0688000000000001E-3</v>
      </c>
    </row>
    <row r="518" spans="1:5" x14ac:dyDescent="0.3">
      <c r="A518" s="8">
        <v>32</v>
      </c>
      <c r="B518" s="8">
        <v>21</v>
      </c>
      <c r="C518" s="8">
        <v>3043</v>
      </c>
      <c r="D518" s="16">
        <v>2.077522E-2</v>
      </c>
      <c r="E518" s="8">
        <v>1.038761E-2</v>
      </c>
    </row>
    <row r="519" spans="1:5" x14ac:dyDescent="0.3">
      <c r="A519" s="8">
        <v>32</v>
      </c>
      <c r="B519" s="8">
        <v>22</v>
      </c>
      <c r="C519" s="8">
        <v>3030</v>
      </c>
      <c r="D519" s="16">
        <v>-3.1451369999999999E-2</v>
      </c>
      <c r="E519" s="8">
        <v>-1.5725685E-2</v>
      </c>
    </row>
    <row r="520" spans="1:5" x14ac:dyDescent="0.3">
      <c r="A520" s="8">
        <v>32</v>
      </c>
      <c r="B520" s="8">
        <v>23</v>
      </c>
      <c r="C520" s="8">
        <v>3029</v>
      </c>
      <c r="D520" s="16">
        <v>-1.7147720000000002E-2</v>
      </c>
      <c r="E520" s="8">
        <v>-8.5738600000000009E-3</v>
      </c>
    </row>
    <row r="521" spans="1:5" x14ac:dyDescent="0.3">
      <c r="A521" s="8">
        <v>32</v>
      </c>
      <c r="B521" s="8">
        <v>24</v>
      </c>
      <c r="C521" s="8">
        <v>3059</v>
      </c>
      <c r="D521" s="16">
        <v>2.3813440000000001E-3</v>
      </c>
      <c r="E521" s="8">
        <v>1.190672E-3</v>
      </c>
    </row>
    <row r="522" spans="1:5" x14ac:dyDescent="0.3">
      <c r="A522" s="8">
        <v>32</v>
      </c>
      <c r="B522" s="8">
        <v>25</v>
      </c>
      <c r="C522" s="8">
        <v>3040</v>
      </c>
      <c r="D522" s="16">
        <v>2.757687E-2</v>
      </c>
      <c r="E522" s="8">
        <v>1.3788435E-2</v>
      </c>
    </row>
    <row r="523" spans="1:5" x14ac:dyDescent="0.3">
      <c r="A523" s="8">
        <v>32</v>
      </c>
      <c r="B523" s="8">
        <v>26</v>
      </c>
      <c r="C523" s="8">
        <v>3053</v>
      </c>
      <c r="D523" s="16">
        <v>-2.7141660000000001E-2</v>
      </c>
      <c r="E523" s="8">
        <v>-1.3570830000000001E-2</v>
      </c>
    </row>
    <row r="524" spans="1:5" x14ac:dyDescent="0.3">
      <c r="A524" s="8">
        <v>32</v>
      </c>
      <c r="B524" s="8">
        <v>27</v>
      </c>
      <c r="C524" s="8">
        <v>3058</v>
      </c>
      <c r="D524" s="16">
        <v>-3.2276340000000001E-2</v>
      </c>
      <c r="E524" s="8">
        <v>-1.613817E-2</v>
      </c>
    </row>
    <row r="525" spans="1:5" x14ac:dyDescent="0.3">
      <c r="A525" s="8">
        <v>32</v>
      </c>
      <c r="B525" s="8">
        <v>28</v>
      </c>
      <c r="C525" s="8">
        <v>3027</v>
      </c>
      <c r="D525" s="16">
        <v>-3.4253829999999999E-2</v>
      </c>
      <c r="E525" s="8">
        <v>-1.7126915E-2</v>
      </c>
    </row>
    <row r="526" spans="1:5" x14ac:dyDescent="0.3">
      <c r="A526" s="8">
        <v>32</v>
      </c>
      <c r="B526" s="8">
        <v>29</v>
      </c>
      <c r="C526" s="8">
        <v>3031</v>
      </c>
      <c r="D526" s="16">
        <v>5.104216E-3</v>
      </c>
      <c r="E526" s="8">
        <v>2.552108E-3</v>
      </c>
    </row>
    <row r="527" spans="1:5" x14ac:dyDescent="0.3">
      <c r="A527" s="8">
        <v>32</v>
      </c>
      <c r="B527" s="8">
        <v>30</v>
      </c>
      <c r="C527" s="8">
        <v>3040</v>
      </c>
      <c r="D527" s="16">
        <v>-1.094444E-2</v>
      </c>
      <c r="E527" s="8">
        <v>-5.4722199999999999E-3</v>
      </c>
    </row>
    <row r="528" spans="1:5" x14ac:dyDescent="0.3">
      <c r="A528" s="8">
        <v>32</v>
      </c>
      <c r="B528" s="8">
        <v>31</v>
      </c>
      <c r="C528" s="8">
        <v>2962</v>
      </c>
      <c r="D528" s="16">
        <v>-1.466784E-2</v>
      </c>
      <c r="E528" s="8">
        <v>-7.3339199999999998E-3</v>
      </c>
    </row>
    <row r="529" spans="1:5" x14ac:dyDescent="0.3">
      <c r="A529" s="8">
        <v>32</v>
      </c>
      <c r="B529" s="8">
        <v>32</v>
      </c>
      <c r="C529" s="8">
        <v>3139</v>
      </c>
      <c r="D529" s="16">
        <v>1.105917</v>
      </c>
      <c r="E529" s="8"/>
    </row>
    <row r="530" spans="1:5" x14ac:dyDescent="0.3">
      <c r="A530" s="8">
        <v>33</v>
      </c>
      <c r="B530" s="8">
        <v>1</v>
      </c>
      <c r="C530" s="8">
        <v>3086</v>
      </c>
      <c r="D530" s="16">
        <v>2.7018029999999998E-2</v>
      </c>
      <c r="E530" s="8">
        <v>1.3509014999999999E-2</v>
      </c>
    </row>
    <row r="531" spans="1:5" x14ac:dyDescent="0.3">
      <c r="A531" s="8">
        <v>33</v>
      </c>
      <c r="B531" s="8">
        <v>2</v>
      </c>
      <c r="C531" s="8">
        <v>3053</v>
      </c>
      <c r="D531" s="16">
        <v>-2.2351820000000001E-2</v>
      </c>
      <c r="E531" s="8">
        <v>-1.1175910000000001E-2</v>
      </c>
    </row>
    <row r="532" spans="1:5" x14ac:dyDescent="0.3">
      <c r="A532" s="8">
        <v>33</v>
      </c>
      <c r="B532" s="8">
        <v>3</v>
      </c>
      <c r="C532" s="8">
        <v>3080</v>
      </c>
      <c r="D532" s="16">
        <v>-2.6528260000000001E-2</v>
      </c>
      <c r="E532" s="8">
        <v>-1.3264130000000001E-2</v>
      </c>
    </row>
    <row r="533" spans="1:5" x14ac:dyDescent="0.3">
      <c r="A533" s="8">
        <v>33</v>
      </c>
      <c r="B533" s="8">
        <v>4</v>
      </c>
      <c r="C533" s="8">
        <v>3057</v>
      </c>
      <c r="D533" s="16">
        <v>-7.2795239999999999E-3</v>
      </c>
      <c r="E533" s="8">
        <v>-3.6397619999999999E-3</v>
      </c>
    </row>
    <row r="534" spans="1:5" x14ac:dyDescent="0.3">
      <c r="A534" s="8">
        <v>33</v>
      </c>
      <c r="B534" s="8">
        <v>5</v>
      </c>
      <c r="C534" s="8">
        <v>3049</v>
      </c>
      <c r="D534" s="16">
        <v>-4.6639559999999997E-2</v>
      </c>
      <c r="E534" s="8">
        <v>-2.3319779999999998E-2</v>
      </c>
    </row>
    <row r="535" spans="1:5" x14ac:dyDescent="0.3">
      <c r="A535" s="8">
        <v>33</v>
      </c>
      <c r="B535" s="8">
        <v>6</v>
      </c>
      <c r="C535" s="8">
        <v>3061</v>
      </c>
      <c r="D535" s="16">
        <v>1.6710570000000001E-3</v>
      </c>
      <c r="E535" s="8">
        <v>8.3552850000000005E-4</v>
      </c>
    </row>
    <row r="536" spans="1:5" x14ac:dyDescent="0.3">
      <c r="A536" s="8">
        <v>33</v>
      </c>
      <c r="B536" s="8">
        <v>7</v>
      </c>
      <c r="C536" s="8">
        <v>3060</v>
      </c>
      <c r="D536" s="16">
        <v>2.5750550000000001E-2</v>
      </c>
      <c r="E536" s="8">
        <v>1.2875275E-2</v>
      </c>
    </row>
    <row r="537" spans="1:5" x14ac:dyDescent="0.3">
      <c r="A537" s="8">
        <v>33</v>
      </c>
      <c r="B537" s="8">
        <v>8</v>
      </c>
      <c r="C537" s="8">
        <v>3078</v>
      </c>
      <c r="D537" s="16">
        <v>2.020222E-2</v>
      </c>
      <c r="E537" s="8">
        <v>1.010111E-2</v>
      </c>
    </row>
    <row r="538" spans="1:5" x14ac:dyDescent="0.3">
      <c r="A538" s="8">
        <v>33</v>
      </c>
      <c r="B538" s="8">
        <v>9</v>
      </c>
      <c r="C538" s="8">
        <v>3067</v>
      </c>
      <c r="D538" s="16">
        <v>-2.8444759999999999E-2</v>
      </c>
      <c r="E538" s="8">
        <v>-1.422238E-2</v>
      </c>
    </row>
    <row r="539" spans="1:5" x14ac:dyDescent="0.3">
      <c r="A539" s="8">
        <v>33</v>
      </c>
      <c r="B539" s="8">
        <v>10</v>
      </c>
      <c r="C539" s="8">
        <v>3059</v>
      </c>
      <c r="D539" s="16">
        <v>-6.3755199999999998E-2</v>
      </c>
      <c r="E539" s="8">
        <v>-3.1877599999999999E-2</v>
      </c>
    </row>
    <row r="540" spans="1:5" x14ac:dyDescent="0.3">
      <c r="A540" s="8">
        <v>33</v>
      </c>
      <c r="B540" s="8">
        <v>11</v>
      </c>
      <c r="C540" s="8">
        <v>3059</v>
      </c>
      <c r="D540" s="16">
        <v>-1.471371E-2</v>
      </c>
      <c r="E540" s="8">
        <v>-7.3568549999999998E-3</v>
      </c>
    </row>
    <row r="541" spans="1:5" x14ac:dyDescent="0.3">
      <c r="A541" s="8">
        <v>33</v>
      </c>
      <c r="B541" s="8">
        <v>12</v>
      </c>
      <c r="C541" s="8">
        <v>3077</v>
      </c>
      <c r="D541" s="16">
        <v>8.6378740000000002E-3</v>
      </c>
      <c r="E541" s="8">
        <v>4.3189370000000001E-3</v>
      </c>
    </row>
    <row r="542" spans="1:5" x14ac:dyDescent="0.3">
      <c r="A542" s="8">
        <v>33</v>
      </c>
      <c r="B542" s="8">
        <v>13</v>
      </c>
      <c r="C542" s="8">
        <v>3062</v>
      </c>
      <c r="D542" s="16">
        <v>-2.7288139999999999E-2</v>
      </c>
      <c r="E542" s="8">
        <v>-1.3644069999999999E-2</v>
      </c>
    </row>
    <row r="543" spans="1:5" x14ac:dyDescent="0.3">
      <c r="A543" s="8">
        <v>33</v>
      </c>
      <c r="B543" s="8">
        <v>14</v>
      </c>
      <c r="C543" s="8">
        <v>3055</v>
      </c>
      <c r="D543" s="16">
        <v>-1.0978419999999999E-2</v>
      </c>
      <c r="E543" s="8">
        <v>-5.4892099999999996E-3</v>
      </c>
    </row>
    <row r="544" spans="1:5" x14ac:dyDescent="0.3">
      <c r="A544" s="8">
        <v>33</v>
      </c>
      <c r="B544" s="8">
        <v>15</v>
      </c>
      <c r="C544" s="8">
        <v>3066</v>
      </c>
      <c r="D544" s="16">
        <v>-3.966165E-2</v>
      </c>
      <c r="E544" s="8">
        <v>-1.9830825E-2</v>
      </c>
    </row>
    <row r="545" spans="1:5" x14ac:dyDescent="0.3">
      <c r="A545" s="8">
        <v>33</v>
      </c>
      <c r="B545" s="8">
        <v>16</v>
      </c>
      <c r="C545" s="8">
        <v>3073</v>
      </c>
      <c r="D545" s="16">
        <v>-3.037424E-2</v>
      </c>
      <c r="E545" s="8">
        <v>-1.518712E-2</v>
      </c>
    </row>
    <row r="546" spans="1:5" x14ac:dyDescent="0.3">
      <c r="A546" s="8">
        <v>33</v>
      </c>
      <c r="B546" s="8">
        <v>17</v>
      </c>
      <c r="C546" s="8">
        <v>3070</v>
      </c>
      <c r="D546" s="16">
        <v>2.928921E-2</v>
      </c>
      <c r="E546" s="8">
        <v>1.4644605E-2</v>
      </c>
    </row>
    <row r="547" spans="1:5" x14ac:dyDescent="0.3">
      <c r="A547" s="8">
        <v>33</v>
      </c>
      <c r="B547" s="8">
        <v>18</v>
      </c>
      <c r="C547" s="8">
        <v>3084</v>
      </c>
      <c r="D547" s="16">
        <v>-3.4298570000000001E-3</v>
      </c>
      <c r="E547" s="8">
        <v>-1.7149285000000001E-3</v>
      </c>
    </row>
    <row r="548" spans="1:5" x14ac:dyDescent="0.3">
      <c r="A548" s="8">
        <v>33</v>
      </c>
      <c r="B548" s="8">
        <v>19</v>
      </c>
      <c r="C548" s="8">
        <v>3067</v>
      </c>
      <c r="D548" s="16">
        <v>-1.762617E-3</v>
      </c>
      <c r="E548" s="8">
        <v>-8.8130849999999998E-4</v>
      </c>
    </row>
    <row r="549" spans="1:5" x14ac:dyDescent="0.3">
      <c r="A549" s="8">
        <v>33</v>
      </c>
      <c r="B549" s="8">
        <v>20</v>
      </c>
      <c r="C549" s="8">
        <v>3076</v>
      </c>
      <c r="D549" s="16">
        <v>-3.1056E-2</v>
      </c>
      <c r="E549" s="8">
        <v>-1.5528E-2</v>
      </c>
    </row>
    <row r="550" spans="1:5" x14ac:dyDescent="0.3">
      <c r="A550" s="8">
        <v>33</v>
      </c>
      <c r="B550" s="8">
        <v>21</v>
      </c>
      <c r="C550" s="8">
        <v>3073</v>
      </c>
      <c r="D550" s="16">
        <v>3.5258659999999997E-2</v>
      </c>
      <c r="E550" s="8">
        <v>1.7629329999999999E-2</v>
      </c>
    </row>
    <row r="551" spans="1:5" x14ac:dyDescent="0.3">
      <c r="A551" s="8">
        <v>33</v>
      </c>
      <c r="B551" s="8">
        <v>22</v>
      </c>
      <c r="C551" s="8">
        <v>3058</v>
      </c>
      <c r="D551" s="16">
        <v>-1.1314050000000001E-2</v>
      </c>
      <c r="E551" s="8">
        <v>-5.6570250000000004E-3</v>
      </c>
    </row>
    <row r="552" spans="1:5" x14ac:dyDescent="0.3">
      <c r="A552" s="8">
        <v>33</v>
      </c>
      <c r="B552" s="8">
        <v>23</v>
      </c>
      <c r="C552" s="8">
        <v>3059</v>
      </c>
      <c r="D552" s="16">
        <v>2.6019440000000001E-2</v>
      </c>
      <c r="E552" s="8">
        <v>1.3009720000000001E-2</v>
      </c>
    </row>
    <row r="553" spans="1:5" x14ac:dyDescent="0.3">
      <c r="A553" s="8">
        <v>33</v>
      </c>
      <c r="B553" s="8">
        <v>24</v>
      </c>
      <c r="C553" s="8">
        <v>3085</v>
      </c>
      <c r="D553" s="16">
        <v>1.496743E-2</v>
      </c>
      <c r="E553" s="8">
        <v>7.4837150000000002E-3</v>
      </c>
    </row>
    <row r="554" spans="1:5" x14ac:dyDescent="0.3">
      <c r="A554" s="8">
        <v>33</v>
      </c>
      <c r="B554" s="8">
        <v>25</v>
      </c>
      <c r="C554" s="8">
        <v>3068</v>
      </c>
      <c r="D554" s="16">
        <v>-8.1427189999999997E-2</v>
      </c>
      <c r="E554" s="8">
        <v>-4.0713594999999998E-2</v>
      </c>
    </row>
    <row r="555" spans="1:5" x14ac:dyDescent="0.3">
      <c r="A555" s="8">
        <v>33</v>
      </c>
      <c r="B555" s="8">
        <v>26</v>
      </c>
      <c r="C555" s="8">
        <v>3081</v>
      </c>
      <c r="D555" s="16">
        <v>-3.7257270000000002E-2</v>
      </c>
      <c r="E555" s="8">
        <v>-1.8628635000000001E-2</v>
      </c>
    </row>
    <row r="556" spans="1:5" x14ac:dyDescent="0.3">
      <c r="A556" s="8">
        <v>33</v>
      </c>
      <c r="B556" s="8">
        <v>27</v>
      </c>
      <c r="C556" s="8">
        <v>3091</v>
      </c>
      <c r="D556" s="16">
        <v>-1.7876449999999999E-2</v>
      </c>
      <c r="E556" s="8">
        <v>-8.9382249999999993E-3</v>
      </c>
    </row>
    <row r="557" spans="1:5" x14ac:dyDescent="0.3">
      <c r="A557" s="8">
        <v>33</v>
      </c>
      <c r="B557" s="8">
        <v>28</v>
      </c>
      <c r="C557" s="8">
        <v>3051</v>
      </c>
      <c r="D557" s="16">
        <v>-4.6711580000000003E-2</v>
      </c>
      <c r="E557" s="8">
        <v>-2.3355790000000001E-2</v>
      </c>
    </row>
    <row r="558" spans="1:5" x14ac:dyDescent="0.3">
      <c r="A558" s="8">
        <v>33</v>
      </c>
      <c r="B558" s="8">
        <v>29</v>
      </c>
      <c r="C558" s="8">
        <v>3055</v>
      </c>
      <c r="D558" s="16">
        <v>-3.0821129999999999E-2</v>
      </c>
      <c r="E558" s="8">
        <v>-1.5410564999999999E-2</v>
      </c>
    </row>
    <row r="559" spans="1:5" x14ac:dyDescent="0.3">
      <c r="A559" s="8">
        <v>33</v>
      </c>
      <c r="B559" s="8">
        <v>30</v>
      </c>
      <c r="C559" s="8">
        <v>3068</v>
      </c>
      <c r="D559" s="16">
        <v>2.1189669999999998E-3</v>
      </c>
      <c r="E559" s="8">
        <v>1.0594834999999999E-3</v>
      </c>
    </row>
    <row r="560" spans="1:5" x14ac:dyDescent="0.3">
      <c r="A560" s="8">
        <v>33</v>
      </c>
      <c r="B560" s="8">
        <v>31</v>
      </c>
      <c r="C560" s="8">
        <v>2993</v>
      </c>
      <c r="D560" s="16">
        <v>-1.7562419999999999E-2</v>
      </c>
      <c r="E560" s="8">
        <v>-8.7812099999999994E-3</v>
      </c>
    </row>
    <row r="561" spans="1:5" x14ac:dyDescent="0.3">
      <c r="A561" s="8">
        <v>33</v>
      </c>
      <c r="B561" s="8">
        <v>32</v>
      </c>
      <c r="C561" s="8">
        <v>3056</v>
      </c>
      <c r="D561" s="16">
        <v>-4.0810399999999997E-2</v>
      </c>
      <c r="E561" s="8">
        <v>-2.0405199999999998E-2</v>
      </c>
    </row>
    <row r="562" spans="1:5" x14ac:dyDescent="0.3">
      <c r="A562" s="8">
        <v>33</v>
      </c>
      <c r="B562" s="8">
        <v>33</v>
      </c>
      <c r="C562" s="8">
        <v>3168</v>
      </c>
      <c r="D562" s="16">
        <v>1.125704</v>
      </c>
      <c r="E562" s="8"/>
    </row>
    <row r="563" spans="1:5" x14ac:dyDescent="0.3">
      <c r="A563" s="8">
        <v>34</v>
      </c>
      <c r="B563" s="8">
        <v>1</v>
      </c>
      <c r="C563" s="8">
        <v>3077</v>
      </c>
      <c r="D563" s="16">
        <v>-1.078483E-2</v>
      </c>
      <c r="E563" s="8">
        <v>-5.3924150000000002E-3</v>
      </c>
    </row>
    <row r="564" spans="1:5" x14ac:dyDescent="0.3">
      <c r="A564" s="8">
        <v>34</v>
      </c>
      <c r="B564" s="8">
        <v>2</v>
      </c>
      <c r="C564" s="8">
        <v>3046</v>
      </c>
      <c r="D564" s="16">
        <v>-3.8787160000000001E-2</v>
      </c>
      <c r="E564" s="8">
        <v>-1.9393580000000001E-2</v>
      </c>
    </row>
    <row r="565" spans="1:5" x14ac:dyDescent="0.3">
      <c r="A565" s="8">
        <v>34</v>
      </c>
      <c r="B565" s="8">
        <v>3</v>
      </c>
      <c r="C565" s="8">
        <v>3070</v>
      </c>
      <c r="D565" s="16">
        <v>-1.6011919999999999E-2</v>
      </c>
      <c r="E565" s="8">
        <v>-8.0059599999999995E-3</v>
      </c>
    </row>
    <row r="566" spans="1:5" x14ac:dyDescent="0.3">
      <c r="A566" s="8">
        <v>34</v>
      </c>
      <c r="B566" s="8">
        <v>4</v>
      </c>
      <c r="C566" s="8">
        <v>3048</v>
      </c>
      <c r="D566" s="16">
        <v>-6.7113069999999997E-3</v>
      </c>
      <c r="E566" s="8">
        <v>-3.3556534999999998E-3</v>
      </c>
    </row>
    <row r="567" spans="1:5" x14ac:dyDescent="0.3">
      <c r="A567" s="8">
        <v>34</v>
      </c>
      <c r="B567" s="8">
        <v>5</v>
      </c>
      <c r="C567" s="8">
        <v>3037</v>
      </c>
      <c r="D567" s="16">
        <v>9.0889549999999993E-3</v>
      </c>
      <c r="E567" s="8">
        <v>4.5444774999999996E-3</v>
      </c>
    </row>
    <row r="568" spans="1:5" x14ac:dyDescent="0.3">
      <c r="A568" s="8">
        <v>34</v>
      </c>
      <c r="B568" s="8">
        <v>6</v>
      </c>
      <c r="C568" s="8">
        <v>3054</v>
      </c>
      <c r="D568" s="16">
        <v>-3.4817229999999998E-2</v>
      </c>
      <c r="E568" s="8">
        <v>-1.7408614999999999E-2</v>
      </c>
    </row>
    <row r="569" spans="1:5" x14ac:dyDescent="0.3">
      <c r="A569" s="8">
        <v>34</v>
      </c>
      <c r="B569" s="8">
        <v>7</v>
      </c>
      <c r="C569" s="8">
        <v>3048</v>
      </c>
      <c r="D569" s="16">
        <v>-1.6752510000000002E-2</v>
      </c>
      <c r="E569" s="8">
        <v>-8.3762550000000009E-3</v>
      </c>
    </row>
    <row r="570" spans="1:5" x14ac:dyDescent="0.3">
      <c r="A570" s="8">
        <v>34</v>
      </c>
      <c r="B570" s="8">
        <v>8</v>
      </c>
      <c r="C570" s="8">
        <v>3064</v>
      </c>
      <c r="D570" s="16">
        <v>9.8787800000000002E-3</v>
      </c>
      <c r="E570" s="8">
        <v>4.9393900000000001E-3</v>
      </c>
    </row>
    <row r="571" spans="1:5" x14ac:dyDescent="0.3">
      <c r="A571" s="8">
        <v>34</v>
      </c>
      <c r="B571" s="8">
        <v>9</v>
      </c>
      <c r="C571" s="8">
        <v>3056</v>
      </c>
      <c r="D571" s="16">
        <v>-4.5532759999999999E-2</v>
      </c>
      <c r="E571" s="8">
        <v>-2.2766379999999999E-2</v>
      </c>
    </row>
    <row r="572" spans="1:5" x14ac:dyDescent="0.3">
      <c r="A572" s="8">
        <v>34</v>
      </c>
      <c r="B572" s="8">
        <v>10</v>
      </c>
      <c r="C572" s="8">
        <v>3045</v>
      </c>
      <c r="D572" s="16">
        <v>2.058805E-2</v>
      </c>
      <c r="E572" s="8">
        <v>1.0294025E-2</v>
      </c>
    </row>
    <row r="573" spans="1:5" x14ac:dyDescent="0.3">
      <c r="A573" s="8">
        <v>34</v>
      </c>
      <c r="B573" s="8">
        <v>11</v>
      </c>
      <c r="C573" s="8">
        <v>3051</v>
      </c>
      <c r="D573" s="16">
        <v>2.7069860000000001E-2</v>
      </c>
      <c r="E573" s="8">
        <v>1.3534930000000001E-2</v>
      </c>
    </row>
    <row r="574" spans="1:5" x14ac:dyDescent="0.3">
      <c r="A574" s="8">
        <v>34</v>
      </c>
      <c r="B574" s="8">
        <v>12</v>
      </c>
      <c r="C574" s="8">
        <v>3070</v>
      </c>
      <c r="D574" s="16">
        <v>1.618315E-2</v>
      </c>
      <c r="E574" s="8">
        <v>8.0915750000000002E-3</v>
      </c>
    </row>
    <row r="575" spans="1:5" x14ac:dyDescent="0.3">
      <c r="A575" s="8">
        <v>34</v>
      </c>
      <c r="B575" s="8">
        <v>13</v>
      </c>
      <c r="C575" s="8">
        <v>3051</v>
      </c>
      <c r="D575" s="16">
        <v>-1.8099460000000001E-2</v>
      </c>
      <c r="E575" s="8">
        <v>-9.0497300000000006E-3</v>
      </c>
    </row>
    <row r="576" spans="1:5" x14ac:dyDescent="0.3">
      <c r="A576" s="8">
        <v>34</v>
      </c>
      <c r="B576" s="8">
        <v>14</v>
      </c>
      <c r="C576" s="8">
        <v>3045</v>
      </c>
      <c r="D576" s="16">
        <v>4.4237620000000004E-3</v>
      </c>
      <c r="E576" s="8">
        <v>2.2118810000000002E-3</v>
      </c>
    </row>
    <row r="577" spans="1:5" x14ac:dyDescent="0.3">
      <c r="A577" s="8">
        <v>34</v>
      </c>
      <c r="B577" s="8">
        <v>15</v>
      </c>
      <c r="C577" s="8">
        <v>3054</v>
      </c>
      <c r="D577" s="16">
        <v>2.6624499999999999E-2</v>
      </c>
      <c r="E577" s="8">
        <v>1.3312249999999999E-2</v>
      </c>
    </row>
    <row r="578" spans="1:5" x14ac:dyDescent="0.3">
      <c r="A578" s="8">
        <v>34</v>
      </c>
      <c r="B578" s="8">
        <v>16</v>
      </c>
      <c r="C578" s="8">
        <v>3058</v>
      </c>
      <c r="D578" s="16">
        <v>-1.2127219999999999E-2</v>
      </c>
      <c r="E578" s="8">
        <v>-6.0636099999999997E-3</v>
      </c>
    </row>
    <row r="579" spans="1:5" x14ac:dyDescent="0.3">
      <c r="A579" s="8">
        <v>34</v>
      </c>
      <c r="B579" s="8">
        <v>17</v>
      </c>
      <c r="C579" s="8">
        <v>3055</v>
      </c>
      <c r="D579" s="16">
        <v>-5.7421229999999997E-2</v>
      </c>
      <c r="E579" s="8">
        <v>-2.8710614999999998E-2</v>
      </c>
    </row>
    <row r="580" spans="1:5" x14ac:dyDescent="0.3">
      <c r="A580" s="8">
        <v>34</v>
      </c>
      <c r="B580" s="8">
        <v>18</v>
      </c>
      <c r="C580" s="8">
        <v>3074</v>
      </c>
      <c r="D580" s="16">
        <v>-3.7289240000000002E-3</v>
      </c>
      <c r="E580" s="8">
        <v>-1.8644620000000001E-3</v>
      </c>
    </row>
    <row r="581" spans="1:5" x14ac:dyDescent="0.3">
      <c r="A581" s="8">
        <v>34</v>
      </c>
      <c r="B581" s="8">
        <v>19</v>
      </c>
      <c r="C581" s="8">
        <v>3057</v>
      </c>
      <c r="D581" s="16">
        <v>7.9882129999999992E-3</v>
      </c>
      <c r="E581" s="8">
        <v>3.9941064999999996E-3</v>
      </c>
    </row>
    <row r="582" spans="1:5" x14ac:dyDescent="0.3">
      <c r="A582" s="8">
        <v>34</v>
      </c>
      <c r="B582" s="8">
        <v>20</v>
      </c>
      <c r="C582" s="8">
        <v>3066</v>
      </c>
      <c r="D582" s="16">
        <v>-1.61298E-2</v>
      </c>
      <c r="E582" s="8">
        <v>-8.0648999999999998E-3</v>
      </c>
    </row>
    <row r="583" spans="1:5" x14ac:dyDescent="0.3">
      <c r="A583" s="8">
        <v>34</v>
      </c>
      <c r="B583" s="8">
        <v>21</v>
      </c>
      <c r="C583" s="8">
        <v>3061</v>
      </c>
      <c r="D583" s="16">
        <v>-2.5517740000000001E-2</v>
      </c>
      <c r="E583" s="8">
        <v>-1.275887E-2</v>
      </c>
    </row>
    <row r="584" spans="1:5" x14ac:dyDescent="0.3">
      <c r="A584" s="8">
        <v>34</v>
      </c>
      <c r="B584" s="8">
        <v>22</v>
      </c>
      <c r="C584" s="8">
        <v>3049</v>
      </c>
      <c r="D584" s="16">
        <v>-4.2093129999999999E-2</v>
      </c>
      <c r="E584" s="8">
        <v>-2.1046565E-2</v>
      </c>
    </row>
    <row r="585" spans="1:5" x14ac:dyDescent="0.3">
      <c r="A585" s="8">
        <v>34</v>
      </c>
      <c r="B585" s="8">
        <v>23</v>
      </c>
      <c r="C585" s="8">
        <v>3051</v>
      </c>
      <c r="D585" s="16">
        <v>-3.9437180000000002E-2</v>
      </c>
      <c r="E585" s="8">
        <v>-1.9718590000000001E-2</v>
      </c>
    </row>
    <row r="586" spans="1:5" x14ac:dyDescent="0.3">
      <c r="A586" s="8">
        <v>34</v>
      </c>
      <c r="B586" s="8">
        <v>24</v>
      </c>
      <c r="C586" s="8">
        <v>3077</v>
      </c>
      <c r="D586" s="16">
        <v>-4.8794909999999997E-2</v>
      </c>
      <c r="E586" s="8">
        <v>-2.4397454999999998E-2</v>
      </c>
    </row>
    <row r="587" spans="1:5" x14ac:dyDescent="0.3">
      <c r="A587" s="8">
        <v>34</v>
      </c>
      <c r="B587" s="8">
        <v>25</v>
      </c>
      <c r="C587" s="8">
        <v>3062</v>
      </c>
      <c r="D587" s="16">
        <v>-1.1574559999999999E-2</v>
      </c>
      <c r="E587" s="8">
        <v>-5.7872799999999997E-3</v>
      </c>
    </row>
    <row r="588" spans="1:5" x14ac:dyDescent="0.3">
      <c r="A588" s="8">
        <v>34</v>
      </c>
      <c r="B588" s="8">
        <v>26</v>
      </c>
      <c r="C588" s="8">
        <v>3065</v>
      </c>
      <c r="D588" s="16">
        <v>-5.151385E-2</v>
      </c>
      <c r="E588" s="8">
        <v>-2.5756925E-2</v>
      </c>
    </row>
    <row r="589" spans="1:5" x14ac:dyDescent="0.3">
      <c r="A589" s="8">
        <v>34</v>
      </c>
      <c r="B589" s="8">
        <v>27</v>
      </c>
      <c r="C589" s="8">
        <v>3075</v>
      </c>
      <c r="D589" s="16">
        <v>1.51935E-2</v>
      </c>
      <c r="E589" s="8">
        <v>7.5967500000000002E-3</v>
      </c>
    </row>
    <row r="590" spans="1:5" x14ac:dyDescent="0.3">
      <c r="A590" s="8">
        <v>34</v>
      </c>
      <c r="B590" s="8">
        <v>28</v>
      </c>
      <c r="C590" s="8">
        <v>3044</v>
      </c>
      <c r="D590" s="16">
        <v>-4.3507579999999997E-2</v>
      </c>
      <c r="E590" s="8">
        <v>-2.1753789999999999E-2</v>
      </c>
    </row>
    <row r="591" spans="1:5" x14ac:dyDescent="0.3">
      <c r="A591" s="8">
        <v>34</v>
      </c>
      <c r="B591" s="8">
        <v>29</v>
      </c>
      <c r="C591" s="8">
        <v>3051</v>
      </c>
      <c r="D591" s="16">
        <v>-3.7750329999999999E-2</v>
      </c>
      <c r="E591" s="8">
        <v>-1.8875164999999999E-2</v>
      </c>
    </row>
    <row r="592" spans="1:5" x14ac:dyDescent="0.3">
      <c r="A592" s="8">
        <v>34</v>
      </c>
      <c r="B592" s="8">
        <v>30</v>
      </c>
      <c r="C592" s="8">
        <v>3057</v>
      </c>
      <c r="D592" s="16">
        <v>-4.9790729999999997E-3</v>
      </c>
      <c r="E592" s="8">
        <v>-2.4895364999999998E-3</v>
      </c>
    </row>
    <row r="593" spans="1:5" x14ac:dyDescent="0.3">
      <c r="A593" s="8">
        <v>34</v>
      </c>
      <c r="B593" s="8">
        <v>31</v>
      </c>
      <c r="C593" s="8">
        <v>2983</v>
      </c>
      <c r="D593" s="16">
        <v>3.7618220000000001E-2</v>
      </c>
      <c r="E593" s="8">
        <v>1.880911E-2</v>
      </c>
    </row>
    <row r="594" spans="1:5" x14ac:dyDescent="0.3">
      <c r="A594" s="8">
        <v>34</v>
      </c>
      <c r="B594" s="8">
        <v>32</v>
      </c>
      <c r="C594" s="8">
        <v>3045</v>
      </c>
      <c r="D594" s="16">
        <v>-6.7003110000000005E-2</v>
      </c>
      <c r="E594" s="8">
        <v>-3.3501555000000002E-2</v>
      </c>
    </row>
    <row r="595" spans="1:5" x14ac:dyDescent="0.3">
      <c r="A595" s="8">
        <v>34</v>
      </c>
      <c r="B595" s="8">
        <v>33</v>
      </c>
      <c r="C595" s="8">
        <v>3074</v>
      </c>
      <c r="D595" s="16">
        <v>-3.683707E-2</v>
      </c>
      <c r="E595" s="8">
        <v>-1.8418535E-2</v>
      </c>
    </row>
    <row r="596" spans="1:5" x14ac:dyDescent="0.3">
      <c r="A596" s="8">
        <v>34</v>
      </c>
      <c r="B596" s="8">
        <v>34</v>
      </c>
      <c r="C596" s="8">
        <v>3159</v>
      </c>
      <c r="D596" s="16">
        <v>1.036953</v>
      </c>
      <c r="E596" s="8"/>
    </row>
    <row r="597" spans="1:5" x14ac:dyDescent="0.3">
      <c r="A597" s="8">
        <v>35</v>
      </c>
      <c r="B597" s="8">
        <v>1</v>
      </c>
      <c r="C597" s="8">
        <v>3069</v>
      </c>
      <c r="D597" s="16">
        <v>-4.8402979999999998E-2</v>
      </c>
      <c r="E597" s="8">
        <v>-2.4201489999999999E-2</v>
      </c>
    </row>
    <row r="598" spans="1:5" x14ac:dyDescent="0.3">
      <c r="A598" s="8">
        <v>35</v>
      </c>
      <c r="B598" s="8">
        <v>2</v>
      </c>
      <c r="C598" s="8">
        <v>3041</v>
      </c>
      <c r="D598" s="16">
        <v>-4.2915960000000003E-2</v>
      </c>
      <c r="E598" s="8">
        <v>-2.1457980000000001E-2</v>
      </c>
    </row>
    <row r="599" spans="1:5" x14ac:dyDescent="0.3">
      <c r="A599" s="8">
        <v>35</v>
      </c>
      <c r="B599" s="8">
        <v>3</v>
      </c>
      <c r="C599" s="8">
        <v>3062</v>
      </c>
      <c r="D599" s="16">
        <v>-1.456791E-2</v>
      </c>
      <c r="E599" s="8">
        <v>-7.2839549999999999E-3</v>
      </c>
    </row>
    <row r="600" spans="1:5" x14ac:dyDescent="0.3">
      <c r="A600" s="8">
        <v>35</v>
      </c>
      <c r="B600" s="8">
        <v>4</v>
      </c>
      <c r="C600" s="8">
        <v>3040</v>
      </c>
      <c r="D600" s="16">
        <v>-1.3642349999999999E-2</v>
      </c>
      <c r="E600" s="8">
        <v>-6.8211749999999996E-3</v>
      </c>
    </row>
    <row r="601" spans="1:5" x14ac:dyDescent="0.3">
      <c r="A601" s="8">
        <v>35</v>
      </c>
      <c r="B601" s="8">
        <v>5</v>
      </c>
      <c r="C601" s="8">
        <v>3026</v>
      </c>
      <c r="D601" s="16">
        <v>-3.7467359999999998E-2</v>
      </c>
      <c r="E601" s="8">
        <v>-1.8733679999999999E-2</v>
      </c>
    </row>
    <row r="602" spans="1:5" x14ac:dyDescent="0.3">
      <c r="A602" s="8">
        <v>35</v>
      </c>
      <c r="B602" s="8">
        <v>6</v>
      </c>
      <c r="C602" s="8">
        <v>3049</v>
      </c>
      <c r="D602" s="16">
        <v>1.291435E-2</v>
      </c>
      <c r="E602" s="8">
        <v>6.4571749999999999E-3</v>
      </c>
    </row>
    <row r="603" spans="1:5" x14ac:dyDescent="0.3">
      <c r="A603" s="8">
        <v>35</v>
      </c>
      <c r="B603" s="8">
        <v>7</v>
      </c>
      <c r="C603" s="8">
        <v>3046</v>
      </c>
      <c r="D603" s="16">
        <v>-4.3364069999999998E-2</v>
      </c>
      <c r="E603" s="8">
        <v>-2.1682034999999999E-2</v>
      </c>
    </row>
    <row r="604" spans="1:5" x14ac:dyDescent="0.3">
      <c r="A604" s="8">
        <v>35</v>
      </c>
      <c r="B604" s="8">
        <v>8</v>
      </c>
      <c r="C604" s="8">
        <v>3057</v>
      </c>
      <c r="D604" s="16">
        <v>-1.5262950000000001E-2</v>
      </c>
      <c r="E604" s="8">
        <v>-7.6314750000000004E-3</v>
      </c>
    </row>
    <row r="605" spans="1:5" x14ac:dyDescent="0.3">
      <c r="A605" s="8">
        <v>35</v>
      </c>
      <c r="B605" s="8">
        <v>9</v>
      </c>
      <c r="C605" s="8">
        <v>3054</v>
      </c>
      <c r="D605" s="16">
        <v>4.1586150000000002E-2</v>
      </c>
      <c r="E605" s="8">
        <v>2.0793075000000001E-2</v>
      </c>
    </row>
    <row r="606" spans="1:5" x14ac:dyDescent="0.3">
      <c r="A606" s="8">
        <v>35</v>
      </c>
      <c r="B606" s="8">
        <v>10</v>
      </c>
      <c r="C606" s="8">
        <v>3041</v>
      </c>
      <c r="D606" s="16">
        <v>-1.397906E-3</v>
      </c>
      <c r="E606" s="8">
        <v>-6.9895299999999999E-4</v>
      </c>
    </row>
    <row r="607" spans="1:5" x14ac:dyDescent="0.3">
      <c r="A607" s="8">
        <v>35</v>
      </c>
      <c r="B607" s="8">
        <v>11</v>
      </c>
      <c r="C607" s="8">
        <v>3040</v>
      </c>
      <c r="D607" s="16">
        <v>-4.5435099999999999E-2</v>
      </c>
      <c r="E607" s="8">
        <v>-2.271755E-2</v>
      </c>
    </row>
    <row r="608" spans="1:5" x14ac:dyDescent="0.3">
      <c r="A608" s="8">
        <v>35</v>
      </c>
      <c r="B608" s="8">
        <v>12</v>
      </c>
      <c r="C608" s="8">
        <v>3062</v>
      </c>
      <c r="D608" s="16">
        <v>-2.562356E-3</v>
      </c>
      <c r="E608" s="8">
        <v>-1.281178E-3</v>
      </c>
    </row>
    <row r="609" spans="1:5" x14ac:dyDescent="0.3">
      <c r="A609" s="8">
        <v>35</v>
      </c>
      <c r="B609" s="8">
        <v>13</v>
      </c>
      <c r="C609" s="8">
        <v>3043</v>
      </c>
      <c r="D609" s="16">
        <v>-2.4269019999999999E-2</v>
      </c>
      <c r="E609" s="8">
        <v>-1.2134509999999999E-2</v>
      </c>
    </row>
    <row r="610" spans="1:5" x14ac:dyDescent="0.3">
      <c r="A610" s="8">
        <v>35</v>
      </c>
      <c r="B610" s="8">
        <v>14</v>
      </c>
      <c r="C610" s="8">
        <v>3042</v>
      </c>
      <c r="D610" s="16">
        <v>-2.739842E-2</v>
      </c>
      <c r="E610" s="8">
        <v>-1.369921E-2</v>
      </c>
    </row>
    <row r="611" spans="1:5" x14ac:dyDescent="0.3">
      <c r="A611" s="8">
        <v>35</v>
      </c>
      <c r="B611" s="8">
        <v>15</v>
      </c>
      <c r="C611" s="8">
        <v>3049</v>
      </c>
      <c r="D611" s="16">
        <v>4.4178870000000002E-2</v>
      </c>
      <c r="E611" s="8">
        <v>2.2089435000000001E-2</v>
      </c>
    </row>
    <row r="612" spans="1:5" x14ac:dyDescent="0.3">
      <c r="A612" s="8">
        <v>35</v>
      </c>
      <c r="B612" s="8">
        <v>16</v>
      </c>
      <c r="C612" s="8">
        <v>3049</v>
      </c>
      <c r="D612" s="16">
        <v>-2.365478E-2</v>
      </c>
      <c r="E612" s="8">
        <v>-1.182739E-2</v>
      </c>
    </row>
    <row r="613" spans="1:5" x14ac:dyDescent="0.3">
      <c r="A613" s="8">
        <v>35</v>
      </c>
      <c r="B613" s="8">
        <v>17</v>
      </c>
      <c r="C613" s="8">
        <v>3051</v>
      </c>
      <c r="D613" s="16">
        <v>-5.950606E-2</v>
      </c>
      <c r="E613" s="8">
        <v>-2.975303E-2</v>
      </c>
    </row>
    <row r="614" spans="1:5" x14ac:dyDescent="0.3">
      <c r="A614" s="8">
        <v>35</v>
      </c>
      <c r="B614" s="8">
        <v>18</v>
      </c>
      <c r="C614" s="8">
        <v>3069</v>
      </c>
      <c r="D614" s="16">
        <v>-7.0560029999999999E-3</v>
      </c>
      <c r="E614" s="8">
        <v>-3.5280015E-3</v>
      </c>
    </row>
    <row r="615" spans="1:5" x14ac:dyDescent="0.3">
      <c r="A615" s="8">
        <v>35</v>
      </c>
      <c r="B615" s="8">
        <v>19</v>
      </c>
      <c r="C615" s="8">
        <v>3053</v>
      </c>
      <c r="D615" s="16">
        <v>-4.4492139999999999E-3</v>
      </c>
      <c r="E615" s="8">
        <v>-2.224607E-3</v>
      </c>
    </row>
    <row r="616" spans="1:5" x14ac:dyDescent="0.3">
      <c r="A616" s="8">
        <v>35</v>
      </c>
      <c r="B616" s="8">
        <v>20</v>
      </c>
      <c r="C616" s="8">
        <v>3055</v>
      </c>
      <c r="D616" s="16">
        <v>3.6812829999999998E-2</v>
      </c>
      <c r="E616" s="8">
        <v>1.8406414999999999E-2</v>
      </c>
    </row>
    <row r="617" spans="1:5" x14ac:dyDescent="0.3">
      <c r="A617" s="8">
        <v>35</v>
      </c>
      <c r="B617" s="8">
        <v>21</v>
      </c>
      <c r="C617" s="8">
        <v>3056</v>
      </c>
      <c r="D617" s="16">
        <v>-3.6392189999999998E-2</v>
      </c>
      <c r="E617" s="8">
        <v>-1.8196094999999999E-2</v>
      </c>
    </row>
    <row r="618" spans="1:5" x14ac:dyDescent="0.3">
      <c r="A618" s="8">
        <v>35</v>
      </c>
      <c r="B618" s="8">
        <v>22</v>
      </c>
      <c r="C618" s="8">
        <v>3038</v>
      </c>
      <c r="D618" s="16">
        <v>-2.2045740000000001E-2</v>
      </c>
      <c r="E618" s="8">
        <v>-1.1022870000000001E-2</v>
      </c>
    </row>
    <row r="619" spans="1:5" x14ac:dyDescent="0.3">
      <c r="A619" s="8">
        <v>35</v>
      </c>
      <c r="B619" s="8">
        <v>23</v>
      </c>
      <c r="C619" s="8">
        <v>3046</v>
      </c>
      <c r="D619" s="16">
        <v>-6.2610650000000004E-2</v>
      </c>
      <c r="E619" s="8">
        <v>-3.1305325000000002E-2</v>
      </c>
    </row>
    <row r="620" spans="1:5" x14ac:dyDescent="0.3">
      <c r="A620" s="8">
        <v>35</v>
      </c>
      <c r="B620" s="8">
        <v>24</v>
      </c>
      <c r="C620" s="8">
        <v>3069</v>
      </c>
      <c r="D620" s="16">
        <v>-5.9308989999999999E-2</v>
      </c>
      <c r="E620" s="8">
        <v>-2.9654494999999999E-2</v>
      </c>
    </row>
    <row r="621" spans="1:5" x14ac:dyDescent="0.3">
      <c r="A621" s="8">
        <v>35</v>
      </c>
      <c r="B621" s="8">
        <v>25</v>
      </c>
      <c r="C621" s="8">
        <v>3054</v>
      </c>
      <c r="D621" s="16">
        <v>-2.279343E-2</v>
      </c>
      <c r="E621" s="8">
        <v>-1.1396715E-2</v>
      </c>
    </row>
    <row r="622" spans="1:5" x14ac:dyDescent="0.3">
      <c r="A622" s="8">
        <v>35</v>
      </c>
      <c r="B622" s="8">
        <v>26</v>
      </c>
      <c r="C622" s="8">
        <v>3065</v>
      </c>
      <c r="D622" s="16">
        <v>8.1251359999999998E-3</v>
      </c>
      <c r="E622" s="8">
        <v>4.0625679999999999E-3</v>
      </c>
    </row>
    <row r="623" spans="1:5" x14ac:dyDescent="0.3">
      <c r="A623" s="8">
        <v>35</v>
      </c>
      <c r="B623" s="8">
        <v>27</v>
      </c>
      <c r="C623" s="8">
        <v>3067</v>
      </c>
      <c r="D623" s="16">
        <v>-2.7506079999999999E-2</v>
      </c>
      <c r="E623" s="8">
        <v>-1.3753039999999999E-2</v>
      </c>
    </row>
    <row r="624" spans="1:5" x14ac:dyDescent="0.3">
      <c r="A624" s="8">
        <v>35</v>
      </c>
      <c r="B624" s="8">
        <v>28</v>
      </c>
      <c r="C624" s="8">
        <v>3037</v>
      </c>
      <c r="D624" s="16">
        <v>4.6144289999999998E-2</v>
      </c>
      <c r="E624" s="8">
        <v>2.3072144999999999E-2</v>
      </c>
    </row>
    <row r="625" spans="1:5" x14ac:dyDescent="0.3">
      <c r="A625" s="8">
        <v>35</v>
      </c>
      <c r="B625" s="8">
        <v>29</v>
      </c>
      <c r="C625" s="8">
        <v>3039</v>
      </c>
      <c r="D625" s="16">
        <v>-5.8318659999999998E-3</v>
      </c>
      <c r="E625" s="8">
        <v>-2.9159329999999999E-3</v>
      </c>
    </row>
    <row r="626" spans="1:5" x14ac:dyDescent="0.3">
      <c r="A626" s="8">
        <v>35</v>
      </c>
      <c r="B626" s="8">
        <v>30</v>
      </c>
      <c r="C626" s="8">
        <v>3054</v>
      </c>
      <c r="D626" s="16">
        <v>-3.3906180000000001E-2</v>
      </c>
      <c r="E626" s="8">
        <v>-1.6953090000000001E-2</v>
      </c>
    </row>
    <row r="627" spans="1:5" x14ac:dyDescent="0.3">
      <c r="A627" s="8">
        <v>35</v>
      </c>
      <c r="B627" s="8">
        <v>31</v>
      </c>
      <c r="C627" s="8">
        <v>2968</v>
      </c>
      <c r="D627" s="16">
        <v>-2.012477E-2</v>
      </c>
      <c r="E627" s="8">
        <v>-1.0062385E-2</v>
      </c>
    </row>
    <row r="628" spans="1:5" x14ac:dyDescent="0.3">
      <c r="A628" s="8">
        <v>35</v>
      </c>
      <c r="B628" s="8">
        <v>32</v>
      </c>
      <c r="C628" s="8">
        <v>3043</v>
      </c>
      <c r="D628" s="16">
        <v>-2.4352530000000001E-2</v>
      </c>
      <c r="E628" s="8">
        <v>-1.2176265E-2</v>
      </c>
    </row>
    <row r="629" spans="1:5" x14ac:dyDescent="0.3">
      <c r="A629" s="8">
        <v>35</v>
      </c>
      <c r="B629" s="8">
        <v>33</v>
      </c>
      <c r="C629" s="8">
        <v>3069</v>
      </c>
      <c r="D629" s="16">
        <v>-4.3594599999999997E-2</v>
      </c>
      <c r="E629" s="8">
        <v>-2.1797299999999999E-2</v>
      </c>
    </row>
    <row r="630" spans="1:5" x14ac:dyDescent="0.3">
      <c r="A630" s="8">
        <v>35</v>
      </c>
      <c r="B630" s="8">
        <v>34</v>
      </c>
      <c r="C630" s="8">
        <v>3056</v>
      </c>
      <c r="D630" s="16">
        <v>1.4638470000000001E-2</v>
      </c>
      <c r="E630" s="8">
        <v>7.3192350000000003E-3</v>
      </c>
    </row>
    <row r="631" spans="1:5" x14ac:dyDescent="0.3">
      <c r="A631" s="8">
        <v>35</v>
      </c>
      <c r="B631" s="8">
        <v>35</v>
      </c>
      <c r="C631" s="8">
        <v>3150</v>
      </c>
      <c r="D631" s="16">
        <v>1.157826</v>
      </c>
      <c r="E631" s="8"/>
    </row>
    <row r="632" spans="1:5" x14ac:dyDescent="0.3">
      <c r="A632" s="8">
        <v>36</v>
      </c>
      <c r="B632" s="8">
        <v>1</v>
      </c>
      <c r="C632" s="8">
        <v>3077</v>
      </c>
      <c r="D632" s="16">
        <v>-5.3430600000000002E-2</v>
      </c>
      <c r="E632" s="8">
        <v>-2.6715300000000001E-2</v>
      </c>
    </row>
    <row r="633" spans="1:5" x14ac:dyDescent="0.3">
      <c r="A633" s="8">
        <v>36</v>
      </c>
      <c r="B633" s="8">
        <v>2</v>
      </c>
      <c r="C633" s="8">
        <v>3047</v>
      </c>
      <c r="D633" s="16">
        <v>6.6263299999999997E-3</v>
      </c>
      <c r="E633" s="8">
        <v>3.3131649999999999E-3</v>
      </c>
    </row>
    <row r="634" spans="1:5" x14ac:dyDescent="0.3">
      <c r="A634" s="8">
        <v>36</v>
      </c>
      <c r="B634" s="8">
        <v>3</v>
      </c>
      <c r="C634" s="8">
        <v>3074</v>
      </c>
      <c r="D634" s="16">
        <v>-8.7906159999999994E-3</v>
      </c>
      <c r="E634" s="8">
        <v>-4.3953079999999997E-3</v>
      </c>
    </row>
    <row r="635" spans="1:5" x14ac:dyDescent="0.3">
      <c r="A635" s="8">
        <v>36</v>
      </c>
      <c r="B635" s="8">
        <v>4</v>
      </c>
      <c r="C635" s="8">
        <v>3050</v>
      </c>
      <c r="D635" s="16">
        <v>1.9144699999999999E-3</v>
      </c>
      <c r="E635" s="8">
        <v>9.5723499999999997E-4</v>
      </c>
    </row>
    <row r="636" spans="1:5" x14ac:dyDescent="0.3">
      <c r="A636" s="8">
        <v>36</v>
      </c>
      <c r="B636" s="8">
        <v>5</v>
      </c>
      <c r="C636" s="8">
        <v>3044</v>
      </c>
      <c r="D636" s="16">
        <v>2.0114130000000001E-2</v>
      </c>
      <c r="E636" s="8">
        <v>1.0057065E-2</v>
      </c>
    </row>
    <row r="637" spans="1:5" x14ac:dyDescent="0.3">
      <c r="A637" s="8">
        <v>36</v>
      </c>
      <c r="B637" s="8">
        <v>6</v>
      </c>
      <c r="C637" s="8">
        <v>3055</v>
      </c>
      <c r="D637" s="16">
        <v>-1.1560259999999999E-2</v>
      </c>
      <c r="E637" s="8">
        <v>-5.7801299999999996E-3</v>
      </c>
    </row>
    <row r="638" spans="1:5" x14ac:dyDescent="0.3">
      <c r="A638" s="8">
        <v>36</v>
      </c>
      <c r="B638" s="8">
        <v>7</v>
      </c>
      <c r="C638" s="8">
        <v>3052</v>
      </c>
      <c r="D638" s="16">
        <v>-5.5141700000000002E-2</v>
      </c>
      <c r="E638" s="8">
        <v>-2.7570850000000001E-2</v>
      </c>
    </row>
    <row r="639" spans="1:5" x14ac:dyDescent="0.3">
      <c r="A639" s="8">
        <v>36</v>
      </c>
      <c r="B639" s="8">
        <v>8</v>
      </c>
      <c r="C639" s="8">
        <v>3073</v>
      </c>
      <c r="D639" s="16">
        <v>-3.7954170000000002E-2</v>
      </c>
      <c r="E639" s="8">
        <v>-1.8977085000000001E-2</v>
      </c>
    </row>
    <row r="640" spans="1:5" x14ac:dyDescent="0.3">
      <c r="A640" s="8">
        <v>36</v>
      </c>
      <c r="B640" s="8">
        <v>9</v>
      </c>
      <c r="C640" s="8">
        <v>3059</v>
      </c>
      <c r="D640" s="16">
        <v>-7.1037160000000002E-2</v>
      </c>
      <c r="E640" s="8">
        <v>-3.5518580000000001E-2</v>
      </c>
    </row>
    <row r="641" spans="1:5" x14ac:dyDescent="0.3">
      <c r="A641" s="8">
        <v>36</v>
      </c>
      <c r="B641" s="8">
        <v>10</v>
      </c>
      <c r="C641" s="8">
        <v>3055</v>
      </c>
      <c r="D641" s="16">
        <v>-1.5113150000000001E-2</v>
      </c>
      <c r="E641" s="8">
        <v>-7.5565750000000003E-3</v>
      </c>
    </row>
    <row r="642" spans="1:5" x14ac:dyDescent="0.3">
      <c r="A642" s="8">
        <v>36</v>
      </c>
      <c r="B642" s="8">
        <v>11</v>
      </c>
      <c r="C642" s="8">
        <v>3052</v>
      </c>
      <c r="D642" s="16">
        <v>-3.5682779999999997E-2</v>
      </c>
      <c r="E642" s="8">
        <v>-1.7841389999999999E-2</v>
      </c>
    </row>
    <row r="643" spans="1:5" x14ac:dyDescent="0.3">
      <c r="A643" s="8">
        <v>36</v>
      </c>
      <c r="B643" s="8">
        <v>12</v>
      </c>
      <c r="C643" s="8">
        <v>3072</v>
      </c>
      <c r="D643" s="16">
        <v>-5.8599170000000001E-3</v>
      </c>
      <c r="E643" s="8">
        <v>-2.9299585E-3</v>
      </c>
    </row>
    <row r="644" spans="1:5" x14ac:dyDescent="0.3">
      <c r="A644" s="8">
        <v>36</v>
      </c>
      <c r="B644" s="8">
        <v>13</v>
      </c>
      <c r="C644" s="8">
        <v>3048</v>
      </c>
      <c r="D644" s="16">
        <v>3.3144600000000003E-2</v>
      </c>
      <c r="E644" s="8">
        <v>1.6572300000000002E-2</v>
      </c>
    </row>
    <row r="645" spans="1:5" x14ac:dyDescent="0.3">
      <c r="A645" s="8">
        <v>36</v>
      </c>
      <c r="B645" s="8">
        <v>14</v>
      </c>
      <c r="C645" s="8">
        <v>3050</v>
      </c>
      <c r="D645" s="16">
        <v>3.4796029999999999E-2</v>
      </c>
      <c r="E645" s="8">
        <v>1.7398014999999999E-2</v>
      </c>
    </row>
    <row r="646" spans="1:5" x14ac:dyDescent="0.3">
      <c r="A646" s="8">
        <v>36</v>
      </c>
      <c r="B646" s="8">
        <v>15</v>
      </c>
      <c r="C646" s="8">
        <v>3059</v>
      </c>
      <c r="D646" s="16">
        <v>8.9036949999999997E-3</v>
      </c>
      <c r="E646" s="8">
        <v>4.4518474999999998E-3</v>
      </c>
    </row>
    <row r="647" spans="1:5" x14ac:dyDescent="0.3">
      <c r="A647" s="8">
        <v>36</v>
      </c>
      <c r="B647" s="8">
        <v>16</v>
      </c>
      <c r="C647" s="8">
        <v>3066</v>
      </c>
      <c r="D647" s="16">
        <v>-1.4273610000000001E-2</v>
      </c>
      <c r="E647" s="8">
        <v>-7.1368050000000004E-3</v>
      </c>
    </row>
    <row r="648" spans="1:5" x14ac:dyDescent="0.3">
      <c r="A648" s="8">
        <v>36</v>
      </c>
      <c r="B648" s="8">
        <v>17</v>
      </c>
      <c r="C648" s="8">
        <v>3060</v>
      </c>
      <c r="D648" s="16">
        <v>-1.2981370000000001E-2</v>
      </c>
      <c r="E648" s="8">
        <v>-6.4906850000000004E-3</v>
      </c>
    </row>
    <row r="649" spans="1:5" x14ac:dyDescent="0.3">
      <c r="A649" s="8">
        <v>36</v>
      </c>
      <c r="B649" s="8">
        <v>18</v>
      </c>
      <c r="C649" s="8">
        <v>3077</v>
      </c>
      <c r="D649" s="16">
        <v>-6.486248E-3</v>
      </c>
      <c r="E649" s="8">
        <v>-3.243124E-3</v>
      </c>
    </row>
    <row r="650" spans="1:5" x14ac:dyDescent="0.3">
      <c r="A650" s="8">
        <v>36</v>
      </c>
      <c r="B650" s="8">
        <v>19</v>
      </c>
      <c r="C650" s="8">
        <v>3059</v>
      </c>
      <c r="D650" s="16">
        <v>-3.8025419999999999E-3</v>
      </c>
      <c r="E650" s="8">
        <v>-1.901271E-3</v>
      </c>
    </row>
    <row r="651" spans="1:5" x14ac:dyDescent="0.3">
      <c r="A651" s="8">
        <v>36</v>
      </c>
      <c r="B651" s="8">
        <v>20</v>
      </c>
      <c r="C651" s="8">
        <v>3069</v>
      </c>
      <c r="D651" s="16">
        <v>-4.3008730000000002E-2</v>
      </c>
      <c r="E651" s="8">
        <v>-2.1504365000000001E-2</v>
      </c>
    </row>
    <row r="652" spans="1:5" x14ac:dyDescent="0.3">
      <c r="A652" s="8">
        <v>36</v>
      </c>
      <c r="B652" s="8">
        <v>21</v>
      </c>
      <c r="C652" s="8">
        <v>3065</v>
      </c>
      <c r="D652" s="16">
        <v>1.446277E-2</v>
      </c>
      <c r="E652" s="8">
        <v>7.2313849999999999E-3</v>
      </c>
    </row>
    <row r="653" spans="1:5" x14ac:dyDescent="0.3">
      <c r="A653" s="8">
        <v>36</v>
      </c>
      <c r="B653" s="8">
        <v>22</v>
      </c>
      <c r="C653" s="8">
        <v>3049</v>
      </c>
      <c r="D653" s="16">
        <v>-3.8699490000000003E-2</v>
      </c>
      <c r="E653" s="8">
        <v>-1.9349745000000002E-2</v>
      </c>
    </row>
    <row r="654" spans="1:5" x14ac:dyDescent="0.3">
      <c r="A654" s="8">
        <v>36</v>
      </c>
      <c r="B654" s="8">
        <v>23</v>
      </c>
      <c r="C654" s="8">
        <v>3052</v>
      </c>
      <c r="D654" s="16">
        <v>9.7241140000000007E-3</v>
      </c>
      <c r="E654" s="8">
        <v>4.8620570000000004E-3</v>
      </c>
    </row>
    <row r="655" spans="1:5" x14ac:dyDescent="0.3">
      <c r="A655" s="8">
        <v>36</v>
      </c>
      <c r="B655" s="8">
        <v>24</v>
      </c>
      <c r="C655" s="8">
        <v>3080</v>
      </c>
      <c r="D655" s="16">
        <v>-6.0440500000000001E-2</v>
      </c>
      <c r="E655" s="8">
        <v>-3.0220250000000001E-2</v>
      </c>
    </row>
    <row r="656" spans="1:5" x14ac:dyDescent="0.3">
      <c r="A656" s="8">
        <v>36</v>
      </c>
      <c r="B656" s="8">
        <v>25</v>
      </c>
      <c r="C656" s="8">
        <v>3063</v>
      </c>
      <c r="D656" s="16">
        <v>-3.4271120000000002E-2</v>
      </c>
      <c r="E656" s="8">
        <v>-1.7135560000000001E-2</v>
      </c>
    </row>
    <row r="657" spans="1:5" x14ac:dyDescent="0.3">
      <c r="A657" s="8">
        <v>36</v>
      </c>
      <c r="B657" s="8">
        <v>26</v>
      </c>
      <c r="C657" s="8">
        <v>3072</v>
      </c>
      <c r="D657" s="16">
        <v>-6.5345430000000003E-3</v>
      </c>
      <c r="E657" s="8">
        <v>-3.2672715000000001E-3</v>
      </c>
    </row>
    <row r="658" spans="1:5" x14ac:dyDescent="0.3">
      <c r="A658" s="8">
        <v>36</v>
      </c>
      <c r="B658" s="8">
        <v>27</v>
      </c>
      <c r="C658" s="8">
        <v>3081</v>
      </c>
      <c r="D658" s="16">
        <v>-1.6997249999999998E-2</v>
      </c>
      <c r="E658" s="8">
        <v>-8.4986249999999992E-3</v>
      </c>
    </row>
    <row r="659" spans="1:5" x14ac:dyDescent="0.3">
      <c r="A659" s="8">
        <v>36</v>
      </c>
      <c r="B659" s="8">
        <v>28</v>
      </c>
      <c r="C659" s="8">
        <v>3050</v>
      </c>
      <c r="D659" s="16">
        <v>-4.1585799999999999E-2</v>
      </c>
      <c r="E659" s="8">
        <v>-2.07929E-2</v>
      </c>
    </row>
    <row r="660" spans="1:5" x14ac:dyDescent="0.3">
      <c r="A660" s="8">
        <v>36</v>
      </c>
      <c r="B660" s="8">
        <v>29</v>
      </c>
      <c r="C660" s="8">
        <v>3048</v>
      </c>
      <c r="D660" s="16">
        <v>-1.935663E-2</v>
      </c>
      <c r="E660" s="8">
        <v>-9.6783149999999998E-3</v>
      </c>
    </row>
    <row r="661" spans="1:5" x14ac:dyDescent="0.3">
      <c r="A661" s="8">
        <v>36</v>
      </c>
      <c r="B661" s="8">
        <v>30</v>
      </c>
      <c r="C661" s="8">
        <v>3059</v>
      </c>
      <c r="D661" s="16">
        <v>3.2214060000000003E-2</v>
      </c>
      <c r="E661" s="8">
        <v>1.6107030000000001E-2</v>
      </c>
    </row>
    <row r="662" spans="1:5" x14ac:dyDescent="0.3">
      <c r="A662" s="8">
        <v>36</v>
      </c>
      <c r="B662" s="8">
        <v>31</v>
      </c>
      <c r="C662" s="8">
        <v>2985</v>
      </c>
      <c r="D662" s="16">
        <v>9.3251330000000004E-4</v>
      </c>
      <c r="E662" s="8">
        <v>4.6625665000000002E-4</v>
      </c>
    </row>
    <row r="663" spans="1:5" x14ac:dyDescent="0.3">
      <c r="A663" s="8">
        <v>36</v>
      </c>
      <c r="B663" s="8">
        <v>32</v>
      </c>
      <c r="C663" s="8">
        <v>3048</v>
      </c>
      <c r="D663" s="16">
        <v>-6.6842999999999998E-3</v>
      </c>
      <c r="E663" s="8">
        <v>-3.3421499999999999E-3</v>
      </c>
    </row>
    <row r="664" spans="1:5" x14ac:dyDescent="0.3">
      <c r="A664" s="8">
        <v>36</v>
      </c>
      <c r="B664" s="8">
        <v>33</v>
      </c>
      <c r="C664" s="8">
        <v>3077</v>
      </c>
      <c r="D664" s="16">
        <v>-6.9576120000000002E-3</v>
      </c>
      <c r="E664" s="8">
        <v>-3.4788060000000001E-3</v>
      </c>
    </row>
    <row r="665" spans="1:5" x14ac:dyDescent="0.3">
      <c r="A665" s="8">
        <v>36</v>
      </c>
      <c r="B665" s="8">
        <v>34</v>
      </c>
      <c r="C665" s="8">
        <v>3067</v>
      </c>
      <c r="D665" s="16">
        <v>-1.835032E-2</v>
      </c>
      <c r="E665" s="8">
        <v>-9.1751599999999999E-3</v>
      </c>
    </row>
    <row r="666" spans="1:5" x14ac:dyDescent="0.3">
      <c r="A666" s="8">
        <v>36</v>
      </c>
      <c r="B666" s="8">
        <v>35</v>
      </c>
      <c r="C666" s="8">
        <v>3063</v>
      </c>
      <c r="D666" s="16">
        <v>-3.3442699999999999E-2</v>
      </c>
      <c r="E666" s="8">
        <v>-1.6721349999999999E-2</v>
      </c>
    </row>
    <row r="667" spans="1:5" x14ac:dyDescent="0.3">
      <c r="A667" s="8">
        <v>36</v>
      </c>
      <c r="B667" s="8">
        <v>36</v>
      </c>
      <c r="C667" s="8">
        <v>3160</v>
      </c>
      <c r="D667" s="16">
        <v>1.106225</v>
      </c>
      <c r="E667" s="8"/>
    </row>
    <row r="668" spans="1:5" x14ac:dyDescent="0.3">
      <c r="A668" s="8">
        <v>37</v>
      </c>
      <c r="B668" s="8">
        <v>1</v>
      </c>
      <c r="C668" s="8">
        <v>3039</v>
      </c>
      <c r="D668" s="16">
        <v>-3.360026E-2</v>
      </c>
      <c r="E668" s="8">
        <v>-1.680013E-2</v>
      </c>
    </row>
    <row r="669" spans="1:5" x14ac:dyDescent="0.3">
      <c r="A669" s="8">
        <v>37</v>
      </c>
      <c r="B669" s="8">
        <v>2</v>
      </c>
      <c r="C669" s="8">
        <v>3012</v>
      </c>
      <c r="D669" s="16">
        <v>-5.0563410000000003E-2</v>
      </c>
      <c r="E669" s="8">
        <v>-2.5281705000000002E-2</v>
      </c>
    </row>
    <row r="670" spans="1:5" x14ac:dyDescent="0.3">
      <c r="A670" s="8">
        <v>37</v>
      </c>
      <c r="B670" s="8">
        <v>3</v>
      </c>
      <c r="C670" s="8">
        <v>3039</v>
      </c>
      <c r="D670" s="16">
        <v>2.4238539999999999E-2</v>
      </c>
      <c r="E670" s="8">
        <v>1.211927E-2</v>
      </c>
    </row>
    <row r="671" spans="1:5" x14ac:dyDescent="0.3">
      <c r="A671" s="8">
        <v>37</v>
      </c>
      <c r="B671" s="8">
        <v>4</v>
      </c>
      <c r="C671" s="8">
        <v>3016</v>
      </c>
      <c r="D671" s="16">
        <v>-1.952131E-2</v>
      </c>
      <c r="E671" s="8">
        <v>-9.760655E-3</v>
      </c>
    </row>
    <row r="672" spans="1:5" x14ac:dyDescent="0.3">
      <c r="A672" s="8">
        <v>37</v>
      </c>
      <c r="B672" s="8">
        <v>5</v>
      </c>
      <c r="C672" s="8">
        <v>3001</v>
      </c>
      <c r="D672" s="16">
        <v>2.2536790000000001E-2</v>
      </c>
      <c r="E672" s="8">
        <v>1.1268395E-2</v>
      </c>
    </row>
    <row r="673" spans="1:5" x14ac:dyDescent="0.3">
      <c r="A673" s="8">
        <v>37</v>
      </c>
      <c r="B673" s="8">
        <v>6</v>
      </c>
      <c r="C673" s="8">
        <v>3017</v>
      </c>
      <c r="D673" s="16">
        <v>-1.8275019999999999E-2</v>
      </c>
      <c r="E673" s="8">
        <v>-9.1375099999999997E-3</v>
      </c>
    </row>
    <row r="674" spans="1:5" x14ac:dyDescent="0.3">
      <c r="A674" s="8">
        <v>37</v>
      </c>
      <c r="B674" s="8">
        <v>7</v>
      </c>
      <c r="C674" s="8">
        <v>3018</v>
      </c>
      <c r="D674" s="16">
        <v>-3.9429480000000003E-2</v>
      </c>
      <c r="E674" s="8">
        <v>-1.9714740000000001E-2</v>
      </c>
    </row>
    <row r="675" spans="1:5" x14ac:dyDescent="0.3">
      <c r="A675" s="8">
        <v>37</v>
      </c>
      <c r="B675" s="8">
        <v>8</v>
      </c>
      <c r="C675" s="8">
        <v>3036</v>
      </c>
      <c r="D675" s="16">
        <v>-4.9324050000000001E-2</v>
      </c>
      <c r="E675" s="8">
        <v>-2.4662025000000001E-2</v>
      </c>
    </row>
    <row r="676" spans="1:5" x14ac:dyDescent="0.3">
      <c r="A676" s="8">
        <v>37</v>
      </c>
      <c r="B676" s="8">
        <v>9</v>
      </c>
      <c r="C676" s="8">
        <v>3024</v>
      </c>
      <c r="D676" s="16">
        <v>-4.5902510000000001E-2</v>
      </c>
      <c r="E676" s="8">
        <v>-2.2951255E-2</v>
      </c>
    </row>
    <row r="677" spans="1:5" x14ac:dyDescent="0.3">
      <c r="A677" s="8">
        <v>37</v>
      </c>
      <c r="B677" s="8">
        <v>10</v>
      </c>
      <c r="C677" s="8">
        <v>3012</v>
      </c>
      <c r="D677" s="16">
        <v>-2.191895E-2</v>
      </c>
      <c r="E677" s="8">
        <v>-1.0959475E-2</v>
      </c>
    </row>
    <row r="678" spans="1:5" x14ac:dyDescent="0.3">
      <c r="A678" s="8">
        <v>37</v>
      </c>
      <c r="B678" s="8">
        <v>11</v>
      </c>
      <c r="C678" s="8">
        <v>3018</v>
      </c>
      <c r="D678" s="16">
        <v>-8.5434929999999992E-3</v>
      </c>
      <c r="E678" s="8">
        <v>-4.2717464999999996E-3</v>
      </c>
    </row>
    <row r="679" spans="1:5" x14ac:dyDescent="0.3">
      <c r="A679" s="8">
        <v>37</v>
      </c>
      <c r="B679" s="8">
        <v>12</v>
      </c>
      <c r="C679" s="8">
        <v>3034</v>
      </c>
      <c r="D679" s="16">
        <v>4.6066300000000003E-5</v>
      </c>
      <c r="E679" s="8">
        <v>2.3033150000000002E-5</v>
      </c>
    </row>
    <row r="680" spans="1:5" x14ac:dyDescent="0.3">
      <c r="A680" s="8">
        <v>37</v>
      </c>
      <c r="B680" s="8">
        <v>13</v>
      </c>
      <c r="C680" s="8">
        <v>3015</v>
      </c>
      <c r="D680" s="16">
        <v>-7.759457E-3</v>
      </c>
      <c r="E680" s="8">
        <v>-3.8797285E-3</v>
      </c>
    </row>
    <row r="681" spans="1:5" x14ac:dyDescent="0.3">
      <c r="A681" s="8">
        <v>37</v>
      </c>
      <c r="B681" s="8">
        <v>14</v>
      </c>
      <c r="C681" s="8">
        <v>3017</v>
      </c>
      <c r="D681" s="16">
        <v>-1.4081130000000001E-2</v>
      </c>
      <c r="E681" s="8">
        <v>-7.0405650000000004E-3</v>
      </c>
    </row>
    <row r="682" spans="1:5" x14ac:dyDescent="0.3">
      <c r="A682" s="8">
        <v>37</v>
      </c>
      <c r="B682" s="8">
        <v>15</v>
      </c>
      <c r="C682" s="8">
        <v>3024</v>
      </c>
      <c r="D682" s="16">
        <v>-2.9271330000000002E-2</v>
      </c>
      <c r="E682" s="8">
        <v>-1.4635665000000001E-2</v>
      </c>
    </row>
    <row r="683" spans="1:5" x14ac:dyDescent="0.3">
      <c r="A683" s="8">
        <v>37</v>
      </c>
      <c r="B683" s="8">
        <v>16</v>
      </c>
      <c r="C683" s="8">
        <v>3023</v>
      </c>
      <c r="D683" s="16">
        <v>1.0680179999999999E-2</v>
      </c>
      <c r="E683" s="8">
        <v>5.3400899999999996E-3</v>
      </c>
    </row>
    <row r="684" spans="1:5" x14ac:dyDescent="0.3">
      <c r="A684" s="8">
        <v>37</v>
      </c>
      <c r="B684" s="8">
        <v>17</v>
      </c>
      <c r="C684" s="8">
        <v>3029</v>
      </c>
      <c r="D684" s="16">
        <v>-1.3774710000000001E-2</v>
      </c>
      <c r="E684" s="8">
        <v>-6.8873550000000004E-3</v>
      </c>
    </row>
    <row r="685" spans="1:5" x14ac:dyDescent="0.3">
      <c r="A685" s="8">
        <v>37</v>
      </c>
      <c r="B685" s="8">
        <v>18</v>
      </c>
      <c r="C685" s="8">
        <v>3038</v>
      </c>
      <c r="D685" s="16">
        <v>-9.7721390000000009E-3</v>
      </c>
      <c r="E685" s="8">
        <v>-4.8860695000000004E-3</v>
      </c>
    </row>
    <row r="686" spans="1:5" x14ac:dyDescent="0.3">
      <c r="A686" s="8">
        <v>37</v>
      </c>
      <c r="B686" s="8">
        <v>19</v>
      </c>
      <c r="C686" s="8">
        <v>3030</v>
      </c>
      <c r="D686" s="16">
        <v>-1.5791590000000001E-2</v>
      </c>
      <c r="E686" s="8">
        <v>-7.8957950000000006E-3</v>
      </c>
    </row>
    <row r="687" spans="1:5" x14ac:dyDescent="0.3">
      <c r="A687" s="8">
        <v>37</v>
      </c>
      <c r="B687" s="8">
        <v>20</v>
      </c>
      <c r="C687" s="8">
        <v>3028</v>
      </c>
      <c r="D687" s="16">
        <v>-1.4244379999999999E-2</v>
      </c>
      <c r="E687" s="8">
        <v>-7.1221899999999996E-3</v>
      </c>
    </row>
    <row r="688" spans="1:5" x14ac:dyDescent="0.3">
      <c r="A688" s="8">
        <v>37</v>
      </c>
      <c r="B688" s="8">
        <v>21</v>
      </c>
      <c r="C688" s="8">
        <v>3029</v>
      </c>
      <c r="D688" s="16">
        <v>-1.41525E-2</v>
      </c>
      <c r="E688" s="8">
        <v>-7.0762500000000001E-3</v>
      </c>
    </row>
    <row r="689" spans="1:5" x14ac:dyDescent="0.3">
      <c r="A689" s="8">
        <v>37</v>
      </c>
      <c r="B689" s="8">
        <v>22</v>
      </c>
      <c r="C689" s="8">
        <v>3015</v>
      </c>
      <c r="D689" s="16">
        <v>-2.5386990000000002E-2</v>
      </c>
      <c r="E689" s="8">
        <v>-1.2693495000000001E-2</v>
      </c>
    </row>
    <row r="690" spans="1:5" x14ac:dyDescent="0.3">
      <c r="A690" s="8">
        <v>37</v>
      </c>
      <c r="B690" s="8">
        <v>23</v>
      </c>
      <c r="C690" s="8">
        <v>3014</v>
      </c>
      <c r="D690" s="16">
        <v>-3.2063640000000002E-3</v>
      </c>
      <c r="E690" s="8">
        <v>-1.6031820000000001E-3</v>
      </c>
    </row>
    <row r="691" spans="1:5" x14ac:dyDescent="0.3">
      <c r="A691" s="8">
        <v>37</v>
      </c>
      <c r="B691" s="8">
        <v>24</v>
      </c>
      <c r="C691" s="8">
        <v>3040</v>
      </c>
      <c r="D691" s="16">
        <v>-1.8030830000000001E-2</v>
      </c>
      <c r="E691" s="8">
        <v>-9.0154150000000006E-3</v>
      </c>
    </row>
    <row r="692" spans="1:5" x14ac:dyDescent="0.3">
      <c r="A692" s="8">
        <v>37</v>
      </c>
      <c r="B692" s="8">
        <v>25</v>
      </c>
      <c r="C692" s="8">
        <v>3019</v>
      </c>
      <c r="D692" s="16">
        <v>7.0720600000000002E-5</v>
      </c>
      <c r="E692" s="8">
        <v>3.5360300000000001E-5</v>
      </c>
    </row>
    <row r="693" spans="1:5" x14ac:dyDescent="0.3">
      <c r="A693" s="8">
        <v>37</v>
      </c>
      <c r="B693" s="8">
        <v>26</v>
      </c>
      <c r="C693" s="8">
        <v>3035</v>
      </c>
      <c r="D693" s="16">
        <v>-2.6140289999999999E-3</v>
      </c>
      <c r="E693" s="8">
        <v>-1.3070145E-3</v>
      </c>
    </row>
    <row r="694" spans="1:5" x14ac:dyDescent="0.3">
      <c r="A694" s="8">
        <v>37</v>
      </c>
      <c r="B694" s="8">
        <v>27</v>
      </c>
      <c r="C694" s="8">
        <v>3041</v>
      </c>
      <c r="D694" s="16">
        <v>-3.6517939999999999E-2</v>
      </c>
      <c r="E694" s="8">
        <v>-1.8258969999999999E-2</v>
      </c>
    </row>
    <row r="695" spans="1:5" x14ac:dyDescent="0.3">
      <c r="A695" s="8">
        <v>37</v>
      </c>
      <c r="B695" s="8">
        <v>28</v>
      </c>
      <c r="C695" s="8">
        <v>3009</v>
      </c>
      <c r="D695" s="16">
        <v>4.2872059999999999E-4</v>
      </c>
      <c r="E695" s="8">
        <v>2.1436029999999999E-4</v>
      </c>
    </row>
    <row r="696" spans="1:5" x14ac:dyDescent="0.3">
      <c r="A696" s="8">
        <v>37</v>
      </c>
      <c r="B696" s="8">
        <v>29</v>
      </c>
      <c r="C696" s="8">
        <v>3012</v>
      </c>
      <c r="D696" s="16">
        <v>2.3833819999999999E-2</v>
      </c>
      <c r="E696" s="8">
        <v>1.1916909999999999E-2</v>
      </c>
    </row>
    <row r="697" spans="1:5" x14ac:dyDescent="0.3">
      <c r="A697" s="8">
        <v>37</v>
      </c>
      <c r="B697" s="8">
        <v>30</v>
      </c>
      <c r="C697" s="8">
        <v>3025</v>
      </c>
      <c r="D697" s="16">
        <v>7.0951279999999998E-4</v>
      </c>
      <c r="E697" s="8">
        <v>3.5475639999999999E-4</v>
      </c>
    </row>
    <row r="698" spans="1:5" x14ac:dyDescent="0.3">
      <c r="A698" s="8">
        <v>37</v>
      </c>
      <c r="B698" s="8">
        <v>31</v>
      </c>
      <c r="C698" s="8">
        <v>2951</v>
      </c>
      <c r="D698" s="16">
        <v>-2.7867860000000001E-2</v>
      </c>
      <c r="E698" s="8">
        <v>-1.3933930000000001E-2</v>
      </c>
    </row>
    <row r="699" spans="1:5" x14ac:dyDescent="0.3">
      <c r="A699" s="8">
        <v>37</v>
      </c>
      <c r="B699" s="8">
        <v>32</v>
      </c>
      <c r="C699" s="8">
        <v>3013</v>
      </c>
      <c r="D699" s="16">
        <v>4.0671260000000001E-2</v>
      </c>
      <c r="E699" s="8">
        <v>2.033563E-2</v>
      </c>
    </row>
    <row r="700" spans="1:5" x14ac:dyDescent="0.3">
      <c r="A700" s="8">
        <v>37</v>
      </c>
      <c r="B700" s="8">
        <v>33</v>
      </c>
      <c r="C700" s="8">
        <v>3042</v>
      </c>
      <c r="D700" s="16">
        <v>-2.8220499999999999E-2</v>
      </c>
      <c r="E700" s="8">
        <v>-1.411025E-2</v>
      </c>
    </row>
    <row r="701" spans="1:5" x14ac:dyDescent="0.3">
      <c r="A701" s="8">
        <v>37</v>
      </c>
      <c r="B701" s="8">
        <v>34</v>
      </c>
      <c r="C701" s="8">
        <v>3028</v>
      </c>
      <c r="D701" s="16">
        <v>-1.1296799999999999E-2</v>
      </c>
      <c r="E701" s="8">
        <v>-5.6483999999999996E-3</v>
      </c>
    </row>
    <row r="702" spans="1:5" x14ac:dyDescent="0.3">
      <c r="A702" s="8">
        <v>37</v>
      </c>
      <c r="B702" s="8">
        <v>35</v>
      </c>
      <c r="C702" s="8">
        <v>3023</v>
      </c>
      <c r="D702" s="16">
        <v>4.4887789999999997E-2</v>
      </c>
      <c r="E702" s="8">
        <v>2.2443894999999998E-2</v>
      </c>
    </row>
    <row r="703" spans="1:5" x14ac:dyDescent="0.3">
      <c r="A703" s="8">
        <v>37</v>
      </c>
      <c r="B703" s="8">
        <v>36</v>
      </c>
      <c r="C703" s="8">
        <v>3037</v>
      </c>
      <c r="D703" s="16">
        <v>3.4965780000000002E-2</v>
      </c>
      <c r="E703" s="8">
        <v>1.7482890000000001E-2</v>
      </c>
    </row>
    <row r="704" spans="1:5" x14ac:dyDescent="0.3">
      <c r="A704" s="8">
        <v>37</v>
      </c>
      <c r="B704" s="8">
        <v>37</v>
      </c>
      <c r="C704" s="8">
        <v>3123</v>
      </c>
      <c r="D704" s="16">
        <v>1.0331980000000001</v>
      </c>
      <c r="E704" s="8"/>
    </row>
    <row r="705" spans="1:5" x14ac:dyDescent="0.3">
      <c r="A705" s="8">
        <v>38</v>
      </c>
      <c r="B705" s="8">
        <v>1</v>
      </c>
      <c r="C705" s="8">
        <v>3089</v>
      </c>
      <c r="D705" s="16">
        <v>-6.6084450000000001E-3</v>
      </c>
      <c r="E705" s="8">
        <v>-3.3042225000000001E-3</v>
      </c>
    </row>
    <row r="706" spans="1:5" x14ac:dyDescent="0.3">
      <c r="A706" s="8">
        <v>38</v>
      </c>
      <c r="B706" s="8">
        <v>2</v>
      </c>
      <c r="C706" s="8">
        <v>3058</v>
      </c>
      <c r="D706" s="16">
        <v>-1.141177E-2</v>
      </c>
      <c r="E706" s="8">
        <v>-5.7058849999999999E-3</v>
      </c>
    </row>
    <row r="707" spans="1:5" x14ac:dyDescent="0.3">
      <c r="A707" s="8">
        <v>38</v>
      </c>
      <c r="B707" s="8">
        <v>3</v>
      </c>
      <c r="C707" s="8">
        <v>3082</v>
      </c>
      <c r="D707" s="16">
        <v>7.733986E-3</v>
      </c>
      <c r="E707" s="8">
        <v>3.866993E-3</v>
      </c>
    </row>
    <row r="708" spans="1:5" x14ac:dyDescent="0.3">
      <c r="A708" s="8">
        <v>38</v>
      </c>
      <c r="B708" s="8">
        <v>4</v>
      </c>
      <c r="C708" s="8">
        <v>3058</v>
      </c>
      <c r="D708" s="16">
        <v>-1.2853960000000001E-3</v>
      </c>
      <c r="E708" s="8">
        <v>-6.4269800000000003E-4</v>
      </c>
    </row>
    <row r="709" spans="1:5" x14ac:dyDescent="0.3">
      <c r="A709" s="8">
        <v>38</v>
      </c>
      <c r="B709" s="8">
        <v>5</v>
      </c>
      <c r="C709" s="8">
        <v>3045</v>
      </c>
      <c r="D709" s="16">
        <v>-3.2951880000000003E-2</v>
      </c>
      <c r="E709" s="8">
        <v>-1.6475940000000001E-2</v>
      </c>
    </row>
    <row r="710" spans="1:5" x14ac:dyDescent="0.3">
      <c r="A710" s="8">
        <v>38</v>
      </c>
      <c r="B710" s="8">
        <v>6</v>
      </c>
      <c r="C710" s="8">
        <v>3066</v>
      </c>
      <c r="D710" s="16">
        <v>7.8818180000000005E-3</v>
      </c>
      <c r="E710" s="8">
        <v>3.9409090000000003E-3</v>
      </c>
    </row>
    <row r="711" spans="1:5" x14ac:dyDescent="0.3">
      <c r="A711" s="8">
        <v>38</v>
      </c>
      <c r="B711" s="8">
        <v>7</v>
      </c>
      <c r="C711" s="8">
        <v>3062</v>
      </c>
      <c r="D711" s="16">
        <v>-5.5018560000000001E-4</v>
      </c>
      <c r="E711" s="8">
        <v>-2.750928E-4</v>
      </c>
    </row>
    <row r="712" spans="1:5" x14ac:dyDescent="0.3">
      <c r="A712" s="8">
        <v>38</v>
      </c>
      <c r="B712" s="8">
        <v>8</v>
      </c>
      <c r="C712" s="8">
        <v>3079</v>
      </c>
      <c r="D712" s="16">
        <v>-5.7371199999999997E-2</v>
      </c>
      <c r="E712" s="8">
        <v>-2.8685599999999999E-2</v>
      </c>
    </row>
    <row r="713" spans="1:5" x14ac:dyDescent="0.3">
      <c r="A713" s="8">
        <v>38</v>
      </c>
      <c r="B713" s="8">
        <v>9</v>
      </c>
      <c r="C713" s="8">
        <v>3068</v>
      </c>
      <c r="D713" s="16">
        <v>-4.6014560000000003E-2</v>
      </c>
      <c r="E713" s="8">
        <v>-2.3007280000000001E-2</v>
      </c>
    </row>
    <row r="714" spans="1:5" x14ac:dyDescent="0.3">
      <c r="A714" s="8">
        <v>38</v>
      </c>
      <c r="B714" s="8">
        <v>10</v>
      </c>
      <c r="C714" s="8">
        <v>3058</v>
      </c>
      <c r="D714" s="16">
        <v>-2.1973659999999999E-2</v>
      </c>
      <c r="E714" s="8">
        <v>-1.098683E-2</v>
      </c>
    </row>
    <row r="715" spans="1:5" x14ac:dyDescent="0.3">
      <c r="A715" s="8">
        <v>38</v>
      </c>
      <c r="B715" s="8">
        <v>11</v>
      </c>
      <c r="C715" s="8">
        <v>3063</v>
      </c>
      <c r="D715" s="16">
        <v>-5.754422E-2</v>
      </c>
      <c r="E715" s="8">
        <v>-2.877211E-2</v>
      </c>
    </row>
    <row r="716" spans="1:5" x14ac:dyDescent="0.3">
      <c r="A716" s="8">
        <v>38</v>
      </c>
      <c r="B716" s="8">
        <v>12</v>
      </c>
      <c r="C716" s="8">
        <v>3082</v>
      </c>
      <c r="D716" s="16">
        <v>-1.533268E-2</v>
      </c>
      <c r="E716" s="8">
        <v>-7.6663399999999998E-3</v>
      </c>
    </row>
    <row r="717" spans="1:5" x14ac:dyDescent="0.3">
      <c r="A717" s="8">
        <v>38</v>
      </c>
      <c r="B717" s="8">
        <v>13</v>
      </c>
      <c r="C717" s="8">
        <v>3059</v>
      </c>
      <c r="D717" s="16">
        <v>-2.331072E-2</v>
      </c>
      <c r="E717" s="8">
        <v>-1.165536E-2</v>
      </c>
    </row>
    <row r="718" spans="1:5" x14ac:dyDescent="0.3">
      <c r="A718" s="8">
        <v>38</v>
      </c>
      <c r="B718" s="8">
        <v>14</v>
      </c>
      <c r="C718" s="8">
        <v>3063</v>
      </c>
      <c r="D718" s="16">
        <v>-4.3210999999999999E-2</v>
      </c>
      <c r="E718" s="8">
        <v>-2.16055E-2</v>
      </c>
    </row>
    <row r="719" spans="1:5" x14ac:dyDescent="0.3">
      <c r="A719" s="8">
        <v>38</v>
      </c>
      <c r="B719" s="8">
        <v>15</v>
      </c>
      <c r="C719" s="8">
        <v>3066</v>
      </c>
      <c r="D719" s="16">
        <v>-2.1416000000000001E-2</v>
      </c>
      <c r="E719" s="8">
        <v>-1.0708000000000001E-2</v>
      </c>
    </row>
    <row r="720" spans="1:5" x14ac:dyDescent="0.3">
      <c r="A720" s="8">
        <v>38</v>
      </c>
      <c r="B720" s="8">
        <v>16</v>
      </c>
      <c r="C720" s="8">
        <v>3075</v>
      </c>
      <c r="D720" s="16">
        <v>1.4057770000000001E-2</v>
      </c>
      <c r="E720" s="8">
        <v>7.0288850000000003E-3</v>
      </c>
    </row>
    <row r="721" spans="1:5" x14ac:dyDescent="0.3">
      <c r="A721" s="8">
        <v>38</v>
      </c>
      <c r="B721" s="8">
        <v>17</v>
      </c>
      <c r="C721" s="8">
        <v>3067</v>
      </c>
      <c r="D721" s="16">
        <v>-4.230681E-2</v>
      </c>
      <c r="E721" s="8">
        <v>-2.1153405E-2</v>
      </c>
    </row>
    <row r="722" spans="1:5" x14ac:dyDescent="0.3">
      <c r="A722" s="8">
        <v>38</v>
      </c>
      <c r="B722" s="8">
        <v>18</v>
      </c>
      <c r="C722" s="8">
        <v>3085</v>
      </c>
      <c r="D722" s="16">
        <v>-1.5961340000000001E-2</v>
      </c>
      <c r="E722" s="8">
        <v>-7.9806700000000005E-3</v>
      </c>
    </row>
    <row r="723" spans="1:5" x14ac:dyDescent="0.3">
      <c r="A723" s="8">
        <v>38</v>
      </c>
      <c r="B723" s="8">
        <v>19</v>
      </c>
      <c r="C723" s="8">
        <v>3071</v>
      </c>
      <c r="D723" s="16">
        <v>-7.8302860000000005E-3</v>
      </c>
      <c r="E723" s="8">
        <v>-3.9151430000000003E-3</v>
      </c>
    </row>
    <row r="724" spans="1:5" x14ac:dyDescent="0.3">
      <c r="A724" s="8">
        <v>38</v>
      </c>
      <c r="B724" s="8">
        <v>20</v>
      </c>
      <c r="C724" s="8">
        <v>3076</v>
      </c>
      <c r="D724" s="16">
        <v>4.8293860000000001E-2</v>
      </c>
      <c r="E724" s="8">
        <v>2.414693E-2</v>
      </c>
    </row>
    <row r="725" spans="1:5" x14ac:dyDescent="0.3">
      <c r="A725" s="8">
        <v>38</v>
      </c>
      <c r="B725" s="8">
        <v>21</v>
      </c>
      <c r="C725" s="8">
        <v>3073</v>
      </c>
      <c r="D725" s="16">
        <v>-2.292661E-4</v>
      </c>
      <c r="E725" s="8">
        <v>-1.1463305E-4</v>
      </c>
    </row>
    <row r="726" spans="1:5" x14ac:dyDescent="0.3">
      <c r="A726" s="8">
        <v>38</v>
      </c>
      <c r="B726" s="8">
        <v>22</v>
      </c>
      <c r="C726" s="8">
        <v>3061</v>
      </c>
      <c r="D726" s="16">
        <v>-7.7789510000000006E-2</v>
      </c>
      <c r="E726" s="8">
        <v>-3.8894755000000003E-2</v>
      </c>
    </row>
    <row r="727" spans="1:5" x14ac:dyDescent="0.3">
      <c r="A727" s="8">
        <v>38</v>
      </c>
      <c r="B727" s="8">
        <v>23</v>
      </c>
      <c r="C727" s="8">
        <v>3059</v>
      </c>
      <c r="D727" s="16">
        <v>6.9670690000000002E-3</v>
      </c>
      <c r="E727" s="8">
        <v>3.4835345000000001E-3</v>
      </c>
    </row>
    <row r="728" spans="1:5" x14ac:dyDescent="0.3">
      <c r="A728" s="8">
        <v>38</v>
      </c>
      <c r="B728" s="8">
        <v>24</v>
      </c>
      <c r="C728" s="8">
        <v>3089</v>
      </c>
      <c r="D728" s="16">
        <v>-6.0920530000000001E-2</v>
      </c>
      <c r="E728" s="8">
        <v>-3.0460265E-2</v>
      </c>
    </row>
    <row r="729" spans="1:5" x14ac:dyDescent="0.3">
      <c r="A729" s="8">
        <v>38</v>
      </c>
      <c r="B729" s="8">
        <v>25</v>
      </c>
      <c r="C729" s="8">
        <v>3067</v>
      </c>
      <c r="D729" s="16">
        <v>1.9818100000000002E-2</v>
      </c>
      <c r="E729" s="8">
        <v>9.9090500000000008E-3</v>
      </c>
    </row>
    <row r="730" spans="1:5" x14ac:dyDescent="0.3">
      <c r="A730" s="8">
        <v>38</v>
      </c>
      <c r="B730" s="8">
        <v>26</v>
      </c>
      <c r="C730" s="8">
        <v>3080</v>
      </c>
      <c r="D730" s="16">
        <v>-1.3514669999999999E-2</v>
      </c>
      <c r="E730" s="8">
        <v>-6.7573349999999997E-3</v>
      </c>
    </row>
    <row r="731" spans="1:5" x14ac:dyDescent="0.3">
      <c r="A731" s="8">
        <v>38</v>
      </c>
      <c r="B731" s="8">
        <v>27</v>
      </c>
      <c r="C731" s="8">
        <v>3086</v>
      </c>
      <c r="D731" s="16">
        <v>-9.5285660000000005E-3</v>
      </c>
      <c r="E731" s="8">
        <v>-4.7642830000000002E-3</v>
      </c>
    </row>
    <row r="732" spans="1:5" x14ac:dyDescent="0.3">
      <c r="A732" s="8">
        <v>38</v>
      </c>
      <c r="B732" s="8">
        <v>28</v>
      </c>
      <c r="C732" s="8">
        <v>3055</v>
      </c>
      <c r="D732" s="16">
        <v>-2.7608569999999999E-2</v>
      </c>
      <c r="E732" s="8">
        <v>-1.3804284999999999E-2</v>
      </c>
    </row>
    <row r="733" spans="1:5" x14ac:dyDescent="0.3">
      <c r="A733" s="8">
        <v>38</v>
      </c>
      <c r="B733" s="8">
        <v>29</v>
      </c>
      <c r="C733" s="8">
        <v>3060</v>
      </c>
      <c r="D733" s="16">
        <v>2.7762729999999999E-2</v>
      </c>
      <c r="E733" s="8">
        <v>1.3881365E-2</v>
      </c>
    </row>
    <row r="734" spans="1:5" x14ac:dyDescent="0.3">
      <c r="A734" s="8">
        <v>38</v>
      </c>
      <c r="B734" s="8">
        <v>30</v>
      </c>
      <c r="C734" s="8">
        <v>3073</v>
      </c>
      <c r="D734" s="16">
        <v>-3.7607250000000002E-2</v>
      </c>
      <c r="E734" s="8">
        <v>-1.8803625000000001E-2</v>
      </c>
    </row>
    <row r="735" spans="1:5" x14ac:dyDescent="0.3">
      <c r="A735" s="8">
        <v>38</v>
      </c>
      <c r="B735" s="8">
        <v>31</v>
      </c>
      <c r="C735" s="8">
        <v>2993</v>
      </c>
      <c r="D735" s="16">
        <v>-9.5855070000000001E-3</v>
      </c>
      <c r="E735" s="8">
        <v>-4.7927535E-3</v>
      </c>
    </row>
    <row r="736" spans="1:5" x14ac:dyDescent="0.3">
      <c r="A736" s="8">
        <v>38</v>
      </c>
      <c r="B736" s="8">
        <v>32</v>
      </c>
      <c r="C736" s="8">
        <v>3058</v>
      </c>
      <c r="D736" s="16">
        <v>-3.5309759999999999E-3</v>
      </c>
      <c r="E736" s="8">
        <v>-1.765488E-3</v>
      </c>
    </row>
    <row r="737" spans="1:5" x14ac:dyDescent="0.3">
      <c r="A737" s="8">
        <v>38</v>
      </c>
      <c r="B737" s="8">
        <v>33</v>
      </c>
      <c r="C737" s="8">
        <v>3081</v>
      </c>
      <c r="D737" s="16">
        <v>2.4054369999999999E-2</v>
      </c>
      <c r="E737" s="8">
        <v>1.2027184999999999E-2</v>
      </c>
    </row>
    <row r="738" spans="1:5" x14ac:dyDescent="0.3">
      <c r="A738" s="8">
        <v>38</v>
      </c>
      <c r="B738" s="8">
        <v>34</v>
      </c>
      <c r="C738" s="8">
        <v>3078</v>
      </c>
      <c r="D738" s="16">
        <v>-3.7887079999999997E-2</v>
      </c>
      <c r="E738" s="8">
        <v>-1.8943539999999998E-2</v>
      </c>
    </row>
    <row r="739" spans="1:5" x14ac:dyDescent="0.3">
      <c r="A739" s="8">
        <v>38</v>
      </c>
      <c r="B739" s="8">
        <v>35</v>
      </c>
      <c r="C739" s="8">
        <v>3067</v>
      </c>
      <c r="D739" s="16">
        <v>1.60322E-2</v>
      </c>
      <c r="E739" s="8">
        <v>8.0161E-3</v>
      </c>
    </row>
    <row r="740" spans="1:5" x14ac:dyDescent="0.3">
      <c r="A740" s="8">
        <v>38</v>
      </c>
      <c r="B740" s="8">
        <v>36</v>
      </c>
      <c r="C740" s="8">
        <v>3080</v>
      </c>
      <c r="D740" s="16">
        <v>-5.5648469999999998E-2</v>
      </c>
      <c r="E740" s="8">
        <v>-2.7824234999999999E-2</v>
      </c>
    </row>
    <row r="741" spans="1:5" x14ac:dyDescent="0.3">
      <c r="A741" s="8">
        <v>38</v>
      </c>
      <c r="B741" s="8">
        <v>37</v>
      </c>
      <c r="C741" s="8">
        <v>3041</v>
      </c>
      <c r="D741" s="16">
        <v>2.1479539999999998E-2</v>
      </c>
      <c r="E741" s="8">
        <v>1.0739769999999999E-2</v>
      </c>
    </row>
    <row r="742" spans="1:5" x14ac:dyDescent="0.3">
      <c r="A742" s="8">
        <v>38</v>
      </c>
      <c r="B742" s="8">
        <v>38</v>
      </c>
      <c r="C742" s="8">
        <v>3171</v>
      </c>
      <c r="D742" s="16">
        <v>1.077647</v>
      </c>
      <c r="E742" s="8"/>
    </row>
    <row r="743" spans="1:5" x14ac:dyDescent="0.3">
      <c r="A743" s="8">
        <v>39</v>
      </c>
      <c r="B743" s="8">
        <v>1</v>
      </c>
      <c r="C743" s="8">
        <v>3076</v>
      </c>
      <c r="D743" s="16">
        <v>2.2810609999999999E-2</v>
      </c>
      <c r="E743" s="8">
        <v>1.1405304999999999E-2</v>
      </c>
    </row>
    <row r="744" spans="1:5" x14ac:dyDescent="0.3">
      <c r="A744" s="8">
        <v>39</v>
      </c>
      <c r="B744" s="8">
        <v>2</v>
      </c>
      <c r="C744" s="8">
        <v>3044</v>
      </c>
      <c r="D744" s="16">
        <v>3.9138409999999998E-2</v>
      </c>
      <c r="E744" s="8">
        <v>1.9569204999999999E-2</v>
      </c>
    </row>
    <row r="745" spans="1:5" x14ac:dyDescent="0.3">
      <c r="A745" s="8">
        <v>39</v>
      </c>
      <c r="B745" s="8">
        <v>3</v>
      </c>
      <c r="C745" s="8">
        <v>3071</v>
      </c>
      <c r="D745" s="16">
        <v>-5.8016100000000001E-2</v>
      </c>
      <c r="E745" s="8">
        <v>-2.9008050000000001E-2</v>
      </c>
    </row>
    <row r="746" spans="1:5" x14ac:dyDescent="0.3">
      <c r="A746" s="8">
        <v>39</v>
      </c>
      <c r="B746" s="8">
        <v>4</v>
      </c>
      <c r="C746" s="8">
        <v>3048</v>
      </c>
      <c r="D746" s="16">
        <v>-8.4587959999999993E-3</v>
      </c>
      <c r="E746" s="8">
        <v>-4.2293979999999997E-3</v>
      </c>
    </row>
    <row r="747" spans="1:5" x14ac:dyDescent="0.3">
      <c r="A747" s="8">
        <v>39</v>
      </c>
      <c r="B747" s="8">
        <v>5</v>
      </c>
      <c r="C747" s="8">
        <v>3039</v>
      </c>
      <c r="D747" s="16">
        <v>-1.7645709999999998E-2</v>
      </c>
      <c r="E747" s="8">
        <v>-8.8228549999999992E-3</v>
      </c>
    </row>
    <row r="748" spans="1:5" x14ac:dyDescent="0.3">
      <c r="A748" s="8">
        <v>39</v>
      </c>
      <c r="B748" s="8">
        <v>6</v>
      </c>
      <c r="C748" s="8">
        <v>3055</v>
      </c>
      <c r="D748" s="16">
        <v>8.4494710000000001E-3</v>
      </c>
      <c r="E748" s="8">
        <v>4.2247355E-3</v>
      </c>
    </row>
    <row r="749" spans="1:5" x14ac:dyDescent="0.3">
      <c r="A749" s="8">
        <v>39</v>
      </c>
      <c r="B749" s="8">
        <v>7</v>
      </c>
      <c r="C749" s="8">
        <v>3053</v>
      </c>
      <c r="D749" s="16">
        <v>-8.6475719999999992E-3</v>
      </c>
      <c r="E749" s="8">
        <v>-4.3237859999999996E-3</v>
      </c>
    </row>
    <row r="750" spans="1:5" x14ac:dyDescent="0.3">
      <c r="A750" s="8">
        <v>39</v>
      </c>
      <c r="B750" s="8">
        <v>8</v>
      </c>
      <c r="C750" s="8">
        <v>3070</v>
      </c>
      <c r="D750" s="16">
        <v>-3.0504679999999999E-2</v>
      </c>
      <c r="E750" s="8">
        <v>-1.525234E-2</v>
      </c>
    </row>
    <row r="751" spans="1:5" x14ac:dyDescent="0.3">
      <c r="A751" s="8">
        <v>39</v>
      </c>
      <c r="B751" s="8">
        <v>9</v>
      </c>
      <c r="C751" s="8">
        <v>3062</v>
      </c>
      <c r="D751" s="16">
        <v>-1.8967830000000001E-2</v>
      </c>
      <c r="E751" s="8">
        <v>-9.4839150000000007E-3</v>
      </c>
    </row>
    <row r="752" spans="1:5" x14ac:dyDescent="0.3">
      <c r="A752" s="8">
        <v>39</v>
      </c>
      <c r="B752" s="8">
        <v>10</v>
      </c>
      <c r="C752" s="8">
        <v>3052</v>
      </c>
      <c r="D752" s="16">
        <v>-1.8502279999999999E-2</v>
      </c>
      <c r="E752" s="8">
        <v>-9.2511399999999997E-3</v>
      </c>
    </row>
    <row r="753" spans="1:5" x14ac:dyDescent="0.3">
      <c r="A753" s="8">
        <v>39</v>
      </c>
      <c r="B753" s="8">
        <v>11</v>
      </c>
      <c r="C753" s="8">
        <v>3048</v>
      </c>
      <c r="D753" s="16">
        <v>-1.166465E-2</v>
      </c>
      <c r="E753" s="8">
        <v>-5.8323250000000002E-3</v>
      </c>
    </row>
    <row r="754" spans="1:5" x14ac:dyDescent="0.3">
      <c r="A754" s="8">
        <v>39</v>
      </c>
      <c r="B754" s="8">
        <v>12</v>
      </c>
      <c r="C754" s="8">
        <v>3073</v>
      </c>
      <c r="D754" s="16">
        <v>-2.9789940000000001E-2</v>
      </c>
      <c r="E754" s="8">
        <v>-1.489497E-2</v>
      </c>
    </row>
    <row r="755" spans="1:5" x14ac:dyDescent="0.3">
      <c r="A755" s="8">
        <v>39</v>
      </c>
      <c r="B755" s="8">
        <v>13</v>
      </c>
      <c r="C755" s="8">
        <v>3053</v>
      </c>
      <c r="D755" s="16">
        <v>1.8475579999999998E-2</v>
      </c>
      <c r="E755" s="8">
        <v>9.2377899999999992E-3</v>
      </c>
    </row>
    <row r="756" spans="1:5" x14ac:dyDescent="0.3">
      <c r="A756" s="8">
        <v>39</v>
      </c>
      <c r="B756" s="8">
        <v>14</v>
      </c>
      <c r="C756" s="8">
        <v>3050</v>
      </c>
      <c r="D756" s="16">
        <v>2.0259100000000001E-3</v>
      </c>
      <c r="E756" s="8">
        <v>1.0129550000000001E-3</v>
      </c>
    </row>
    <row r="757" spans="1:5" x14ac:dyDescent="0.3">
      <c r="A757" s="8">
        <v>39</v>
      </c>
      <c r="B757" s="8">
        <v>15</v>
      </c>
      <c r="C757" s="8">
        <v>3061</v>
      </c>
      <c r="D757" s="16">
        <v>3.8811449999999999E-3</v>
      </c>
      <c r="E757" s="8">
        <v>1.9405725E-3</v>
      </c>
    </row>
    <row r="758" spans="1:5" x14ac:dyDescent="0.3">
      <c r="A758" s="8">
        <v>39</v>
      </c>
      <c r="B758" s="8">
        <v>16</v>
      </c>
      <c r="C758" s="8">
        <v>3061</v>
      </c>
      <c r="D758" s="16">
        <v>-1.89216E-2</v>
      </c>
      <c r="E758" s="8">
        <v>-9.4608000000000001E-3</v>
      </c>
    </row>
    <row r="759" spans="1:5" x14ac:dyDescent="0.3">
      <c r="A759" s="8">
        <v>39</v>
      </c>
      <c r="B759" s="8">
        <v>17</v>
      </c>
      <c r="C759" s="8">
        <v>3062</v>
      </c>
      <c r="D759" s="16">
        <v>1.0934849999999999E-2</v>
      </c>
      <c r="E759" s="8">
        <v>5.4674249999999997E-3</v>
      </c>
    </row>
    <row r="760" spans="1:5" x14ac:dyDescent="0.3">
      <c r="A760" s="8">
        <v>39</v>
      </c>
      <c r="B760" s="8">
        <v>18</v>
      </c>
      <c r="C760" s="8">
        <v>3075</v>
      </c>
      <c r="D760" s="16">
        <v>2.2096480000000002E-2</v>
      </c>
      <c r="E760" s="8">
        <v>1.1048240000000001E-2</v>
      </c>
    </row>
    <row r="761" spans="1:5" x14ac:dyDescent="0.3">
      <c r="A761" s="8">
        <v>39</v>
      </c>
      <c r="B761" s="8">
        <v>19</v>
      </c>
      <c r="C761" s="8">
        <v>3058</v>
      </c>
      <c r="D761" s="16">
        <v>-7.4744970000000001E-3</v>
      </c>
      <c r="E761" s="8">
        <v>-3.7372485E-3</v>
      </c>
    </row>
    <row r="762" spans="1:5" x14ac:dyDescent="0.3">
      <c r="A762" s="8">
        <v>39</v>
      </c>
      <c r="B762" s="8">
        <v>20</v>
      </c>
      <c r="C762" s="8">
        <v>3066</v>
      </c>
      <c r="D762" s="16">
        <v>-4.6790150000000003E-2</v>
      </c>
      <c r="E762" s="8">
        <v>-2.3395075000000001E-2</v>
      </c>
    </row>
    <row r="763" spans="1:5" x14ac:dyDescent="0.3">
      <c r="A763" s="8">
        <v>39</v>
      </c>
      <c r="B763" s="8">
        <v>21</v>
      </c>
      <c r="C763" s="8">
        <v>3064</v>
      </c>
      <c r="D763" s="16">
        <v>-1.3808920000000001E-2</v>
      </c>
      <c r="E763" s="8">
        <v>-6.9044600000000003E-3</v>
      </c>
    </row>
    <row r="764" spans="1:5" x14ac:dyDescent="0.3">
      <c r="A764" s="8">
        <v>39</v>
      </c>
      <c r="B764" s="8">
        <v>22</v>
      </c>
      <c r="C764" s="8">
        <v>3053</v>
      </c>
      <c r="D764" s="16">
        <v>-1.1589930000000001E-3</v>
      </c>
      <c r="E764" s="8">
        <v>-5.7949650000000004E-4</v>
      </c>
    </row>
    <row r="765" spans="1:5" x14ac:dyDescent="0.3">
      <c r="A765" s="8">
        <v>39</v>
      </c>
      <c r="B765" s="8">
        <v>23</v>
      </c>
      <c r="C765" s="8">
        <v>3054</v>
      </c>
      <c r="D765" s="16">
        <v>-2.8442789999999999E-2</v>
      </c>
      <c r="E765" s="8">
        <v>-1.4221395E-2</v>
      </c>
    </row>
    <row r="766" spans="1:5" x14ac:dyDescent="0.3">
      <c r="A766" s="8">
        <v>39</v>
      </c>
      <c r="B766" s="8">
        <v>24</v>
      </c>
      <c r="C766" s="8">
        <v>3076</v>
      </c>
      <c r="D766" s="16">
        <v>-2.87018E-2</v>
      </c>
      <c r="E766" s="8">
        <v>-1.43509E-2</v>
      </c>
    </row>
    <row r="767" spans="1:5" x14ac:dyDescent="0.3">
      <c r="A767" s="8">
        <v>39</v>
      </c>
      <c r="B767" s="8">
        <v>25</v>
      </c>
      <c r="C767" s="8">
        <v>3057</v>
      </c>
      <c r="D767" s="16">
        <v>-4.2117670000000003E-2</v>
      </c>
      <c r="E767" s="8">
        <v>-2.1058835000000001E-2</v>
      </c>
    </row>
    <row r="768" spans="1:5" x14ac:dyDescent="0.3">
      <c r="A768" s="8">
        <v>39</v>
      </c>
      <c r="B768" s="8">
        <v>26</v>
      </c>
      <c r="C768" s="8">
        <v>3067</v>
      </c>
      <c r="D768" s="16">
        <v>1.361184E-2</v>
      </c>
      <c r="E768" s="8">
        <v>6.80592E-3</v>
      </c>
    </row>
    <row r="769" spans="1:5" x14ac:dyDescent="0.3">
      <c r="A769" s="8">
        <v>39</v>
      </c>
      <c r="B769" s="8">
        <v>27</v>
      </c>
      <c r="C769" s="8">
        <v>3076</v>
      </c>
      <c r="D769" s="16">
        <v>-3.3951420000000003E-2</v>
      </c>
      <c r="E769" s="8">
        <v>-1.6975710000000001E-2</v>
      </c>
    </row>
    <row r="770" spans="1:5" x14ac:dyDescent="0.3">
      <c r="A770" s="8">
        <v>39</v>
      </c>
      <c r="B770" s="8">
        <v>28</v>
      </c>
      <c r="C770" s="8">
        <v>3046</v>
      </c>
      <c r="D770" s="16">
        <v>-1.436509E-2</v>
      </c>
      <c r="E770" s="8">
        <v>-7.1825450000000002E-3</v>
      </c>
    </row>
    <row r="771" spans="1:5" x14ac:dyDescent="0.3">
      <c r="A771" s="8">
        <v>39</v>
      </c>
      <c r="B771" s="8">
        <v>29</v>
      </c>
      <c r="C771" s="8">
        <v>3049</v>
      </c>
      <c r="D771" s="16">
        <v>-2.884196E-2</v>
      </c>
      <c r="E771" s="8">
        <v>-1.442098E-2</v>
      </c>
    </row>
    <row r="772" spans="1:5" x14ac:dyDescent="0.3">
      <c r="A772" s="8">
        <v>39</v>
      </c>
      <c r="B772" s="8">
        <v>30</v>
      </c>
      <c r="C772" s="8">
        <v>3059</v>
      </c>
      <c r="D772" s="16">
        <v>-1.40074E-2</v>
      </c>
      <c r="E772" s="8">
        <v>-7.0036999999999999E-3</v>
      </c>
    </row>
    <row r="773" spans="1:5" x14ac:dyDescent="0.3">
      <c r="A773" s="8">
        <v>39</v>
      </c>
      <c r="B773" s="8">
        <v>31</v>
      </c>
      <c r="C773" s="8">
        <v>2983</v>
      </c>
      <c r="D773" s="16">
        <v>-1.904956E-2</v>
      </c>
      <c r="E773" s="8">
        <v>-9.5247800000000001E-3</v>
      </c>
    </row>
    <row r="774" spans="1:5" x14ac:dyDescent="0.3">
      <c r="A774" s="8">
        <v>39</v>
      </c>
      <c r="B774" s="8">
        <v>32</v>
      </c>
      <c r="C774" s="8">
        <v>3046</v>
      </c>
      <c r="D774" s="16">
        <v>-2.7053810000000001E-2</v>
      </c>
      <c r="E774" s="8">
        <v>-1.3526905000000001E-2</v>
      </c>
    </row>
    <row r="775" spans="1:5" x14ac:dyDescent="0.3">
      <c r="A775" s="8">
        <v>39</v>
      </c>
      <c r="B775" s="8">
        <v>33</v>
      </c>
      <c r="C775" s="8">
        <v>3076</v>
      </c>
      <c r="D775" s="16">
        <v>-5.6135079999999997E-2</v>
      </c>
      <c r="E775" s="8">
        <v>-2.8067539999999998E-2</v>
      </c>
    </row>
    <row r="776" spans="1:5" x14ac:dyDescent="0.3">
      <c r="A776" s="8">
        <v>39</v>
      </c>
      <c r="B776" s="8">
        <v>34</v>
      </c>
      <c r="C776" s="8">
        <v>3065</v>
      </c>
      <c r="D776" s="16">
        <v>2.9462540000000001E-3</v>
      </c>
      <c r="E776" s="8">
        <v>1.4731270000000001E-3</v>
      </c>
    </row>
    <row r="777" spans="1:5" x14ac:dyDescent="0.3">
      <c r="A777" s="8">
        <v>39</v>
      </c>
      <c r="B777" s="8">
        <v>35</v>
      </c>
      <c r="C777" s="8">
        <v>3059</v>
      </c>
      <c r="D777" s="16">
        <v>1.4935810000000001E-2</v>
      </c>
      <c r="E777" s="8">
        <v>7.4679050000000004E-3</v>
      </c>
    </row>
    <row r="778" spans="1:5" x14ac:dyDescent="0.3">
      <c r="A778" s="8">
        <v>39</v>
      </c>
      <c r="B778" s="8">
        <v>36</v>
      </c>
      <c r="C778" s="8">
        <v>3066</v>
      </c>
      <c r="D778" s="16">
        <v>1.314417E-2</v>
      </c>
      <c r="E778" s="8">
        <v>6.5720850000000001E-3</v>
      </c>
    </row>
    <row r="779" spans="1:5" x14ac:dyDescent="0.3">
      <c r="A779" s="8">
        <v>39</v>
      </c>
      <c r="B779" s="8">
        <v>37</v>
      </c>
      <c r="C779" s="8">
        <v>3036</v>
      </c>
      <c r="D779" s="16">
        <v>-7.6232099999999997E-2</v>
      </c>
      <c r="E779" s="8">
        <v>-3.8116049999999999E-2</v>
      </c>
    </row>
    <row r="780" spans="1:5" x14ac:dyDescent="0.3">
      <c r="A780" s="8">
        <v>39</v>
      </c>
      <c r="B780" s="8">
        <v>38</v>
      </c>
      <c r="C780" s="8">
        <v>3075</v>
      </c>
      <c r="D780" s="16">
        <v>-2.5703569999999999E-2</v>
      </c>
      <c r="E780" s="8">
        <v>-1.2851784999999999E-2</v>
      </c>
    </row>
    <row r="781" spans="1:5" x14ac:dyDescent="0.3">
      <c r="A781" s="8">
        <v>39</v>
      </c>
      <c r="B781" s="8">
        <v>39</v>
      </c>
      <c r="C781" s="8">
        <v>3159</v>
      </c>
      <c r="D781" s="16">
        <v>1.0711029999999999</v>
      </c>
      <c r="E781" s="8"/>
    </row>
    <row r="782" spans="1:5" x14ac:dyDescent="0.3">
      <c r="A782" s="8">
        <v>40</v>
      </c>
      <c r="B782" s="8">
        <v>1</v>
      </c>
      <c r="C782" s="8">
        <v>3077</v>
      </c>
      <c r="D782" s="16">
        <v>5.8973209999999996E-3</v>
      </c>
      <c r="E782" s="8">
        <v>2.9486604999999998E-3</v>
      </c>
    </row>
    <row r="783" spans="1:5" x14ac:dyDescent="0.3">
      <c r="A783" s="8">
        <v>40</v>
      </c>
      <c r="B783" s="8">
        <v>2</v>
      </c>
      <c r="C783" s="8">
        <v>3039</v>
      </c>
      <c r="D783" s="16">
        <v>-5.7542139999999999E-2</v>
      </c>
      <c r="E783" s="8">
        <v>-2.8771069999999999E-2</v>
      </c>
    </row>
    <row r="784" spans="1:5" x14ac:dyDescent="0.3">
      <c r="A784" s="8">
        <v>40</v>
      </c>
      <c r="B784" s="8">
        <v>3</v>
      </c>
      <c r="C784" s="8">
        <v>3070</v>
      </c>
      <c r="D784" s="16">
        <v>-3.5836640000000003E-2</v>
      </c>
      <c r="E784" s="8">
        <v>-1.7918320000000001E-2</v>
      </c>
    </row>
    <row r="785" spans="1:5" x14ac:dyDescent="0.3">
      <c r="A785" s="8">
        <v>40</v>
      </c>
      <c r="B785" s="8">
        <v>4</v>
      </c>
      <c r="C785" s="8">
        <v>3045</v>
      </c>
      <c r="D785" s="16">
        <v>2.0517909999999999E-3</v>
      </c>
      <c r="E785" s="8">
        <v>1.0258954999999999E-3</v>
      </c>
    </row>
    <row r="786" spans="1:5" x14ac:dyDescent="0.3">
      <c r="A786" s="8">
        <v>40</v>
      </c>
      <c r="B786" s="8">
        <v>5</v>
      </c>
      <c r="C786" s="8">
        <v>3036</v>
      </c>
      <c r="D786" s="16">
        <v>2.2093830000000001E-3</v>
      </c>
      <c r="E786" s="8">
        <v>1.1046915E-3</v>
      </c>
    </row>
    <row r="787" spans="1:5" x14ac:dyDescent="0.3">
      <c r="A787" s="8">
        <v>40</v>
      </c>
      <c r="B787" s="8">
        <v>6</v>
      </c>
      <c r="C787" s="8">
        <v>3052</v>
      </c>
      <c r="D787" s="16">
        <v>2.7606269999999999E-2</v>
      </c>
      <c r="E787" s="8">
        <v>1.3803134999999999E-2</v>
      </c>
    </row>
    <row r="788" spans="1:5" x14ac:dyDescent="0.3">
      <c r="A788" s="8">
        <v>40</v>
      </c>
      <c r="B788" s="8">
        <v>7</v>
      </c>
      <c r="C788" s="8">
        <v>3044</v>
      </c>
      <c r="D788" s="16">
        <v>5.4073469999999998E-4</v>
      </c>
      <c r="E788" s="8">
        <v>2.7036734999999999E-4</v>
      </c>
    </row>
    <row r="789" spans="1:5" x14ac:dyDescent="0.3">
      <c r="A789" s="8">
        <v>40</v>
      </c>
      <c r="B789" s="8">
        <v>8</v>
      </c>
      <c r="C789" s="8">
        <v>3063</v>
      </c>
      <c r="D789" s="16">
        <v>-1.150937E-2</v>
      </c>
      <c r="E789" s="8">
        <v>-5.7546849999999998E-3</v>
      </c>
    </row>
    <row r="790" spans="1:5" x14ac:dyDescent="0.3">
      <c r="A790" s="8">
        <v>40</v>
      </c>
      <c r="B790" s="8">
        <v>9</v>
      </c>
      <c r="C790" s="8">
        <v>3054</v>
      </c>
      <c r="D790" s="16">
        <v>-4.9288300000000004E-3</v>
      </c>
      <c r="E790" s="8">
        <v>-2.4644150000000002E-3</v>
      </c>
    </row>
    <row r="791" spans="1:5" x14ac:dyDescent="0.3">
      <c r="A791" s="8">
        <v>40</v>
      </c>
      <c r="B791" s="8">
        <v>10</v>
      </c>
      <c r="C791" s="8">
        <v>3047</v>
      </c>
      <c r="D791" s="16">
        <v>-7.3922299999999996E-3</v>
      </c>
      <c r="E791" s="8">
        <v>-3.6961149999999998E-3</v>
      </c>
    </row>
    <row r="792" spans="1:5" x14ac:dyDescent="0.3">
      <c r="A792" s="8">
        <v>40</v>
      </c>
      <c r="B792" s="8">
        <v>11</v>
      </c>
      <c r="C792" s="8">
        <v>3054</v>
      </c>
      <c r="D792" s="16">
        <v>-2.1197520000000001E-2</v>
      </c>
      <c r="E792" s="8">
        <v>-1.059876E-2</v>
      </c>
    </row>
    <row r="793" spans="1:5" x14ac:dyDescent="0.3">
      <c r="A793" s="8">
        <v>40</v>
      </c>
      <c r="B793" s="8">
        <v>12</v>
      </c>
      <c r="C793" s="8">
        <v>3064</v>
      </c>
      <c r="D793" s="16">
        <v>9.9406760000000007E-3</v>
      </c>
      <c r="E793" s="8">
        <v>4.9703380000000004E-3</v>
      </c>
    </row>
    <row r="794" spans="1:5" x14ac:dyDescent="0.3">
      <c r="A794" s="8">
        <v>40</v>
      </c>
      <c r="B794" s="8">
        <v>13</v>
      </c>
      <c r="C794" s="8">
        <v>3048</v>
      </c>
      <c r="D794" s="16">
        <v>-9.6045260000000004E-3</v>
      </c>
      <c r="E794" s="8">
        <v>-4.8022630000000002E-3</v>
      </c>
    </row>
    <row r="795" spans="1:5" x14ac:dyDescent="0.3">
      <c r="A795" s="8">
        <v>40</v>
      </c>
      <c r="B795" s="8">
        <v>14</v>
      </c>
      <c r="C795" s="8">
        <v>3050</v>
      </c>
      <c r="D795" s="16">
        <v>-2.143111E-2</v>
      </c>
      <c r="E795" s="8">
        <v>-1.0715555E-2</v>
      </c>
    </row>
    <row r="796" spans="1:5" x14ac:dyDescent="0.3">
      <c r="A796" s="8">
        <v>40</v>
      </c>
      <c r="B796" s="8">
        <v>15</v>
      </c>
      <c r="C796" s="8">
        <v>3053</v>
      </c>
      <c r="D796" s="16">
        <v>2.051532E-2</v>
      </c>
      <c r="E796" s="8">
        <v>1.025766E-2</v>
      </c>
    </row>
    <row r="797" spans="1:5" x14ac:dyDescent="0.3">
      <c r="A797" s="8">
        <v>40</v>
      </c>
      <c r="B797" s="8">
        <v>16</v>
      </c>
      <c r="C797" s="8">
        <v>3056</v>
      </c>
      <c r="D797" s="16">
        <v>-1.1630629999999999E-2</v>
      </c>
      <c r="E797" s="8">
        <v>-5.8153149999999997E-3</v>
      </c>
    </row>
    <row r="798" spans="1:5" x14ac:dyDescent="0.3">
      <c r="A798" s="8">
        <v>40</v>
      </c>
      <c r="B798" s="8">
        <v>17</v>
      </c>
      <c r="C798" s="8">
        <v>3057</v>
      </c>
      <c r="D798" s="16">
        <v>2.8173219999999999E-2</v>
      </c>
      <c r="E798" s="8">
        <v>1.4086609999999999E-2</v>
      </c>
    </row>
    <row r="799" spans="1:5" x14ac:dyDescent="0.3">
      <c r="A799" s="8">
        <v>40</v>
      </c>
      <c r="B799" s="8">
        <v>18</v>
      </c>
      <c r="C799" s="8">
        <v>3073</v>
      </c>
      <c r="D799" s="16">
        <v>-4.0370040000000003E-2</v>
      </c>
      <c r="E799" s="8">
        <v>-2.0185020000000001E-2</v>
      </c>
    </row>
    <row r="800" spans="1:5" x14ac:dyDescent="0.3">
      <c r="A800" s="8">
        <v>40</v>
      </c>
      <c r="B800" s="8">
        <v>19</v>
      </c>
      <c r="C800" s="8">
        <v>3052</v>
      </c>
      <c r="D800" s="16">
        <v>-1.8375599999999999E-2</v>
      </c>
      <c r="E800" s="8">
        <v>-9.1877999999999994E-3</v>
      </c>
    </row>
    <row r="801" spans="1:5" x14ac:dyDescent="0.3">
      <c r="A801" s="8">
        <v>40</v>
      </c>
      <c r="B801" s="8">
        <v>20</v>
      </c>
      <c r="C801" s="8">
        <v>3059</v>
      </c>
      <c r="D801" s="16">
        <v>-2.584533E-2</v>
      </c>
      <c r="E801" s="8">
        <v>-1.2922665E-2</v>
      </c>
    </row>
    <row r="802" spans="1:5" x14ac:dyDescent="0.3">
      <c r="A802" s="8">
        <v>40</v>
      </c>
      <c r="B802" s="8">
        <v>21</v>
      </c>
      <c r="C802" s="8">
        <v>3060</v>
      </c>
      <c r="D802" s="16">
        <v>-2.7893749999999998E-2</v>
      </c>
      <c r="E802" s="8">
        <v>-1.3946874999999999E-2</v>
      </c>
    </row>
    <row r="803" spans="1:5" x14ac:dyDescent="0.3">
      <c r="A803" s="8">
        <v>40</v>
      </c>
      <c r="B803" s="8">
        <v>22</v>
      </c>
      <c r="C803" s="8">
        <v>3047</v>
      </c>
      <c r="D803" s="16">
        <v>-2.422332E-2</v>
      </c>
      <c r="E803" s="8">
        <v>-1.211166E-2</v>
      </c>
    </row>
    <row r="804" spans="1:5" x14ac:dyDescent="0.3">
      <c r="A804" s="8">
        <v>40</v>
      </c>
      <c r="B804" s="8">
        <v>23</v>
      </c>
      <c r="C804" s="8">
        <v>3048</v>
      </c>
      <c r="D804" s="16">
        <v>7.4284370000000004E-3</v>
      </c>
      <c r="E804" s="8">
        <v>3.7142185000000002E-3</v>
      </c>
    </row>
    <row r="805" spans="1:5" x14ac:dyDescent="0.3">
      <c r="A805" s="8">
        <v>40</v>
      </c>
      <c r="B805" s="8">
        <v>24</v>
      </c>
      <c r="C805" s="8">
        <v>3073</v>
      </c>
      <c r="D805" s="16">
        <v>-3.106043E-2</v>
      </c>
      <c r="E805" s="8">
        <v>-1.5530215E-2</v>
      </c>
    </row>
    <row r="806" spans="1:5" x14ac:dyDescent="0.3">
      <c r="A806" s="8">
        <v>40</v>
      </c>
      <c r="B806" s="8">
        <v>25</v>
      </c>
      <c r="C806" s="8">
        <v>3055</v>
      </c>
      <c r="D806" s="16">
        <v>2.489311E-2</v>
      </c>
      <c r="E806" s="8">
        <v>1.2446555E-2</v>
      </c>
    </row>
    <row r="807" spans="1:5" x14ac:dyDescent="0.3">
      <c r="A807" s="8">
        <v>40</v>
      </c>
      <c r="B807" s="8">
        <v>26</v>
      </c>
      <c r="C807" s="8">
        <v>3066</v>
      </c>
      <c r="D807" s="16">
        <v>1.111621E-2</v>
      </c>
      <c r="E807" s="8">
        <v>5.5581049999999998E-3</v>
      </c>
    </row>
    <row r="808" spans="1:5" x14ac:dyDescent="0.3">
      <c r="A808" s="8">
        <v>40</v>
      </c>
      <c r="B808" s="8">
        <v>27</v>
      </c>
      <c r="C808" s="8">
        <v>3072</v>
      </c>
      <c r="D808" s="16">
        <v>-3.5386830000000001E-2</v>
      </c>
      <c r="E808" s="8">
        <v>-1.7693415000000001E-2</v>
      </c>
    </row>
    <row r="809" spans="1:5" x14ac:dyDescent="0.3">
      <c r="A809" s="8">
        <v>40</v>
      </c>
      <c r="B809" s="8">
        <v>28</v>
      </c>
      <c r="C809" s="8">
        <v>3042</v>
      </c>
      <c r="D809" s="16">
        <v>-3.3253329999999998E-2</v>
      </c>
      <c r="E809" s="8">
        <v>-1.6626664999999999E-2</v>
      </c>
    </row>
    <row r="810" spans="1:5" x14ac:dyDescent="0.3">
      <c r="A810" s="8">
        <v>40</v>
      </c>
      <c r="B810" s="8">
        <v>29</v>
      </c>
      <c r="C810" s="8">
        <v>3042</v>
      </c>
      <c r="D810" s="16">
        <v>1.1832219999999999E-2</v>
      </c>
      <c r="E810" s="8">
        <v>5.9161099999999996E-3</v>
      </c>
    </row>
    <row r="811" spans="1:5" x14ac:dyDescent="0.3">
      <c r="A811" s="8">
        <v>40</v>
      </c>
      <c r="B811" s="8">
        <v>30</v>
      </c>
      <c r="C811" s="8">
        <v>3052</v>
      </c>
      <c r="D811" s="16">
        <v>-6.6094659999999996E-3</v>
      </c>
      <c r="E811" s="8">
        <v>-3.3047329999999998E-3</v>
      </c>
    </row>
    <row r="812" spans="1:5" x14ac:dyDescent="0.3">
      <c r="A812" s="8">
        <v>40</v>
      </c>
      <c r="B812" s="8">
        <v>31</v>
      </c>
      <c r="C812" s="8">
        <v>2977</v>
      </c>
      <c r="D812" s="16">
        <v>1.176965E-2</v>
      </c>
      <c r="E812" s="8">
        <v>5.8848249999999998E-3</v>
      </c>
    </row>
    <row r="813" spans="1:5" x14ac:dyDescent="0.3">
      <c r="A813" s="8">
        <v>40</v>
      </c>
      <c r="B813" s="8">
        <v>32</v>
      </c>
      <c r="C813" s="8">
        <v>3042</v>
      </c>
      <c r="D813" s="16">
        <v>8.7024689999999991E-3</v>
      </c>
      <c r="E813" s="8">
        <v>4.3512344999999996E-3</v>
      </c>
    </row>
    <row r="814" spans="1:5" x14ac:dyDescent="0.3">
      <c r="A814" s="8">
        <v>40</v>
      </c>
      <c r="B814" s="8">
        <v>33</v>
      </c>
      <c r="C814" s="8">
        <v>3073</v>
      </c>
      <c r="D814" s="16">
        <v>4.3559940000000002E-3</v>
      </c>
      <c r="E814" s="8">
        <v>2.1779970000000001E-3</v>
      </c>
    </row>
    <row r="815" spans="1:5" x14ac:dyDescent="0.3">
      <c r="A815" s="8">
        <v>40</v>
      </c>
      <c r="B815" s="8">
        <v>34</v>
      </c>
      <c r="C815" s="8">
        <v>3060</v>
      </c>
      <c r="D815" s="16">
        <v>1.0240630000000001E-2</v>
      </c>
      <c r="E815" s="8">
        <v>5.1203150000000003E-3</v>
      </c>
    </row>
    <row r="816" spans="1:5" x14ac:dyDescent="0.3">
      <c r="A816" s="8">
        <v>40</v>
      </c>
      <c r="B816" s="8">
        <v>35</v>
      </c>
      <c r="C816" s="8">
        <v>3056</v>
      </c>
      <c r="D816" s="16">
        <v>-4.3041870000000003E-2</v>
      </c>
      <c r="E816" s="8">
        <v>-2.1520935000000001E-2</v>
      </c>
    </row>
    <row r="817" spans="1:5" x14ac:dyDescent="0.3">
      <c r="A817" s="8">
        <v>40</v>
      </c>
      <c r="B817" s="8">
        <v>36</v>
      </c>
      <c r="C817" s="8">
        <v>3069</v>
      </c>
      <c r="D817" s="16">
        <v>-2.2246350000000002E-2</v>
      </c>
      <c r="E817" s="8">
        <v>-1.1123175000000001E-2</v>
      </c>
    </row>
    <row r="818" spans="1:5" x14ac:dyDescent="0.3">
      <c r="A818" s="8">
        <v>40</v>
      </c>
      <c r="B818" s="8">
        <v>37</v>
      </c>
      <c r="C818" s="8">
        <v>3032</v>
      </c>
      <c r="D818" s="16">
        <v>1.952713E-2</v>
      </c>
      <c r="E818" s="8">
        <v>9.7635650000000001E-3</v>
      </c>
    </row>
    <row r="819" spans="1:5" x14ac:dyDescent="0.3">
      <c r="A819" s="8">
        <v>40</v>
      </c>
      <c r="B819" s="8">
        <v>38</v>
      </c>
      <c r="C819" s="8">
        <v>3072</v>
      </c>
      <c r="D819" s="16">
        <v>3.1534109999999997E-2</v>
      </c>
      <c r="E819" s="8">
        <v>1.5767054999999999E-2</v>
      </c>
    </row>
    <row r="820" spans="1:5" x14ac:dyDescent="0.3">
      <c r="A820" s="8">
        <v>40</v>
      </c>
      <c r="B820" s="8">
        <v>39</v>
      </c>
      <c r="C820" s="8">
        <v>3065</v>
      </c>
      <c r="D820" s="16">
        <v>-2.8952930000000002E-2</v>
      </c>
      <c r="E820" s="8">
        <v>-1.4476465000000001E-2</v>
      </c>
    </row>
    <row r="821" spans="1:5" x14ac:dyDescent="0.3">
      <c r="A821" s="8">
        <v>40</v>
      </c>
      <c r="B821" s="8">
        <v>40</v>
      </c>
      <c r="C821" s="8">
        <v>3156</v>
      </c>
      <c r="D821" s="16">
        <v>1.0772759999999999</v>
      </c>
      <c r="E821" s="8"/>
    </row>
    <row r="822" spans="1:5" x14ac:dyDescent="0.3">
      <c r="A822" s="8">
        <v>41</v>
      </c>
      <c r="B822" s="8">
        <v>1</v>
      </c>
      <c r="C822" s="8">
        <v>3051</v>
      </c>
      <c r="D822" s="16">
        <v>7.6114080000000001E-3</v>
      </c>
      <c r="E822" s="8">
        <v>3.805704E-3</v>
      </c>
    </row>
    <row r="823" spans="1:5" x14ac:dyDescent="0.3">
      <c r="A823" s="8">
        <v>41</v>
      </c>
      <c r="B823" s="8">
        <v>2</v>
      </c>
      <c r="C823" s="8">
        <v>3016</v>
      </c>
      <c r="D823" s="16">
        <v>-3.5529690000000003E-2</v>
      </c>
      <c r="E823" s="8">
        <v>-1.7764845000000001E-2</v>
      </c>
    </row>
    <row r="824" spans="1:5" x14ac:dyDescent="0.3">
      <c r="A824" s="8">
        <v>41</v>
      </c>
      <c r="B824" s="8">
        <v>3</v>
      </c>
      <c r="C824" s="8">
        <v>3047</v>
      </c>
      <c r="D824" s="16">
        <v>4.5761480000000004E-3</v>
      </c>
      <c r="E824" s="8">
        <v>2.2880740000000002E-3</v>
      </c>
    </row>
    <row r="825" spans="1:5" x14ac:dyDescent="0.3">
      <c r="A825" s="8">
        <v>41</v>
      </c>
      <c r="B825" s="8">
        <v>4</v>
      </c>
      <c r="C825" s="8">
        <v>3026</v>
      </c>
      <c r="D825" s="16">
        <v>-2.6093669999999999E-2</v>
      </c>
      <c r="E825" s="8">
        <v>-1.3046835E-2</v>
      </c>
    </row>
    <row r="826" spans="1:5" x14ac:dyDescent="0.3">
      <c r="A826" s="8">
        <v>41</v>
      </c>
      <c r="B826" s="8">
        <v>5</v>
      </c>
      <c r="C826" s="8">
        <v>3010</v>
      </c>
      <c r="D826" s="16">
        <v>-1.2914989999999999E-2</v>
      </c>
      <c r="E826" s="8">
        <v>-6.4574949999999997E-3</v>
      </c>
    </row>
    <row r="827" spans="1:5" x14ac:dyDescent="0.3">
      <c r="A827" s="8">
        <v>41</v>
      </c>
      <c r="B827" s="8">
        <v>6</v>
      </c>
      <c r="C827" s="8">
        <v>3033</v>
      </c>
      <c r="D827" s="16">
        <v>-5.8394910000000001E-2</v>
      </c>
      <c r="E827" s="8">
        <v>-2.9197455000000001E-2</v>
      </c>
    </row>
    <row r="828" spans="1:5" x14ac:dyDescent="0.3">
      <c r="A828" s="8">
        <v>41</v>
      </c>
      <c r="B828" s="8">
        <v>7</v>
      </c>
      <c r="C828" s="8">
        <v>3016</v>
      </c>
      <c r="D828" s="16">
        <v>-4.1330800000000001E-2</v>
      </c>
      <c r="E828" s="8">
        <v>-2.06654E-2</v>
      </c>
    </row>
    <row r="829" spans="1:5" x14ac:dyDescent="0.3">
      <c r="A829" s="8">
        <v>41</v>
      </c>
      <c r="B829" s="8">
        <v>8</v>
      </c>
      <c r="C829" s="8">
        <v>3038</v>
      </c>
      <c r="D829" s="16">
        <v>-1.985756E-2</v>
      </c>
      <c r="E829" s="8">
        <v>-9.9287799999999999E-3</v>
      </c>
    </row>
    <row r="830" spans="1:5" x14ac:dyDescent="0.3">
      <c r="A830" s="8">
        <v>41</v>
      </c>
      <c r="B830" s="8">
        <v>9</v>
      </c>
      <c r="C830" s="8">
        <v>3029</v>
      </c>
      <c r="D830" s="16">
        <v>1.6377559999999999E-2</v>
      </c>
      <c r="E830" s="8">
        <v>8.1887799999999997E-3</v>
      </c>
    </row>
    <row r="831" spans="1:5" x14ac:dyDescent="0.3">
      <c r="A831" s="8">
        <v>41</v>
      </c>
      <c r="B831" s="8">
        <v>10</v>
      </c>
      <c r="C831" s="8">
        <v>3019</v>
      </c>
      <c r="D831" s="16">
        <v>-3.5980070000000003E-2</v>
      </c>
      <c r="E831" s="8">
        <v>-1.7990035000000001E-2</v>
      </c>
    </row>
    <row r="832" spans="1:5" x14ac:dyDescent="0.3">
      <c r="A832" s="8">
        <v>41</v>
      </c>
      <c r="B832" s="8">
        <v>11</v>
      </c>
      <c r="C832" s="8">
        <v>3025</v>
      </c>
      <c r="D832" s="16">
        <v>-3.3355410000000002E-2</v>
      </c>
      <c r="E832" s="8">
        <v>-1.6677705000000001E-2</v>
      </c>
    </row>
    <row r="833" spans="1:5" x14ac:dyDescent="0.3">
      <c r="A833" s="8">
        <v>41</v>
      </c>
      <c r="B833" s="8">
        <v>12</v>
      </c>
      <c r="C833" s="8">
        <v>3044</v>
      </c>
      <c r="D833" s="16">
        <v>-3.0893679999999999E-3</v>
      </c>
      <c r="E833" s="8">
        <v>-1.5446839999999999E-3</v>
      </c>
    </row>
    <row r="834" spans="1:5" x14ac:dyDescent="0.3">
      <c r="A834" s="8">
        <v>41</v>
      </c>
      <c r="B834" s="8">
        <v>13</v>
      </c>
      <c r="C834" s="8">
        <v>3022</v>
      </c>
      <c r="D834" s="16">
        <v>1.073603E-3</v>
      </c>
      <c r="E834" s="8">
        <v>5.3680150000000001E-4</v>
      </c>
    </row>
    <row r="835" spans="1:5" x14ac:dyDescent="0.3">
      <c r="A835" s="8">
        <v>41</v>
      </c>
      <c r="B835" s="8">
        <v>14</v>
      </c>
      <c r="C835" s="8">
        <v>3018</v>
      </c>
      <c r="D835" s="16">
        <v>-4.4237340000000003E-3</v>
      </c>
      <c r="E835" s="8">
        <v>-2.2118670000000002E-3</v>
      </c>
    </row>
    <row r="836" spans="1:5" x14ac:dyDescent="0.3">
      <c r="A836" s="8">
        <v>41</v>
      </c>
      <c r="B836" s="8">
        <v>15</v>
      </c>
      <c r="C836" s="8">
        <v>3029</v>
      </c>
      <c r="D836" s="16">
        <v>-1.2918010000000001E-2</v>
      </c>
      <c r="E836" s="8">
        <v>-6.4590050000000003E-3</v>
      </c>
    </row>
    <row r="837" spans="1:5" x14ac:dyDescent="0.3">
      <c r="A837" s="8">
        <v>41</v>
      </c>
      <c r="B837" s="8">
        <v>16</v>
      </c>
      <c r="C837" s="8">
        <v>3033</v>
      </c>
      <c r="D837" s="16">
        <v>2.844174E-2</v>
      </c>
      <c r="E837" s="8">
        <v>1.422087E-2</v>
      </c>
    </row>
    <row r="838" spans="1:5" x14ac:dyDescent="0.3">
      <c r="A838" s="8">
        <v>41</v>
      </c>
      <c r="B838" s="8">
        <v>17</v>
      </c>
      <c r="C838" s="8">
        <v>3036</v>
      </c>
      <c r="D838" s="16">
        <v>5.3689790000000001E-2</v>
      </c>
      <c r="E838" s="8">
        <v>2.6844895000000001E-2</v>
      </c>
    </row>
    <row r="839" spans="1:5" x14ac:dyDescent="0.3">
      <c r="A839" s="8">
        <v>41</v>
      </c>
      <c r="B839" s="8">
        <v>18</v>
      </c>
      <c r="C839" s="8">
        <v>3044</v>
      </c>
      <c r="D839" s="16">
        <v>7.1801080000000003E-2</v>
      </c>
      <c r="E839" s="8">
        <v>3.5900540000000002E-2</v>
      </c>
    </row>
    <row r="840" spans="1:5" x14ac:dyDescent="0.3">
      <c r="A840" s="8">
        <v>41</v>
      </c>
      <c r="B840" s="8">
        <v>19</v>
      </c>
      <c r="C840" s="8">
        <v>3026</v>
      </c>
      <c r="D840" s="16">
        <v>-9.1998300000000009E-3</v>
      </c>
      <c r="E840" s="8">
        <v>-4.5999150000000004E-3</v>
      </c>
    </row>
    <row r="841" spans="1:5" x14ac:dyDescent="0.3">
      <c r="A841" s="8">
        <v>41</v>
      </c>
      <c r="B841" s="8">
        <v>20</v>
      </c>
      <c r="C841" s="8">
        <v>3035</v>
      </c>
      <c r="D841" s="16">
        <v>-6.5530030000000003E-2</v>
      </c>
      <c r="E841" s="8">
        <v>-3.2765015000000001E-2</v>
      </c>
    </row>
    <row r="842" spans="1:5" x14ac:dyDescent="0.3">
      <c r="A842" s="8">
        <v>41</v>
      </c>
      <c r="B842" s="8">
        <v>21</v>
      </c>
      <c r="C842" s="8">
        <v>3038</v>
      </c>
      <c r="D842" s="16">
        <v>-2.464823E-2</v>
      </c>
      <c r="E842" s="8">
        <v>-1.2324115E-2</v>
      </c>
    </row>
    <row r="843" spans="1:5" x14ac:dyDescent="0.3">
      <c r="A843" s="8">
        <v>41</v>
      </c>
      <c r="B843" s="8">
        <v>22</v>
      </c>
      <c r="C843" s="8">
        <v>3022</v>
      </c>
      <c r="D843" s="16">
        <v>-5.0006410000000001E-2</v>
      </c>
      <c r="E843" s="8">
        <v>-2.5003205000000001E-2</v>
      </c>
    </row>
    <row r="844" spans="1:5" x14ac:dyDescent="0.3">
      <c r="A844" s="8">
        <v>41</v>
      </c>
      <c r="B844" s="8">
        <v>23</v>
      </c>
      <c r="C844" s="8">
        <v>3022</v>
      </c>
      <c r="D844" s="16">
        <v>4.2998719999999997E-2</v>
      </c>
      <c r="E844" s="8">
        <v>2.1499359999999999E-2</v>
      </c>
    </row>
    <row r="845" spans="1:5" x14ac:dyDescent="0.3">
      <c r="A845" s="8">
        <v>41</v>
      </c>
      <c r="B845" s="8">
        <v>24</v>
      </c>
      <c r="C845" s="8">
        <v>3051</v>
      </c>
      <c r="D845" s="16">
        <v>-1.6502969999999999E-2</v>
      </c>
      <c r="E845" s="8">
        <v>-8.2514849999999994E-3</v>
      </c>
    </row>
    <row r="846" spans="1:5" x14ac:dyDescent="0.3">
      <c r="A846" s="8">
        <v>41</v>
      </c>
      <c r="B846" s="8">
        <v>25</v>
      </c>
      <c r="C846" s="8">
        <v>3028</v>
      </c>
      <c r="D846" s="16">
        <v>-9.1746889999999998E-3</v>
      </c>
      <c r="E846" s="8">
        <v>-4.5873444999999999E-3</v>
      </c>
    </row>
    <row r="847" spans="1:5" x14ac:dyDescent="0.3">
      <c r="A847" s="8">
        <v>41</v>
      </c>
      <c r="B847" s="8">
        <v>26</v>
      </c>
      <c r="C847" s="8">
        <v>3036</v>
      </c>
      <c r="D847" s="16">
        <v>1.9554289999999998E-2</v>
      </c>
      <c r="E847" s="8">
        <v>9.7771449999999992E-3</v>
      </c>
    </row>
    <row r="848" spans="1:5" x14ac:dyDescent="0.3">
      <c r="A848" s="8">
        <v>41</v>
      </c>
      <c r="B848" s="8">
        <v>27</v>
      </c>
      <c r="C848" s="8">
        <v>3050</v>
      </c>
      <c r="D848" s="16">
        <v>1.0893419999999999E-2</v>
      </c>
      <c r="E848" s="8">
        <v>5.4467099999999996E-3</v>
      </c>
    </row>
    <row r="849" spans="1:5" x14ac:dyDescent="0.3">
      <c r="A849" s="8">
        <v>41</v>
      </c>
      <c r="B849" s="8">
        <v>28</v>
      </c>
      <c r="C849" s="8">
        <v>3017</v>
      </c>
      <c r="D849" s="16">
        <v>-2.0564059999999999E-2</v>
      </c>
      <c r="E849" s="8">
        <v>-1.0282029999999999E-2</v>
      </c>
    </row>
    <row r="850" spans="1:5" x14ac:dyDescent="0.3">
      <c r="A850" s="8">
        <v>41</v>
      </c>
      <c r="B850" s="8">
        <v>29</v>
      </c>
      <c r="C850" s="8">
        <v>3022</v>
      </c>
      <c r="D850" s="16">
        <v>5.8316420000000001E-2</v>
      </c>
      <c r="E850" s="8">
        <v>2.915821E-2</v>
      </c>
    </row>
    <row r="851" spans="1:5" x14ac:dyDescent="0.3">
      <c r="A851" s="8">
        <v>41</v>
      </c>
      <c r="B851" s="8">
        <v>30</v>
      </c>
      <c r="C851" s="8">
        <v>3028</v>
      </c>
      <c r="D851" s="16">
        <v>1.1584189999999999E-2</v>
      </c>
      <c r="E851" s="8">
        <v>5.7920949999999997E-3</v>
      </c>
    </row>
    <row r="852" spans="1:5" x14ac:dyDescent="0.3">
      <c r="A852" s="8">
        <v>41</v>
      </c>
      <c r="B852" s="8">
        <v>31</v>
      </c>
      <c r="C852" s="8">
        <v>2952</v>
      </c>
      <c r="D852" s="16">
        <v>-1.7894199999999999E-2</v>
      </c>
      <c r="E852" s="8">
        <v>-8.9470999999999995E-3</v>
      </c>
    </row>
    <row r="853" spans="1:5" x14ac:dyDescent="0.3">
      <c r="A853" s="8">
        <v>41</v>
      </c>
      <c r="B853" s="8">
        <v>32</v>
      </c>
      <c r="C853" s="8">
        <v>3021</v>
      </c>
      <c r="D853" s="16">
        <v>-2.141376E-2</v>
      </c>
      <c r="E853" s="8">
        <v>-1.070688E-2</v>
      </c>
    </row>
    <row r="854" spans="1:5" x14ac:dyDescent="0.3">
      <c r="A854" s="8">
        <v>41</v>
      </c>
      <c r="B854" s="8">
        <v>33</v>
      </c>
      <c r="C854" s="8">
        <v>3047</v>
      </c>
      <c r="D854" s="16">
        <v>-1.5477100000000001E-2</v>
      </c>
      <c r="E854" s="8">
        <v>-7.7385500000000003E-3</v>
      </c>
    </row>
    <row r="855" spans="1:5" x14ac:dyDescent="0.3">
      <c r="A855" s="8">
        <v>41</v>
      </c>
      <c r="B855" s="8">
        <v>34</v>
      </c>
      <c r="C855" s="8">
        <v>3038</v>
      </c>
      <c r="D855" s="16">
        <v>-2.4007649999999998E-2</v>
      </c>
      <c r="E855" s="8">
        <v>-1.2003824999999999E-2</v>
      </c>
    </row>
    <row r="856" spans="1:5" x14ac:dyDescent="0.3">
      <c r="A856" s="8">
        <v>41</v>
      </c>
      <c r="B856" s="8">
        <v>35</v>
      </c>
      <c r="C856" s="8">
        <v>3032</v>
      </c>
      <c r="D856" s="16">
        <v>1.9453729999999999E-2</v>
      </c>
      <c r="E856" s="8">
        <v>9.7268649999999995E-3</v>
      </c>
    </row>
    <row r="857" spans="1:5" x14ac:dyDescent="0.3">
      <c r="A857" s="8">
        <v>41</v>
      </c>
      <c r="B857" s="8">
        <v>36</v>
      </c>
      <c r="C857" s="8">
        <v>3037</v>
      </c>
      <c r="D857" s="16">
        <v>-3.5225029999999997E-2</v>
      </c>
      <c r="E857" s="8">
        <v>-1.7612514999999999E-2</v>
      </c>
    </row>
    <row r="858" spans="1:5" x14ac:dyDescent="0.3">
      <c r="A858" s="8">
        <v>41</v>
      </c>
      <c r="B858" s="8">
        <v>37</v>
      </c>
      <c r="C858" s="8">
        <v>3004</v>
      </c>
      <c r="D858" s="16">
        <v>3.2197950000000001E-3</v>
      </c>
      <c r="E858" s="8">
        <v>1.6098975000000001E-3</v>
      </c>
    </row>
    <row r="859" spans="1:5" x14ac:dyDescent="0.3">
      <c r="A859" s="8">
        <v>41</v>
      </c>
      <c r="B859" s="8">
        <v>38</v>
      </c>
      <c r="C859" s="8">
        <v>3049</v>
      </c>
      <c r="D859" s="16">
        <v>-4.5225219999999997E-2</v>
      </c>
      <c r="E859" s="8">
        <v>-2.2612609999999998E-2</v>
      </c>
    </row>
    <row r="860" spans="1:5" x14ac:dyDescent="0.3">
      <c r="A860" s="8">
        <v>41</v>
      </c>
      <c r="B860" s="8">
        <v>39</v>
      </c>
      <c r="C860" s="8">
        <v>3043</v>
      </c>
      <c r="D860" s="16">
        <v>-5.5764210000000002E-2</v>
      </c>
      <c r="E860" s="8">
        <v>-2.7882105000000001E-2</v>
      </c>
    </row>
    <row r="861" spans="1:5" x14ac:dyDescent="0.3">
      <c r="A861" s="8">
        <v>41</v>
      </c>
      <c r="B861" s="8">
        <v>40</v>
      </c>
      <c r="C861" s="8">
        <v>3036</v>
      </c>
      <c r="D861" s="16">
        <v>-2.345303E-2</v>
      </c>
      <c r="E861" s="8">
        <v>-1.1726515E-2</v>
      </c>
    </row>
    <row r="862" spans="1:5" x14ac:dyDescent="0.3">
      <c r="A862" s="8">
        <v>41</v>
      </c>
      <c r="B862" s="8">
        <v>41</v>
      </c>
      <c r="C862" s="8">
        <v>3128</v>
      </c>
      <c r="D862" s="16">
        <v>1.113019</v>
      </c>
      <c r="E862" s="8"/>
    </row>
    <row r="863" spans="1:5" x14ac:dyDescent="0.3">
      <c r="A863" s="8">
        <v>42</v>
      </c>
      <c r="B863" s="8">
        <v>1</v>
      </c>
      <c r="C863" s="8">
        <v>3040</v>
      </c>
      <c r="D863" s="16">
        <v>-3.8057680000000003E-2</v>
      </c>
      <c r="E863" s="8">
        <v>-1.9028840000000002E-2</v>
      </c>
    </row>
    <row r="864" spans="1:5" x14ac:dyDescent="0.3">
      <c r="A864" s="8">
        <v>42</v>
      </c>
      <c r="B864" s="8">
        <v>2</v>
      </c>
      <c r="C864" s="8">
        <v>3006</v>
      </c>
      <c r="D864" s="16">
        <v>-2.2756410000000001E-3</v>
      </c>
      <c r="E864" s="8">
        <v>-1.1378205000000001E-3</v>
      </c>
    </row>
    <row r="865" spans="1:5" x14ac:dyDescent="0.3">
      <c r="A865" s="8">
        <v>42</v>
      </c>
      <c r="B865" s="8">
        <v>3</v>
      </c>
      <c r="C865" s="8">
        <v>3038</v>
      </c>
      <c r="D865" s="16">
        <v>5.6385469999999998E-3</v>
      </c>
      <c r="E865" s="8">
        <v>2.8192734999999999E-3</v>
      </c>
    </row>
    <row r="866" spans="1:5" x14ac:dyDescent="0.3">
      <c r="A866" s="8">
        <v>42</v>
      </c>
      <c r="B866" s="8">
        <v>4</v>
      </c>
      <c r="C866" s="8">
        <v>3014</v>
      </c>
      <c r="D866" s="16">
        <v>-4.8252059999999999E-2</v>
      </c>
      <c r="E866" s="8">
        <v>-2.412603E-2</v>
      </c>
    </row>
    <row r="867" spans="1:5" x14ac:dyDescent="0.3">
      <c r="A867" s="8">
        <v>42</v>
      </c>
      <c r="B867" s="8">
        <v>5</v>
      </c>
      <c r="C867" s="8">
        <v>3005</v>
      </c>
      <c r="D867" s="16">
        <v>-2.2999510000000001E-2</v>
      </c>
      <c r="E867" s="8">
        <v>-1.1499755E-2</v>
      </c>
    </row>
    <row r="868" spans="1:5" x14ac:dyDescent="0.3">
      <c r="A868" s="8">
        <v>42</v>
      </c>
      <c r="B868" s="8">
        <v>6</v>
      </c>
      <c r="C868" s="8">
        <v>3025</v>
      </c>
      <c r="D868" s="16">
        <v>-4.9352409999999999E-2</v>
      </c>
      <c r="E868" s="8">
        <v>-2.4676205E-2</v>
      </c>
    </row>
    <row r="869" spans="1:5" x14ac:dyDescent="0.3">
      <c r="A869" s="8">
        <v>42</v>
      </c>
      <c r="B869" s="8">
        <v>7</v>
      </c>
      <c r="C869" s="8">
        <v>3012</v>
      </c>
      <c r="D869" s="16">
        <v>-9.0293000000000005E-3</v>
      </c>
      <c r="E869" s="8">
        <v>-4.5146500000000003E-3</v>
      </c>
    </row>
    <row r="870" spans="1:5" x14ac:dyDescent="0.3">
      <c r="A870" s="8">
        <v>42</v>
      </c>
      <c r="B870" s="8">
        <v>8</v>
      </c>
      <c r="C870" s="8">
        <v>3034</v>
      </c>
      <c r="D870" s="16">
        <v>-2.279438E-2</v>
      </c>
      <c r="E870" s="8">
        <v>-1.139719E-2</v>
      </c>
    </row>
    <row r="871" spans="1:5" x14ac:dyDescent="0.3">
      <c r="A871" s="8">
        <v>42</v>
      </c>
      <c r="B871" s="8">
        <v>9</v>
      </c>
      <c r="C871" s="8">
        <v>3023</v>
      </c>
      <c r="D871" s="16">
        <v>1.9111630000000001E-2</v>
      </c>
      <c r="E871" s="8">
        <v>9.5558150000000005E-3</v>
      </c>
    </row>
    <row r="872" spans="1:5" x14ac:dyDescent="0.3">
      <c r="A872" s="8">
        <v>42</v>
      </c>
      <c r="B872" s="8">
        <v>10</v>
      </c>
      <c r="C872" s="8">
        <v>3022</v>
      </c>
      <c r="D872" s="16">
        <v>2.140887E-2</v>
      </c>
      <c r="E872" s="8">
        <v>1.0704435E-2</v>
      </c>
    </row>
    <row r="873" spans="1:5" x14ac:dyDescent="0.3">
      <c r="A873" s="8">
        <v>42</v>
      </c>
      <c r="B873" s="8">
        <v>11</v>
      </c>
      <c r="C873" s="8">
        <v>3014</v>
      </c>
      <c r="D873" s="16">
        <v>1.682996E-3</v>
      </c>
      <c r="E873" s="8">
        <v>8.4149799999999999E-4</v>
      </c>
    </row>
    <row r="874" spans="1:5" x14ac:dyDescent="0.3">
      <c r="A874" s="8">
        <v>42</v>
      </c>
      <c r="B874" s="8">
        <v>12</v>
      </c>
      <c r="C874" s="8">
        <v>3037</v>
      </c>
      <c r="D874" s="16">
        <v>-2.076691E-2</v>
      </c>
      <c r="E874" s="8">
        <v>-1.0383455E-2</v>
      </c>
    </row>
    <row r="875" spans="1:5" x14ac:dyDescent="0.3">
      <c r="A875" s="8">
        <v>42</v>
      </c>
      <c r="B875" s="8">
        <v>13</v>
      </c>
      <c r="C875" s="8">
        <v>3014</v>
      </c>
      <c r="D875" s="16">
        <v>7.622752E-3</v>
      </c>
      <c r="E875" s="8">
        <v>3.811376E-3</v>
      </c>
    </row>
    <row r="876" spans="1:5" x14ac:dyDescent="0.3">
      <c r="A876" s="8">
        <v>42</v>
      </c>
      <c r="B876" s="8">
        <v>14</v>
      </c>
      <c r="C876" s="8">
        <v>3013</v>
      </c>
      <c r="D876" s="16">
        <v>3.9315799999999998E-2</v>
      </c>
      <c r="E876" s="8">
        <v>1.9657899999999999E-2</v>
      </c>
    </row>
    <row r="877" spans="1:5" x14ac:dyDescent="0.3">
      <c r="A877" s="8">
        <v>42</v>
      </c>
      <c r="B877" s="8">
        <v>15</v>
      </c>
      <c r="C877" s="8">
        <v>3023</v>
      </c>
      <c r="D877" s="16">
        <v>-2.7115070000000002E-3</v>
      </c>
      <c r="E877" s="8">
        <v>-1.3557535000000001E-3</v>
      </c>
    </row>
    <row r="878" spans="1:5" x14ac:dyDescent="0.3">
      <c r="A878" s="8">
        <v>42</v>
      </c>
      <c r="B878" s="8">
        <v>16</v>
      </c>
      <c r="C878" s="8">
        <v>3030</v>
      </c>
      <c r="D878" s="16">
        <v>1.6902559999999999E-4</v>
      </c>
      <c r="E878" s="8">
        <v>8.4512799999999995E-5</v>
      </c>
    </row>
    <row r="879" spans="1:5" x14ac:dyDescent="0.3">
      <c r="A879" s="8">
        <v>42</v>
      </c>
      <c r="B879" s="8">
        <v>17</v>
      </c>
      <c r="C879" s="8">
        <v>3024</v>
      </c>
      <c r="D879" s="16">
        <v>-1.612972E-2</v>
      </c>
      <c r="E879" s="8">
        <v>-8.0648600000000001E-3</v>
      </c>
    </row>
    <row r="880" spans="1:5" x14ac:dyDescent="0.3">
      <c r="A880" s="8">
        <v>42</v>
      </c>
      <c r="B880" s="8">
        <v>18</v>
      </c>
      <c r="C880" s="8">
        <v>3035</v>
      </c>
      <c r="D880" s="16">
        <v>4.9341960000000001E-3</v>
      </c>
      <c r="E880" s="8">
        <v>2.467098E-3</v>
      </c>
    </row>
    <row r="881" spans="1:5" x14ac:dyDescent="0.3">
      <c r="A881" s="8">
        <v>42</v>
      </c>
      <c r="B881" s="8">
        <v>19</v>
      </c>
      <c r="C881" s="8">
        <v>3025</v>
      </c>
      <c r="D881" s="16">
        <v>-1.5963450000000001E-2</v>
      </c>
      <c r="E881" s="8">
        <v>-7.9817250000000003E-3</v>
      </c>
    </row>
    <row r="882" spans="1:5" x14ac:dyDescent="0.3">
      <c r="A882" s="8">
        <v>42</v>
      </c>
      <c r="B882" s="8">
        <v>20</v>
      </c>
      <c r="C882" s="8">
        <v>3030</v>
      </c>
      <c r="D882" s="16">
        <v>-5.6710659999999998E-3</v>
      </c>
      <c r="E882" s="8">
        <v>-2.8355329999999999E-3</v>
      </c>
    </row>
    <row r="883" spans="1:5" x14ac:dyDescent="0.3">
      <c r="A883" s="8">
        <v>42</v>
      </c>
      <c r="B883" s="8">
        <v>21</v>
      </c>
      <c r="C883" s="8">
        <v>3025</v>
      </c>
      <c r="D883" s="16">
        <v>-4.7227079999999999E-3</v>
      </c>
      <c r="E883" s="8">
        <v>-2.361354E-3</v>
      </c>
    </row>
    <row r="884" spans="1:5" x14ac:dyDescent="0.3">
      <c r="A884" s="8">
        <v>42</v>
      </c>
      <c r="B884" s="8">
        <v>22</v>
      </c>
      <c r="C884" s="8">
        <v>3013</v>
      </c>
      <c r="D884" s="16">
        <v>-1.998076E-2</v>
      </c>
      <c r="E884" s="8">
        <v>-9.9903800000000001E-3</v>
      </c>
    </row>
    <row r="885" spans="1:5" x14ac:dyDescent="0.3">
      <c r="A885" s="8">
        <v>42</v>
      </c>
      <c r="B885" s="8">
        <v>23</v>
      </c>
      <c r="C885" s="8">
        <v>3012</v>
      </c>
      <c r="D885" s="16">
        <v>2.6940499999999999E-2</v>
      </c>
      <c r="E885" s="8">
        <v>1.347025E-2</v>
      </c>
    </row>
    <row r="886" spans="1:5" x14ac:dyDescent="0.3">
      <c r="A886" s="8">
        <v>42</v>
      </c>
      <c r="B886" s="8">
        <v>24</v>
      </c>
      <c r="C886" s="8">
        <v>3040</v>
      </c>
      <c r="D886" s="16">
        <v>-1.188576E-2</v>
      </c>
      <c r="E886" s="8">
        <v>-5.9428800000000002E-3</v>
      </c>
    </row>
    <row r="887" spans="1:5" x14ac:dyDescent="0.3">
      <c r="A887" s="8">
        <v>42</v>
      </c>
      <c r="B887" s="8">
        <v>25</v>
      </c>
      <c r="C887" s="8">
        <v>3021</v>
      </c>
      <c r="D887" s="16">
        <v>5.979196E-3</v>
      </c>
      <c r="E887" s="8">
        <v>2.989598E-3</v>
      </c>
    </row>
    <row r="888" spans="1:5" x14ac:dyDescent="0.3">
      <c r="A888" s="8">
        <v>42</v>
      </c>
      <c r="B888" s="8">
        <v>26</v>
      </c>
      <c r="C888" s="8">
        <v>3038</v>
      </c>
      <c r="D888" s="16">
        <v>-2.7381920000000001E-2</v>
      </c>
      <c r="E888" s="8">
        <v>-1.369096E-2</v>
      </c>
    </row>
    <row r="889" spans="1:5" x14ac:dyDescent="0.3">
      <c r="A889" s="8">
        <v>42</v>
      </c>
      <c r="B889" s="8">
        <v>27</v>
      </c>
      <c r="C889" s="8">
        <v>3041</v>
      </c>
      <c r="D889" s="16">
        <v>-1.283979E-2</v>
      </c>
      <c r="E889" s="8">
        <v>-6.4198950000000001E-3</v>
      </c>
    </row>
    <row r="890" spans="1:5" x14ac:dyDescent="0.3">
      <c r="A890" s="8">
        <v>42</v>
      </c>
      <c r="B890" s="8">
        <v>28</v>
      </c>
      <c r="C890" s="8">
        <v>3009</v>
      </c>
      <c r="D890" s="16">
        <v>-1.727041E-2</v>
      </c>
      <c r="E890" s="8">
        <v>-8.635205E-3</v>
      </c>
    </row>
    <row r="891" spans="1:5" x14ac:dyDescent="0.3">
      <c r="A891" s="8">
        <v>42</v>
      </c>
      <c r="B891" s="8">
        <v>29</v>
      </c>
      <c r="C891" s="8">
        <v>3015</v>
      </c>
      <c r="D891" s="16">
        <v>2.403187E-2</v>
      </c>
      <c r="E891" s="8">
        <v>1.2015935E-2</v>
      </c>
    </row>
    <row r="892" spans="1:5" x14ac:dyDescent="0.3">
      <c r="A892" s="8">
        <v>42</v>
      </c>
      <c r="B892" s="8">
        <v>30</v>
      </c>
      <c r="C892" s="8">
        <v>3025</v>
      </c>
      <c r="D892" s="16">
        <v>-4.6464119999999998E-2</v>
      </c>
      <c r="E892" s="8">
        <v>-2.3232059999999999E-2</v>
      </c>
    </row>
    <row r="893" spans="1:5" x14ac:dyDescent="0.3">
      <c r="A893" s="8">
        <v>42</v>
      </c>
      <c r="B893" s="8">
        <v>31</v>
      </c>
      <c r="C893" s="8">
        <v>2952</v>
      </c>
      <c r="D893" s="16">
        <v>1.061811E-2</v>
      </c>
      <c r="E893" s="8">
        <v>5.309055E-3</v>
      </c>
    </row>
    <row r="894" spans="1:5" x14ac:dyDescent="0.3">
      <c r="A894" s="8">
        <v>42</v>
      </c>
      <c r="B894" s="8">
        <v>32</v>
      </c>
      <c r="C894" s="8">
        <v>3010</v>
      </c>
      <c r="D894" s="16">
        <v>9.0894610000000001E-3</v>
      </c>
      <c r="E894" s="8">
        <v>4.5447305E-3</v>
      </c>
    </row>
    <row r="895" spans="1:5" x14ac:dyDescent="0.3">
      <c r="A895" s="8">
        <v>42</v>
      </c>
      <c r="B895" s="8">
        <v>33</v>
      </c>
      <c r="C895" s="8">
        <v>3039</v>
      </c>
      <c r="D895" s="16">
        <v>-3.3760190000000002E-2</v>
      </c>
      <c r="E895" s="8">
        <v>-1.6880095000000001E-2</v>
      </c>
    </row>
    <row r="896" spans="1:5" x14ac:dyDescent="0.3">
      <c r="A896" s="8">
        <v>42</v>
      </c>
      <c r="B896" s="8">
        <v>34</v>
      </c>
      <c r="C896" s="8">
        <v>3028</v>
      </c>
      <c r="D896" s="16">
        <v>3.042562E-3</v>
      </c>
      <c r="E896" s="8">
        <v>1.521281E-3</v>
      </c>
    </row>
    <row r="897" spans="1:5" x14ac:dyDescent="0.3">
      <c r="A897" s="8">
        <v>42</v>
      </c>
      <c r="B897" s="8">
        <v>35</v>
      </c>
      <c r="C897" s="8">
        <v>3022</v>
      </c>
      <c r="D897" s="16">
        <v>-2.6190950000000001E-2</v>
      </c>
      <c r="E897" s="8">
        <v>-1.3095475000000001E-2</v>
      </c>
    </row>
    <row r="898" spans="1:5" x14ac:dyDescent="0.3">
      <c r="A898" s="8">
        <v>42</v>
      </c>
      <c r="B898" s="8">
        <v>36</v>
      </c>
      <c r="C898" s="8">
        <v>3032</v>
      </c>
      <c r="D898" s="16">
        <v>-4.3212170000000001E-2</v>
      </c>
      <c r="E898" s="8">
        <v>-2.1606085000000001E-2</v>
      </c>
    </row>
    <row r="899" spans="1:5" x14ac:dyDescent="0.3">
      <c r="A899" s="8">
        <v>42</v>
      </c>
      <c r="B899" s="8">
        <v>37</v>
      </c>
      <c r="C899" s="8">
        <v>2998</v>
      </c>
      <c r="D899" s="16">
        <v>-4.0563729999999999E-2</v>
      </c>
      <c r="E899" s="8">
        <v>-2.0281865E-2</v>
      </c>
    </row>
    <row r="900" spans="1:5" x14ac:dyDescent="0.3">
      <c r="A900" s="8">
        <v>42</v>
      </c>
      <c r="B900" s="8">
        <v>38</v>
      </c>
      <c r="C900" s="8">
        <v>3038</v>
      </c>
      <c r="D900" s="16">
        <v>-2.3004179999999999E-2</v>
      </c>
      <c r="E900" s="8">
        <v>-1.150209E-2</v>
      </c>
    </row>
    <row r="901" spans="1:5" x14ac:dyDescent="0.3">
      <c r="A901" s="8">
        <v>42</v>
      </c>
      <c r="B901" s="8">
        <v>39</v>
      </c>
      <c r="C901" s="8">
        <v>3033</v>
      </c>
      <c r="D901" s="16">
        <v>-6.5707300000000003E-3</v>
      </c>
      <c r="E901" s="8">
        <v>-3.2853650000000002E-3</v>
      </c>
    </row>
    <row r="902" spans="1:5" x14ac:dyDescent="0.3">
      <c r="A902" s="8">
        <v>42</v>
      </c>
      <c r="B902" s="8">
        <v>40</v>
      </c>
      <c r="C902" s="8">
        <v>3027</v>
      </c>
      <c r="D902" s="16">
        <v>-8.2678270000000002E-3</v>
      </c>
      <c r="E902" s="8">
        <v>-4.1339135000000001E-3</v>
      </c>
    </row>
    <row r="903" spans="1:5" x14ac:dyDescent="0.3">
      <c r="A903" s="8">
        <v>42</v>
      </c>
      <c r="B903" s="8">
        <v>41</v>
      </c>
      <c r="C903" s="8">
        <v>3003</v>
      </c>
      <c r="D903" s="16">
        <v>-2.7175129999999999E-2</v>
      </c>
      <c r="E903" s="8">
        <v>-1.3587564999999999E-2</v>
      </c>
    </row>
    <row r="904" spans="1:5" x14ac:dyDescent="0.3">
      <c r="A904" s="8">
        <v>42</v>
      </c>
      <c r="B904" s="8">
        <v>42</v>
      </c>
      <c r="C904" s="8">
        <v>3120</v>
      </c>
      <c r="D904" s="16">
        <v>1.045474</v>
      </c>
      <c r="E904" s="8"/>
    </row>
    <row r="905" spans="1:5" x14ac:dyDescent="0.3">
      <c r="A905" s="8">
        <v>43</v>
      </c>
      <c r="B905" s="8">
        <v>1</v>
      </c>
      <c r="C905" s="8">
        <v>3062</v>
      </c>
      <c r="D905" s="16">
        <v>1.9520559999999999E-2</v>
      </c>
      <c r="E905" s="8">
        <v>9.7602799999999997E-3</v>
      </c>
    </row>
    <row r="906" spans="1:5" x14ac:dyDescent="0.3">
      <c r="A906" s="8">
        <v>43</v>
      </c>
      <c r="B906" s="8">
        <v>2</v>
      </c>
      <c r="C906" s="8">
        <v>3028</v>
      </c>
      <c r="D906" s="16">
        <v>-7.8121400000000004E-3</v>
      </c>
      <c r="E906" s="8">
        <v>-3.9060700000000002E-3</v>
      </c>
    </row>
    <row r="907" spans="1:5" x14ac:dyDescent="0.3">
      <c r="A907" s="8">
        <v>43</v>
      </c>
      <c r="B907" s="8">
        <v>3</v>
      </c>
      <c r="C907" s="8">
        <v>3055</v>
      </c>
      <c r="D907" s="16">
        <v>-3.9079129999999997E-2</v>
      </c>
      <c r="E907" s="8">
        <v>-1.9539564999999998E-2</v>
      </c>
    </row>
    <row r="908" spans="1:5" x14ac:dyDescent="0.3">
      <c r="A908" s="8">
        <v>43</v>
      </c>
      <c r="B908" s="8">
        <v>4</v>
      </c>
      <c r="C908" s="8">
        <v>3034</v>
      </c>
      <c r="D908" s="16">
        <v>1.6798529999999999E-2</v>
      </c>
      <c r="E908" s="8">
        <v>8.3992649999999995E-3</v>
      </c>
    </row>
    <row r="909" spans="1:5" x14ac:dyDescent="0.3">
      <c r="A909" s="8">
        <v>43</v>
      </c>
      <c r="B909" s="8">
        <v>5</v>
      </c>
      <c r="C909" s="8">
        <v>3022</v>
      </c>
      <c r="D909" s="16">
        <v>-5.9081340000000003E-2</v>
      </c>
      <c r="E909" s="8">
        <v>-2.9540670000000002E-2</v>
      </c>
    </row>
    <row r="910" spans="1:5" x14ac:dyDescent="0.3">
      <c r="A910" s="8">
        <v>43</v>
      </c>
      <c r="B910" s="8">
        <v>6</v>
      </c>
      <c r="C910" s="8">
        <v>3039</v>
      </c>
      <c r="D910" s="16">
        <v>-1.185338E-2</v>
      </c>
      <c r="E910" s="8">
        <v>-5.9266900000000001E-3</v>
      </c>
    </row>
    <row r="911" spans="1:5" x14ac:dyDescent="0.3">
      <c r="A911" s="8">
        <v>43</v>
      </c>
      <c r="B911" s="8">
        <v>7</v>
      </c>
      <c r="C911" s="8">
        <v>3032</v>
      </c>
      <c r="D911" s="16">
        <v>7.5836179999999999E-4</v>
      </c>
      <c r="E911" s="8">
        <v>3.7918089999999999E-4</v>
      </c>
    </row>
    <row r="912" spans="1:5" x14ac:dyDescent="0.3">
      <c r="A912" s="8">
        <v>43</v>
      </c>
      <c r="B912" s="8">
        <v>8</v>
      </c>
      <c r="C912" s="8">
        <v>3048</v>
      </c>
      <c r="D912" s="16">
        <v>-3.0766600000000002E-2</v>
      </c>
      <c r="E912" s="8">
        <v>-1.5383300000000001E-2</v>
      </c>
    </row>
    <row r="913" spans="1:5" x14ac:dyDescent="0.3">
      <c r="A913" s="8">
        <v>43</v>
      </c>
      <c r="B913" s="8">
        <v>9</v>
      </c>
      <c r="C913" s="8">
        <v>3044</v>
      </c>
      <c r="D913" s="16">
        <v>-6.4621659999999997E-2</v>
      </c>
      <c r="E913" s="8">
        <v>-3.2310829999999999E-2</v>
      </c>
    </row>
    <row r="914" spans="1:5" x14ac:dyDescent="0.3">
      <c r="A914" s="8">
        <v>43</v>
      </c>
      <c r="B914" s="8">
        <v>10</v>
      </c>
      <c r="C914" s="8">
        <v>3032</v>
      </c>
      <c r="D914" s="16">
        <v>-5.187485E-2</v>
      </c>
      <c r="E914" s="8">
        <v>-2.5937425E-2</v>
      </c>
    </row>
    <row r="915" spans="1:5" x14ac:dyDescent="0.3">
      <c r="A915" s="8">
        <v>43</v>
      </c>
      <c r="B915" s="8">
        <v>11</v>
      </c>
      <c r="C915" s="8">
        <v>3034</v>
      </c>
      <c r="D915" s="16">
        <v>-3.353188E-2</v>
      </c>
      <c r="E915" s="8">
        <v>-1.676594E-2</v>
      </c>
    </row>
    <row r="916" spans="1:5" x14ac:dyDescent="0.3">
      <c r="A916" s="8">
        <v>43</v>
      </c>
      <c r="B916" s="8">
        <v>12</v>
      </c>
      <c r="C916" s="8">
        <v>3053</v>
      </c>
      <c r="D916" s="16">
        <v>-2.0454340000000001E-2</v>
      </c>
      <c r="E916" s="8">
        <v>-1.0227170000000001E-2</v>
      </c>
    </row>
    <row r="917" spans="1:5" x14ac:dyDescent="0.3">
      <c r="A917" s="8">
        <v>43</v>
      </c>
      <c r="B917" s="8">
        <v>13</v>
      </c>
      <c r="C917" s="8">
        <v>3034</v>
      </c>
      <c r="D917" s="16">
        <v>1.567348E-2</v>
      </c>
      <c r="E917" s="8">
        <v>7.83674E-3</v>
      </c>
    </row>
    <row r="918" spans="1:5" x14ac:dyDescent="0.3">
      <c r="A918" s="8">
        <v>43</v>
      </c>
      <c r="B918" s="8">
        <v>14</v>
      </c>
      <c r="C918" s="8">
        <v>3032</v>
      </c>
      <c r="D918" s="16">
        <v>-2.6321790000000001E-2</v>
      </c>
      <c r="E918" s="8">
        <v>-1.3160895000000001E-2</v>
      </c>
    </row>
    <row r="919" spans="1:5" x14ac:dyDescent="0.3">
      <c r="A919" s="8">
        <v>43</v>
      </c>
      <c r="B919" s="8">
        <v>15</v>
      </c>
      <c r="C919" s="8">
        <v>3040</v>
      </c>
      <c r="D919" s="16">
        <v>5.3379839999999996E-3</v>
      </c>
      <c r="E919" s="8">
        <v>2.6689919999999998E-3</v>
      </c>
    </row>
    <row r="920" spans="1:5" x14ac:dyDescent="0.3">
      <c r="A920" s="8">
        <v>43</v>
      </c>
      <c r="B920" s="8">
        <v>16</v>
      </c>
      <c r="C920" s="8">
        <v>3042</v>
      </c>
      <c r="D920" s="16">
        <v>-6.9830860000000003E-3</v>
      </c>
      <c r="E920" s="8">
        <v>-3.4915430000000002E-3</v>
      </c>
    </row>
    <row r="921" spans="1:5" x14ac:dyDescent="0.3">
      <c r="A921" s="8">
        <v>43</v>
      </c>
      <c r="B921" s="8">
        <v>17</v>
      </c>
      <c r="C921" s="8">
        <v>3043</v>
      </c>
      <c r="D921" s="16">
        <v>2.375768E-2</v>
      </c>
      <c r="E921" s="8">
        <v>1.187884E-2</v>
      </c>
    </row>
    <row r="922" spans="1:5" x14ac:dyDescent="0.3">
      <c r="A922" s="8">
        <v>43</v>
      </c>
      <c r="B922" s="8">
        <v>18</v>
      </c>
      <c r="C922" s="8">
        <v>3058</v>
      </c>
      <c r="D922" s="16">
        <v>5.4892440000000003E-4</v>
      </c>
      <c r="E922" s="8">
        <v>2.7446220000000002E-4</v>
      </c>
    </row>
    <row r="923" spans="1:5" x14ac:dyDescent="0.3">
      <c r="A923" s="8">
        <v>43</v>
      </c>
      <c r="B923" s="8">
        <v>19</v>
      </c>
      <c r="C923" s="8">
        <v>3038</v>
      </c>
      <c r="D923" s="16">
        <v>-9.8006320000000001E-3</v>
      </c>
      <c r="E923" s="8">
        <v>-4.900316E-3</v>
      </c>
    </row>
    <row r="924" spans="1:5" x14ac:dyDescent="0.3">
      <c r="A924" s="8">
        <v>43</v>
      </c>
      <c r="B924" s="8">
        <v>20</v>
      </c>
      <c r="C924" s="8">
        <v>3052</v>
      </c>
      <c r="D924" s="16">
        <v>-2.2460279999999999E-2</v>
      </c>
      <c r="E924" s="8">
        <v>-1.123014E-2</v>
      </c>
    </row>
    <row r="925" spans="1:5" x14ac:dyDescent="0.3">
      <c r="A925" s="8">
        <v>43</v>
      </c>
      <c r="B925" s="8">
        <v>21</v>
      </c>
      <c r="C925" s="8">
        <v>3042</v>
      </c>
      <c r="D925" s="16">
        <v>-9.1647859999999994E-3</v>
      </c>
      <c r="E925" s="8">
        <v>-4.5823929999999997E-3</v>
      </c>
    </row>
    <row r="926" spans="1:5" x14ac:dyDescent="0.3">
      <c r="A926" s="8">
        <v>43</v>
      </c>
      <c r="B926" s="8">
        <v>22</v>
      </c>
      <c r="C926" s="8">
        <v>3032</v>
      </c>
      <c r="D926" s="16">
        <v>2.8719479999999999E-2</v>
      </c>
      <c r="E926" s="8">
        <v>1.4359739999999999E-2</v>
      </c>
    </row>
    <row r="927" spans="1:5" x14ac:dyDescent="0.3">
      <c r="A927" s="8">
        <v>43</v>
      </c>
      <c r="B927" s="8">
        <v>23</v>
      </c>
      <c r="C927" s="8">
        <v>3033</v>
      </c>
      <c r="D927" s="16">
        <v>-1.0406139999999999E-2</v>
      </c>
      <c r="E927" s="8">
        <v>-5.2030699999999997E-3</v>
      </c>
    </row>
    <row r="928" spans="1:5" x14ac:dyDescent="0.3">
      <c r="A928" s="8">
        <v>43</v>
      </c>
      <c r="B928" s="8">
        <v>24</v>
      </c>
      <c r="C928" s="8">
        <v>3062</v>
      </c>
      <c r="D928" s="16">
        <v>4.2485250000000004E-3</v>
      </c>
      <c r="E928" s="8">
        <v>2.1242625000000002E-3</v>
      </c>
    </row>
    <row r="929" spans="1:5" x14ac:dyDescent="0.3">
      <c r="A929" s="8">
        <v>43</v>
      </c>
      <c r="B929" s="8">
        <v>25</v>
      </c>
      <c r="C929" s="8">
        <v>3042</v>
      </c>
      <c r="D929" s="16">
        <v>-2.34399E-2</v>
      </c>
      <c r="E929" s="8">
        <v>-1.171995E-2</v>
      </c>
    </row>
    <row r="930" spans="1:5" x14ac:dyDescent="0.3">
      <c r="A930" s="8">
        <v>43</v>
      </c>
      <c r="B930" s="8">
        <v>26</v>
      </c>
      <c r="C930" s="8">
        <v>3054</v>
      </c>
      <c r="D930" s="16">
        <v>-3.2037379999999997E-2</v>
      </c>
      <c r="E930" s="8">
        <v>-1.6018689999999999E-2</v>
      </c>
    </row>
    <row r="931" spans="1:5" x14ac:dyDescent="0.3">
      <c r="A931" s="8">
        <v>43</v>
      </c>
      <c r="B931" s="8">
        <v>27</v>
      </c>
      <c r="C931" s="8">
        <v>3060</v>
      </c>
      <c r="D931" s="16">
        <v>-1.9557769999999999E-2</v>
      </c>
      <c r="E931" s="8">
        <v>-9.7788849999999993E-3</v>
      </c>
    </row>
    <row r="932" spans="1:5" x14ac:dyDescent="0.3">
      <c r="A932" s="8">
        <v>43</v>
      </c>
      <c r="B932" s="8">
        <v>28</v>
      </c>
      <c r="C932" s="8">
        <v>3030</v>
      </c>
      <c r="D932" s="16">
        <v>-7.1428259999999997E-3</v>
      </c>
      <c r="E932" s="8">
        <v>-3.5714129999999998E-3</v>
      </c>
    </row>
    <row r="933" spans="1:5" x14ac:dyDescent="0.3">
      <c r="A933" s="8">
        <v>43</v>
      </c>
      <c r="B933" s="8">
        <v>29</v>
      </c>
      <c r="C933" s="8">
        <v>3031</v>
      </c>
      <c r="D933" s="16">
        <v>-1.0827130000000001E-2</v>
      </c>
      <c r="E933" s="8">
        <v>-5.4135650000000004E-3</v>
      </c>
    </row>
    <row r="934" spans="1:5" x14ac:dyDescent="0.3">
      <c r="A934" s="8">
        <v>43</v>
      </c>
      <c r="B934" s="8">
        <v>30</v>
      </c>
      <c r="C934" s="8">
        <v>3043</v>
      </c>
      <c r="D934" s="16">
        <v>7.5163390000000004E-3</v>
      </c>
      <c r="E934" s="8">
        <v>3.7581695000000002E-3</v>
      </c>
    </row>
    <row r="935" spans="1:5" x14ac:dyDescent="0.3">
      <c r="A935" s="8">
        <v>43</v>
      </c>
      <c r="B935" s="8">
        <v>31</v>
      </c>
      <c r="C935" s="8">
        <v>2967</v>
      </c>
      <c r="D935" s="16">
        <v>5.3999950000000003E-3</v>
      </c>
      <c r="E935" s="8">
        <v>2.6999975000000002E-3</v>
      </c>
    </row>
    <row r="936" spans="1:5" x14ac:dyDescent="0.3">
      <c r="A936" s="8">
        <v>43</v>
      </c>
      <c r="B936" s="8">
        <v>32</v>
      </c>
      <c r="C936" s="8">
        <v>3033</v>
      </c>
      <c r="D936" s="16">
        <v>-2.2740310000000001E-3</v>
      </c>
      <c r="E936" s="8">
        <v>-1.1370155000000001E-3</v>
      </c>
    </row>
    <row r="937" spans="1:5" x14ac:dyDescent="0.3">
      <c r="A937" s="8">
        <v>43</v>
      </c>
      <c r="B937" s="8">
        <v>33</v>
      </c>
      <c r="C937" s="8">
        <v>3062</v>
      </c>
      <c r="D937" s="16">
        <v>1.304338E-2</v>
      </c>
      <c r="E937" s="8">
        <v>6.5216900000000001E-3</v>
      </c>
    </row>
    <row r="938" spans="1:5" x14ac:dyDescent="0.3">
      <c r="A938" s="8">
        <v>43</v>
      </c>
      <c r="B938" s="8">
        <v>34</v>
      </c>
      <c r="C938" s="8">
        <v>3052</v>
      </c>
      <c r="D938" s="16">
        <v>-2.881249E-2</v>
      </c>
      <c r="E938" s="8">
        <v>-1.4406245E-2</v>
      </c>
    </row>
    <row r="939" spans="1:5" x14ac:dyDescent="0.3">
      <c r="A939" s="8">
        <v>43</v>
      </c>
      <c r="B939" s="8">
        <v>35</v>
      </c>
      <c r="C939" s="8">
        <v>3040</v>
      </c>
      <c r="D939" s="16">
        <v>-5.5043399999999999E-2</v>
      </c>
      <c r="E939" s="8">
        <v>-2.75217E-2</v>
      </c>
    </row>
    <row r="940" spans="1:5" x14ac:dyDescent="0.3">
      <c r="A940" s="8">
        <v>43</v>
      </c>
      <c r="B940" s="8">
        <v>36</v>
      </c>
      <c r="C940" s="8">
        <v>3048</v>
      </c>
      <c r="D940" s="16">
        <v>3.1855599999999998E-2</v>
      </c>
      <c r="E940" s="8">
        <v>1.5927799999999999E-2</v>
      </c>
    </row>
    <row r="941" spans="1:5" x14ac:dyDescent="0.3">
      <c r="A941" s="8">
        <v>43</v>
      </c>
      <c r="B941" s="8">
        <v>37</v>
      </c>
      <c r="C941" s="8">
        <v>3013</v>
      </c>
      <c r="D941" s="16">
        <v>-2.633988E-2</v>
      </c>
      <c r="E941" s="8">
        <v>-1.316994E-2</v>
      </c>
    </row>
    <row r="942" spans="1:5" x14ac:dyDescent="0.3">
      <c r="A942" s="8">
        <v>43</v>
      </c>
      <c r="B942" s="8">
        <v>38</v>
      </c>
      <c r="C942" s="8">
        <v>3061</v>
      </c>
      <c r="D942" s="16">
        <v>4.0030359999999997E-3</v>
      </c>
      <c r="E942" s="8">
        <v>2.0015179999999999E-3</v>
      </c>
    </row>
    <row r="943" spans="1:5" x14ac:dyDescent="0.3">
      <c r="A943" s="8">
        <v>43</v>
      </c>
      <c r="B943" s="8">
        <v>39</v>
      </c>
      <c r="C943" s="8">
        <v>3051</v>
      </c>
      <c r="D943" s="16">
        <v>5.3297810000000001E-2</v>
      </c>
      <c r="E943" s="8">
        <v>2.6648905000000001E-2</v>
      </c>
    </row>
    <row r="944" spans="1:5" x14ac:dyDescent="0.3">
      <c r="A944" s="8">
        <v>43</v>
      </c>
      <c r="B944" s="8">
        <v>40</v>
      </c>
      <c r="C944" s="8">
        <v>3047</v>
      </c>
      <c r="D944" s="16">
        <v>-2.9522469999999999E-2</v>
      </c>
      <c r="E944" s="8">
        <v>-1.4761234999999999E-2</v>
      </c>
    </row>
    <row r="945" spans="1:5" x14ac:dyDescent="0.3">
      <c r="A945" s="8">
        <v>43</v>
      </c>
      <c r="B945" s="8">
        <v>41</v>
      </c>
      <c r="C945" s="8">
        <v>3024</v>
      </c>
      <c r="D945" s="16">
        <v>-1.6618150000000002E-2</v>
      </c>
      <c r="E945" s="8">
        <v>-8.3090750000000008E-3</v>
      </c>
    </row>
    <row r="946" spans="1:5" x14ac:dyDescent="0.3">
      <c r="A946" s="8">
        <v>43</v>
      </c>
      <c r="B946" s="8">
        <v>42</v>
      </c>
      <c r="C946" s="8">
        <v>3021</v>
      </c>
      <c r="D946" s="16">
        <v>-6.1186330000000001E-3</v>
      </c>
      <c r="E946" s="8">
        <v>-3.0593165E-3</v>
      </c>
    </row>
    <row r="947" spans="1:5" x14ac:dyDescent="0.3">
      <c r="A947" s="8">
        <v>43</v>
      </c>
      <c r="B947" s="8">
        <v>43</v>
      </c>
      <c r="C947" s="8">
        <v>3141</v>
      </c>
      <c r="D947" s="16">
        <v>1.068916</v>
      </c>
      <c r="E947" s="8"/>
    </row>
    <row r="948" spans="1:5" x14ac:dyDescent="0.3">
      <c r="A948" s="8">
        <v>44</v>
      </c>
      <c r="B948" s="8">
        <v>1</v>
      </c>
      <c r="C948" s="8">
        <v>3044</v>
      </c>
      <c r="D948" s="16">
        <v>-5.8650969999999997E-3</v>
      </c>
      <c r="E948" s="8">
        <v>-2.9325484999999998E-3</v>
      </c>
    </row>
    <row r="949" spans="1:5" x14ac:dyDescent="0.3">
      <c r="A949" s="8">
        <v>44</v>
      </c>
      <c r="B949" s="8">
        <v>2</v>
      </c>
      <c r="C949" s="8">
        <v>3011</v>
      </c>
      <c r="D949" s="16">
        <v>-3.1228590000000001E-2</v>
      </c>
      <c r="E949" s="8">
        <v>-1.5614295E-2</v>
      </c>
    </row>
    <row r="950" spans="1:5" x14ac:dyDescent="0.3">
      <c r="A950" s="8">
        <v>44</v>
      </c>
      <c r="B950" s="8">
        <v>3</v>
      </c>
      <c r="C950" s="8">
        <v>3035</v>
      </c>
      <c r="D950" s="16">
        <v>-4.10499E-2</v>
      </c>
      <c r="E950" s="8">
        <v>-2.052495E-2</v>
      </c>
    </row>
    <row r="951" spans="1:5" x14ac:dyDescent="0.3">
      <c r="A951" s="8">
        <v>44</v>
      </c>
      <c r="B951" s="8">
        <v>4</v>
      </c>
      <c r="C951" s="8">
        <v>3015</v>
      </c>
      <c r="D951" s="16">
        <v>-2.7229839999999999E-3</v>
      </c>
      <c r="E951" s="8">
        <v>-1.361492E-3</v>
      </c>
    </row>
    <row r="952" spans="1:5" x14ac:dyDescent="0.3">
      <c r="A952" s="8">
        <v>44</v>
      </c>
      <c r="B952" s="8">
        <v>5</v>
      </c>
      <c r="C952" s="8">
        <v>3004</v>
      </c>
      <c r="D952" s="16">
        <v>1.8565410000000001E-2</v>
      </c>
      <c r="E952" s="8">
        <v>9.2827050000000005E-3</v>
      </c>
    </row>
    <row r="953" spans="1:5" x14ac:dyDescent="0.3">
      <c r="A953" s="8">
        <v>44</v>
      </c>
      <c r="B953" s="8">
        <v>6</v>
      </c>
      <c r="C953" s="8">
        <v>3022</v>
      </c>
      <c r="D953" s="16">
        <v>4.996569E-2</v>
      </c>
      <c r="E953" s="8">
        <v>2.4982845E-2</v>
      </c>
    </row>
    <row r="954" spans="1:5" x14ac:dyDescent="0.3">
      <c r="A954" s="8">
        <v>44</v>
      </c>
      <c r="B954" s="8">
        <v>7</v>
      </c>
      <c r="C954" s="8">
        <v>3014</v>
      </c>
      <c r="D954" s="16">
        <v>-1.9161399999999999E-2</v>
      </c>
      <c r="E954" s="8">
        <v>-9.5806999999999993E-3</v>
      </c>
    </row>
    <row r="955" spans="1:5" x14ac:dyDescent="0.3">
      <c r="A955" s="8">
        <v>44</v>
      </c>
      <c r="B955" s="8">
        <v>8</v>
      </c>
      <c r="C955" s="8">
        <v>3030</v>
      </c>
      <c r="D955" s="16">
        <v>-1.1539489999999999E-2</v>
      </c>
      <c r="E955" s="8">
        <v>-5.7697449999999997E-3</v>
      </c>
    </row>
    <row r="956" spans="1:5" x14ac:dyDescent="0.3">
      <c r="A956" s="8">
        <v>44</v>
      </c>
      <c r="B956" s="8">
        <v>9</v>
      </c>
      <c r="C956" s="8">
        <v>3021</v>
      </c>
      <c r="D956" s="16">
        <v>2.8366950000000002E-3</v>
      </c>
      <c r="E956" s="8">
        <v>1.4183475000000001E-3</v>
      </c>
    </row>
    <row r="957" spans="1:5" x14ac:dyDescent="0.3">
      <c r="A957" s="8">
        <v>44</v>
      </c>
      <c r="B957" s="8">
        <v>10</v>
      </c>
      <c r="C957" s="8">
        <v>3018</v>
      </c>
      <c r="D957" s="16">
        <v>2.4720849999999999E-2</v>
      </c>
      <c r="E957" s="8">
        <v>1.2360425E-2</v>
      </c>
    </row>
    <row r="958" spans="1:5" x14ac:dyDescent="0.3">
      <c r="A958" s="8">
        <v>44</v>
      </c>
      <c r="B958" s="8">
        <v>11</v>
      </c>
      <c r="C958" s="8">
        <v>3015</v>
      </c>
      <c r="D958" s="16">
        <v>-1.473029E-2</v>
      </c>
      <c r="E958" s="8">
        <v>-7.365145E-3</v>
      </c>
    </row>
    <row r="959" spans="1:5" x14ac:dyDescent="0.3">
      <c r="A959" s="8">
        <v>44</v>
      </c>
      <c r="B959" s="8">
        <v>12</v>
      </c>
      <c r="C959" s="8">
        <v>3035</v>
      </c>
      <c r="D959" s="16">
        <v>-6.3769400000000004E-2</v>
      </c>
      <c r="E959" s="8">
        <v>-3.1884700000000002E-2</v>
      </c>
    </row>
    <row r="960" spans="1:5" x14ac:dyDescent="0.3">
      <c r="A960" s="8">
        <v>44</v>
      </c>
      <c r="B960" s="8">
        <v>13</v>
      </c>
      <c r="C960" s="8">
        <v>3013</v>
      </c>
      <c r="D960" s="16">
        <v>-1.0651030000000001E-2</v>
      </c>
      <c r="E960" s="8">
        <v>-5.3255150000000003E-3</v>
      </c>
    </row>
    <row r="961" spans="1:5" x14ac:dyDescent="0.3">
      <c r="A961" s="8">
        <v>44</v>
      </c>
      <c r="B961" s="8">
        <v>14</v>
      </c>
      <c r="C961" s="8">
        <v>3014</v>
      </c>
      <c r="D961" s="16">
        <v>-3.7177290000000002E-2</v>
      </c>
      <c r="E961" s="8">
        <v>-1.8588645000000001E-2</v>
      </c>
    </row>
    <row r="962" spans="1:5" x14ac:dyDescent="0.3">
      <c r="A962" s="8">
        <v>44</v>
      </c>
      <c r="B962" s="8">
        <v>15</v>
      </c>
      <c r="C962" s="8">
        <v>3022</v>
      </c>
      <c r="D962" s="16">
        <v>-4.5728159999999997E-2</v>
      </c>
      <c r="E962" s="8">
        <v>-2.2864079999999998E-2</v>
      </c>
    </row>
    <row r="963" spans="1:5" x14ac:dyDescent="0.3">
      <c r="A963" s="8">
        <v>44</v>
      </c>
      <c r="B963" s="8">
        <v>16</v>
      </c>
      <c r="C963" s="8">
        <v>3025</v>
      </c>
      <c r="D963" s="16">
        <v>-3.076195E-2</v>
      </c>
      <c r="E963" s="8">
        <v>-1.5380975E-2</v>
      </c>
    </row>
    <row r="964" spans="1:5" x14ac:dyDescent="0.3">
      <c r="A964" s="8">
        <v>44</v>
      </c>
      <c r="B964" s="8">
        <v>17</v>
      </c>
      <c r="C964" s="8">
        <v>3024</v>
      </c>
      <c r="D964" s="16">
        <v>-8.0394809999999994E-3</v>
      </c>
      <c r="E964" s="8">
        <v>-4.0197404999999997E-3</v>
      </c>
    </row>
    <row r="965" spans="1:5" x14ac:dyDescent="0.3">
      <c r="A965" s="8">
        <v>44</v>
      </c>
      <c r="B965" s="8">
        <v>18</v>
      </c>
      <c r="C965" s="8">
        <v>3040</v>
      </c>
      <c r="D965" s="16">
        <v>-3.3792450000000002E-2</v>
      </c>
      <c r="E965" s="8">
        <v>-1.6896225000000001E-2</v>
      </c>
    </row>
    <row r="966" spans="1:5" x14ac:dyDescent="0.3">
      <c r="A966" s="8">
        <v>44</v>
      </c>
      <c r="B966" s="8">
        <v>19</v>
      </c>
      <c r="C966" s="8">
        <v>3025</v>
      </c>
      <c r="D966" s="16">
        <v>-2.8135960000000002E-2</v>
      </c>
      <c r="E966" s="8">
        <v>-1.4067980000000001E-2</v>
      </c>
    </row>
    <row r="967" spans="1:5" x14ac:dyDescent="0.3">
      <c r="A967" s="8">
        <v>44</v>
      </c>
      <c r="B967" s="8">
        <v>20</v>
      </c>
      <c r="C967" s="8">
        <v>3032</v>
      </c>
      <c r="D967" s="16">
        <v>-9.1091060000000005E-3</v>
      </c>
      <c r="E967" s="8">
        <v>-4.5545530000000002E-3</v>
      </c>
    </row>
    <row r="968" spans="1:5" x14ac:dyDescent="0.3">
      <c r="A968" s="8">
        <v>44</v>
      </c>
      <c r="B968" s="8">
        <v>21</v>
      </c>
      <c r="C968" s="8">
        <v>3029</v>
      </c>
      <c r="D968" s="16">
        <v>-1.0577069999999999E-2</v>
      </c>
      <c r="E968" s="8">
        <v>-5.2885349999999996E-3</v>
      </c>
    </row>
    <row r="969" spans="1:5" x14ac:dyDescent="0.3">
      <c r="A969" s="8">
        <v>44</v>
      </c>
      <c r="B969" s="8">
        <v>22</v>
      </c>
      <c r="C969" s="8">
        <v>3016</v>
      </c>
      <c r="D969" s="16">
        <v>-3.6886800000000002E-3</v>
      </c>
      <c r="E969" s="8">
        <v>-1.8443400000000001E-3</v>
      </c>
    </row>
    <row r="970" spans="1:5" x14ac:dyDescent="0.3">
      <c r="A970" s="8">
        <v>44</v>
      </c>
      <c r="B970" s="8">
        <v>23</v>
      </c>
      <c r="C970" s="8">
        <v>3019</v>
      </c>
      <c r="D970" s="16">
        <v>-4.8920140000000001E-2</v>
      </c>
      <c r="E970" s="8">
        <v>-2.446007E-2</v>
      </c>
    </row>
    <row r="971" spans="1:5" x14ac:dyDescent="0.3">
      <c r="A971" s="8">
        <v>44</v>
      </c>
      <c r="B971" s="8">
        <v>24</v>
      </c>
      <c r="C971" s="8">
        <v>3042</v>
      </c>
      <c r="D971" s="16">
        <v>-3.1740949999999997E-2</v>
      </c>
      <c r="E971" s="8">
        <v>-1.5870474999999998E-2</v>
      </c>
    </row>
    <row r="972" spans="1:5" x14ac:dyDescent="0.3">
      <c r="A972" s="8">
        <v>44</v>
      </c>
      <c r="B972" s="8">
        <v>25</v>
      </c>
      <c r="C972" s="8">
        <v>3029</v>
      </c>
      <c r="D972" s="16">
        <v>-2.5648279999999999E-2</v>
      </c>
      <c r="E972" s="8">
        <v>-1.2824139999999999E-2</v>
      </c>
    </row>
    <row r="973" spans="1:5" x14ac:dyDescent="0.3">
      <c r="A973" s="8">
        <v>44</v>
      </c>
      <c r="B973" s="8">
        <v>26</v>
      </c>
      <c r="C973" s="8">
        <v>3034</v>
      </c>
      <c r="D973" s="16">
        <v>6.6108169999999997E-3</v>
      </c>
      <c r="E973" s="8">
        <v>3.3054084999999999E-3</v>
      </c>
    </row>
    <row r="974" spans="1:5" x14ac:dyDescent="0.3">
      <c r="A974" s="8">
        <v>44</v>
      </c>
      <c r="B974" s="8">
        <v>27</v>
      </c>
      <c r="C974" s="8">
        <v>3045</v>
      </c>
      <c r="D974" s="16">
        <v>-3.5181999999999998E-2</v>
      </c>
      <c r="E974" s="8">
        <v>-1.7590999999999999E-2</v>
      </c>
    </row>
    <row r="975" spans="1:5" x14ac:dyDescent="0.3">
      <c r="A975" s="8">
        <v>44</v>
      </c>
      <c r="B975" s="8">
        <v>28</v>
      </c>
      <c r="C975" s="8">
        <v>3012</v>
      </c>
      <c r="D975" s="16">
        <v>-2.6099560000000001E-2</v>
      </c>
      <c r="E975" s="8">
        <v>-1.304978E-2</v>
      </c>
    </row>
    <row r="976" spans="1:5" x14ac:dyDescent="0.3">
      <c r="A976" s="8">
        <v>44</v>
      </c>
      <c r="B976" s="8">
        <v>29</v>
      </c>
      <c r="C976" s="8">
        <v>3014</v>
      </c>
      <c r="D976" s="16">
        <v>-2.8968359999999999E-3</v>
      </c>
      <c r="E976" s="8">
        <v>-1.4484179999999999E-3</v>
      </c>
    </row>
    <row r="977" spans="1:5" x14ac:dyDescent="0.3">
      <c r="A977" s="8">
        <v>44</v>
      </c>
      <c r="B977" s="8">
        <v>30</v>
      </c>
      <c r="C977" s="8">
        <v>3025</v>
      </c>
      <c r="D977" s="16">
        <v>-5.7098179999999998E-2</v>
      </c>
      <c r="E977" s="8">
        <v>-2.8549089999999999E-2</v>
      </c>
    </row>
    <row r="978" spans="1:5" x14ac:dyDescent="0.3">
      <c r="A978" s="8">
        <v>44</v>
      </c>
      <c r="B978" s="8">
        <v>31</v>
      </c>
      <c r="C978" s="8">
        <v>2950</v>
      </c>
      <c r="D978" s="16">
        <v>2.4446229999999999E-2</v>
      </c>
      <c r="E978" s="8">
        <v>1.2223115E-2</v>
      </c>
    </row>
    <row r="979" spans="1:5" x14ac:dyDescent="0.3">
      <c r="A979" s="8">
        <v>44</v>
      </c>
      <c r="B979" s="8">
        <v>32</v>
      </c>
      <c r="C979" s="8">
        <v>3012</v>
      </c>
      <c r="D979" s="16">
        <v>-2.9964169999999999E-3</v>
      </c>
      <c r="E979" s="8">
        <v>-1.4982085E-3</v>
      </c>
    </row>
    <row r="980" spans="1:5" x14ac:dyDescent="0.3">
      <c r="A980" s="8">
        <v>44</v>
      </c>
      <c r="B980" s="8">
        <v>33</v>
      </c>
      <c r="C980" s="8">
        <v>3036</v>
      </c>
      <c r="D980" s="16">
        <v>2.0118050000000002E-3</v>
      </c>
      <c r="E980" s="8">
        <v>1.0059025000000001E-3</v>
      </c>
    </row>
    <row r="981" spans="1:5" x14ac:dyDescent="0.3">
      <c r="A981" s="8">
        <v>44</v>
      </c>
      <c r="B981" s="8">
        <v>34</v>
      </c>
      <c r="C981" s="8">
        <v>3031</v>
      </c>
      <c r="D981" s="16">
        <v>-3.4082290000000001E-2</v>
      </c>
      <c r="E981" s="8">
        <v>-1.7041145000000001E-2</v>
      </c>
    </row>
    <row r="982" spans="1:5" x14ac:dyDescent="0.3">
      <c r="A982" s="8">
        <v>44</v>
      </c>
      <c r="B982" s="8">
        <v>35</v>
      </c>
      <c r="C982" s="8">
        <v>3023</v>
      </c>
      <c r="D982" s="16">
        <v>-2.0216720000000001E-2</v>
      </c>
      <c r="E982" s="8">
        <v>-1.010836E-2</v>
      </c>
    </row>
    <row r="983" spans="1:5" x14ac:dyDescent="0.3">
      <c r="A983" s="8">
        <v>44</v>
      </c>
      <c r="B983" s="8">
        <v>36</v>
      </c>
      <c r="C983" s="8">
        <v>3031</v>
      </c>
      <c r="D983" s="16">
        <v>6.6993959999999998E-3</v>
      </c>
      <c r="E983" s="8">
        <v>3.3496979999999999E-3</v>
      </c>
    </row>
    <row r="984" spans="1:5" x14ac:dyDescent="0.3">
      <c r="A984" s="8">
        <v>44</v>
      </c>
      <c r="B984" s="8">
        <v>37</v>
      </c>
      <c r="C984" s="8">
        <v>2998</v>
      </c>
      <c r="D984" s="16">
        <v>-2.4220269999999999E-2</v>
      </c>
      <c r="E984" s="8">
        <v>-1.2110134999999999E-2</v>
      </c>
    </row>
    <row r="985" spans="1:5" x14ac:dyDescent="0.3">
      <c r="A985" s="8">
        <v>44</v>
      </c>
      <c r="B985" s="8">
        <v>38</v>
      </c>
      <c r="C985" s="8">
        <v>3042</v>
      </c>
      <c r="D985" s="16">
        <v>-1.2449129999999999E-2</v>
      </c>
      <c r="E985" s="8">
        <v>-6.2245649999999996E-3</v>
      </c>
    </row>
    <row r="986" spans="1:5" x14ac:dyDescent="0.3">
      <c r="A986" s="8">
        <v>44</v>
      </c>
      <c r="B986" s="8">
        <v>39</v>
      </c>
      <c r="C986" s="8">
        <v>3031</v>
      </c>
      <c r="D986" s="16">
        <v>-2.3066070000000001E-2</v>
      </c>
      <c r="E986" s="8">
        <v>-1.1533035000000001E-2</v>
      </c>
    </row>
    <row r="987" spans="1:5" x14ac:dyDescent="0.3">
      <c r="A987" s="8">
        <v>44</v>
      </c>
      <c r="B987" s="8">
        <v>40</v>
      </c>
      <c r="C987" s="8">
        <v>3029</v>
      </c>
      <c r="D987" s="16">
        <v>4.6103480000000002E-3</v>
      </c>
      <c r="E987" s="8">
        <v>2.3051740000000001E-3</v>
      </c>
    </row>
    <row r="988" spans="1:5" x14ac:dyDescent="0.3">
      <c r="A988" s="8">
        <v>44</v>
      </c>
      <c r="B988" s="8">
        <v>41</v>
      </c>
      <c r="C988" s="8">
        <v>3004</v>
      </c>
      <c r="D988" s="16">
        <v>-4.1739499999999999E-2</v>
      </c>
      <c r="E988" s="8">
        <v>-2.0869749999999999E-2</v>
      </c>
    </row>
    <row r="989" spans="1:5" x14ac:dyDescent="0.3">
      <c r="A989" s="8">
        <v>44</v>
      </c>
      <c r="B989" s="8">
        <v>42</v>
      </c>
      <c r="C989" s="8">
        <v>2996</v>
      </c>
      <c r="D989" s="16">
        <v>-2.692862E-2</v>
      </c>
      <c r="E989" s="8">
        <v>-1.346431E-2</v>
      </c>
    </row>
    <row r="990" spans="1:5" x14ac:dyDescent="0.3">
      <c r="A990" s="8">
        <v>44</v>
      </c>
      <c r="B990" s="8">
        <v>43</v>
      </c>
      <c r="C990" s="8">
        <v>3018</v>
      </c>
      <c r="D990" s="16">
        <v>-4.0882340000000003E-2</v>
      </c>
      <c r="E990" s="8">
        <v>-2.0441170000000002E-2</v>
      </c>
    </row>
    <row r="991" spans="1:5" x14ac:dyDescent="0.3">
      <c r="A991" s="8">
        <v>44</v>
      </c>
      <c r="B991" s="8">
        <v>44</v>
      </c>
      <c r="C991" s="8">
        <v>3123</v>
      </c>
      <c r="D991" s="16">
        <v>1.0557449999999999</v>
      </c>
      <c r="E991" s="8"/>
    </row>
    <row r="992" spans="1:5" x14ac:dyDescent="0.3">
      <c r="A992" s="8">
        <v>45</v>
      </c>
      <c r="B992" s="8">
        <v>1</v>
      </c>
      <c r="C992" s="8">
        <v>3073</v>
      </c>
      <c r="D992" s="16">
        <v>-4.0672420000000001E-2</v>
      </c>
      <c r="E992" s="8">
        <v>-2.033621E-2</v>
      </c>
    </row>
    <row r="993" spans="1:5" x14ac:dyDescent="0.3">
      <c r="A993" s="8">
        <v>45</v>
      </c>
      <c r="B993" s="8">
        <v>2</v>
      </c>
      <c r="C993" s="8">
        <v>3039</v>
      </c>
      <c r="D993" s="16">
        <v>-2.749149E-2</v>
      </c>
      <c r="E993" s="8">
        <v>-1.3745745E-2</v>
      </c>
    </row>
    <row r="994" spans="1:5" x14ac:dyDescent="0.3">
      <c r="A994" s="8">
        <v>45</v>
      </c>
      <c r="B994" s="8">
        <v>3</v>
      </c>
      <c r="C994" s="8">
        <v>3067</v>
      </c>
      <c r="D994" s="16">
        <v>-2.8426389999999999E-2</v>
      </c>
      <c r="E994" s="8">
        <v>-1.4213195E-2</v>
      </c>
    </row>
    <row r="995" spans="1:5" x14ac:dyDescent="0.3">
      <c r="A995" s="8">
        <v>45</v>
      </c>
      <c r="B995" s="8">
        <v>4</v>
      </c>
      <c r="C995" s="8">
        <v>3043</v>
      </c>
      <c r="D995" s="16">
        <v>-3.8453099999999997E-2</v>
      </c>
      <c r="E995" s="8">
        <v>-1.9226549999999999E-2</v>
      </c>
    </row>
    <row r="996" spans="1:5" x14ac:dyDescent="0.3">
      <c r="A996" s="8">
        <v>45</v>
      </c>
      <c r="B996" s="8">
        <v>5</v>
      </c>
      <c r="C996" s="8">
        <v>3033</v>
      </c>
      <c r="D996" s="16">
        <v>1.5793229999999998E-2</v>
      </c>
      <c r="E996" s="8">
        <v>7.8966149999999992E-3</v>
      </c>
    </row>
    <row r="997" spans="1:5" x14ac:dyDescent="0.3">
      <c r="A997" s="8">
        <v>45</v>
      </c>
      <c r="B997" s="8">
        <v>6</v>
      </c>
      <c r="C997" s="8">
        <v>3052</v>
      </c>
      <c r="D997" s="16">
        <v>-2.4336179999999999E-2</v>
      </c>
      <c r="E997" s="8">
        <v>-1.2168089999999999E-2</v>
      </c>
    </row>
    <row r="998" spans="1:5" x14ac:dyDescent="0.3">
      <c r="A998" s="8">
        <v>45</v>
      </c>
      <c r="B998" s="8">
        <v>7</v>
      </c>
      <c r="C998" s="8">
        <v>3048</v>
      </c>
      <c r="D998" s="16">
        <v>-2.0615089999999999E-2</v>
      </c>
      <c r="E998" s="8">
        <v>-1.0307545E-2</v>
      </c>
    </row>
    <row r="999" spans="1:5" x14ac:dyDescent="0.3">
      <c r="A999" s="8">
        <v>45</v>
      </c>
      <c r="B999" s="8">
        <v>8</v>
      </c>
      <c r="C999" s="8">
        <v>3063</v>
      </c>
      <c r="D999" s="16">
        <v>-3.957538E-2</v>
      </c>
      <c r="E999" s="8">
        <v>-1.978769E-2</v>
      </c>
    </row>
    <row r="1000" spans="1:5" x14ac:dyDescent="0.3">
      <c r="A1000" s="8">
        <v>45</v>
      </c>
      <c r="B1000" s="8">
        <v>9</v>
      </c>
      <c r="C1000" s="8">
        <v>3052</v>
      </c>
      <c r="D1000" s="16">
        <v>-1.8347789999999999E-3</v>
      </c>
      <c r="E1000" s="8">
        <v>-9.1738949999999996E-4</v>
      </c>
    </row>
    <row r="1001" spans="1:5" x14ac:dyDescent="0.3">
      <c r="A1001" s="8">
        <v>45</v>
      </c>
      <c r="B1001" s="8">
        <v>10</v>
      </c>
      <c r="C1001" s="8">
        <v>3047</v>
      </c>
      <c r="D1001" s="16">
        <v>-3.2497989999999998E-3</v>
      </c>
      <c r="E1001" s="8">
        <v>-1.6248994999999999E-3</v>
      </c>
    </row>
    <row r="1002" spans="1:5" x14ac:dyDescent="0.3">
      <c r="A1002" s="8">
        <v>45</v>
      </c>
      <c r="B1002" s="8">
        <v>11</v>
      </c>
      <c r="C1002" s="8">
        <v>3048</v>
      </c>
      <c r="D1002" s="16">
        <v>-5.3805670000000002E-3</v>
      </c>
      <c r="E1002" s="8">
        <v>-2.6902835000000001E-3</v>
      </c>
    </row>
    <row r="1003" spans="1:5" x14ac:dyDescent="0.3">
      <c r="A1003" s="8">
        <v>45</v>
      </c>
      <c r="B1003" s="8">
        <v>12</v>
      </c>
      <c r="C1003" s="8">
        <v>3064</v>
      </c>
      <c r="D1003" s="16">
        <v>-1.859777E-2</v>
      </c>
      <c r="E1003" s="8">
        <v>-9.2988849999999998E-3</v>
      </c>
    </row>
    <row r="1004" spans="1:5" x14ac:dyDescent="0.3">
      <c r="A1004" s="8">
        <v>45</v>
      </c>
      <c r="B1004" s="8">
        <v>13</v>
      </c>
      <c r="C1004" s="8">
        <v>3044</v>
      </c>
      <c r="D1004" s="16">
        <v>-5.2167199999999997E-2</v>
      </c>
      <c r="E1004" s="8">
        <v>-2.6083599999999998E-2</v>
      </c>
    </row>
    <row r="1005" spans="1:5" x14ac:dyDescent="0.3">
      <c r="A1005" s="8">
        <v>45</v>
      </c>
      <c r="B1005" s="8">
        <v>14</v>
      </c>
      <c r="C1005" s="8">
        <v>3043</v>
      </c>
      <c r="D1005" s="16">
        <v>-5.6310680000000002E-2</v>
      </c>
      <c r="E1005" s="8">
        <v>-2.8155340000000001E-2</v>
      </c>
    </row>
    <row r="1006" spans="1:5" x14ac:dyDescent="0.3">
      <c r="A1006" s="8">
        <v>45</v>
      </c>
      <c r="B1006" s="8">
        <v>15</v>
      </c>
      <c r="C1006" s="8">
        <v>3051</v>
      </c>
      <c r="D1006" s="16">
        <v>-1.546019E-2</v>
      </c>
      <c r="E1006" s="8">
        <v>-7.7300950000000002E-3</v>
      </c>
    </row>
    <row r="1007" spans="1:5" x14ac:dyDescent="0.3">
      <c r="A1007" s="8">
        <v>45</v>
      </c>
      <c r="B1007" s="8">
        <v>16</v>
      </c>
      <c r="C1007" s="8">
        <v>3057</v>
      </c>
      <c r="D1007" s="16">
        <v>-1.075741E-2</v>
      </c>
      <c r="E1007" s="8">
        <v>-5.3787050000000001E-3</v>
      </c>
    </row>
    <row r="1008" spans="1:5" x14ac:dyDescent="0.3">
      <c r="A1008" s="8">
        <v>45</v>
      </c>
      <c r="B1008" s="8">
        <v>17</v>
      </c>
      <c r="C1008" s="8">
        <v>3052</v>
      </c>
      <c r="D1008" s="16">
        <v>-4.8319330000000001E-2</v>
      </c>
      <c r="E1008" s="8">
        <v>-2.4159665E-2</v>
      </c>
    </row>
    <row r="1009" spans="1:5" x14ac:dyDescent="0.3">
      <c r="A1009" s="8">
        <v>45</v>
      </c>
      <c r="B1009" s="8">
        <v>18</v>
      </c>
      <c r="C1009" s="8">
        <v>3070</v>
      </c>
      <c r="D1009" s="16">
        <v>-9.2598909999999993E-3</v>
      </c>
      <c r="E1009" s="8">
        <v>-4.6299454999999996E-3</v>
      </c>
    </row>
    <row r="1010" spans="1:5" x14ac:dyDescent="0.3">
      <c r="A1010" s="8">
        <v>45</v>
      </c>
      <c r="B1010" s="8">
        <v>19</v>
      </c>
      <c r="C1010" s="8">
        <v>3057</v>
      </c>
      <c r="D1010" s="16">
        <v>-6.5098589999999998E-3</v>
      </c>
      <c r="E1010" s="8">
        <v>-3.2549294999999999E-3</v>
      </c>
    </row>
    <row r="1011" spans="1:5" x14ac:dyDescent="0.3">
      <c r="A1011" s="8">
        <v>45</v>
      </c>
      <c r="B1011" s="8">
        <v>20</v>
      </c>
      <c r="C1011" s="8">
        <v>3063</v>
      </c>
      <c r="D1011" s="16">
        <v>-7.2018109999999998E-3</v>
      </c>
      <c r="E1011" s="8">
        <v>-3.6009054999999999E-3</v>
      </c>
    </row>
    <row r="1012" spans="1:5" x14ac:dyDescent="0.3">
      <c r="A1012" s="8">
        <v>45</v>
      </c>
      <c r="B1012" s="8">
        <v>21</v>
      </c>
      <c r="C1012" s="8">
        <v>3059</v>
      </c>
      <c r="D1012" s="16">
        <v>-5.7590990000000002E-2</v>
      </c>
      <c r="E1012" s="8">
        <v>-2.8795495000000001E-2</v>
      </c>
    </row>
    <row r="1013" spans="1:5" x14ac:dyDescent="0.3">
      <c r="A1013" s="8">
        <v>45</v>
      </c>
      <c r="B1013" s="8">
        <v>22</v>
      </c>
      <c r="C1013" s="8">
        <v>3045</v>
      </c>
      <c r="D1013" s="16">
        <v>8.4182110000000001E-3</v>
      </c>
      <c r="E1013" s="8">
        <v>4.2091055E-3</v>
      </c>
    </row>
    <row r="1014" spans="1:5" x14ac:dyDescent="0.3">
      <c r="A1014" s="8">
        <v>45</v>
      </c>
      <c r="B1014" s="8">
        <v>23</v>
      </c>
      <c r="C1014" s="8">
        <v>3048</v>
      </c>
      <c r="D1014" s="16">
        <v>-2.6714479999999999E-2</v>
      </c>
      <c r="E1014" s="8">
        <v>-1.3357239999999999E-2</v>
      </c>
    </row>
    <row r="1015" spans="1:5" x14ac:dyDescent="0.3">
      <c r="A1015" s="8">
        <v>45</v>
      </c>
      <c r="B1015" s="8">
        <v>24</v>
      </c>
      <c r="C1015" s="8">
        <v>3073</v>
      </c>
      <c r="D1015" s="16">
        <v>3.0424319999999999E-3</v>
      </c>
      <c r="E1015" s="8">
        <v>1.5212159999999999E-3</v>
      </c>
    </row>
    <row r="1016" spans="1:5" x14ac:dyDescent="0.3">
      <c r="A1016" s="8">
        <v>45</v>
      </c>
      <c r="B1016" s="8">
        <v>25</v>
      </c>
      <c r="C1016" s="8">
        <v>3050</v>
      </c>
      <c r="D1016" s="16">
        <v>-1.3068089999999999E-2</v>
      </c>
      <c r="E1016" s="8">
        <v>-6.5340449999999996E-3</v>
      </c>
    </row>
    <row r="1017" spans="1:5" x14ac:dyDescent="0.3">
      <c r="A1017" s="8">
        <v>45</v>
      </c>
      <c r="B1017" s="8">
        <v>26</v>
      </c>
      <c r="C1017" s="8">
        <v>3067</v>
      </c>
      <c r="D1017" s="16">
        <v>-5.0535889999999998E-3</v>
      </c>
      <c r="E1017" s="8">
        <v>-2.5267944999999999E-3</v>
      </c>
    </row>
    <row r="1018" spans="1:5" x14ac:dyDescent="0.3">
      <c r="A1018" s="8">
        <v>45</v>
      </c>
      <c r="B1018" s="8">
        <v>27</v>
      </c>
      <c r="C1018" s="8">
        <v>3076</v>
      </c>
      <c r="D1018" s="16">
        <v>-6.1252279999999999E-2</v>
      </c>
      <c r="E1018" s="8">
        <v>-3.062614E-2</v>
      </c>
    </row>
    <row r="1019" spans="1:5" x14ac:dyDescent="0.3">
      <c r="A1019" s="8">
        <v>45</v>
      </c>
      <c r="B1019" s="8">
        <v>28</v>
      </c>
      <c r="C1019" s="8">
        <v>3035</v>
      </c>
      <c r="D1019" s="16">
        <v>-6.4192980000000001E-4</v>
      </c>
      <c r="E1019" s="8">
        <v>-3.2096490000000001E-4</v>
      </c>
    </row>
    <row r="1020" spans="1:5" x14ac:dyDescent="0.3">
      <c r="A1020" s="8">
        <v>45</v>
      </c>
      <c r="B1020" s="8">
        <v>29</v>
      </c>
      <c r="C1020" s="8">
        <v>3049</v>
      </c>
      <c r="D1020" s="16">
        <v>-2.6390130000000001E-2</v>
      </c>
      <c r="E1020" s="8">
        <v>-1.3195065000000001E-2</v>
      </c>
    </row>
    <row r="1021" spans="1:5" x14ac:dyDescent="0.3">
      <c r="A1021" s="8">
        <v>45</v>
      </c>
      <c r="B1021" s="8">
        <v>30</v>
      </c>
      <c r="C1021" s="8">
        <v>3049</v>
      </c>
      <c r="D1021" s="16">
        <v>8.5874030000000004E-3</v>
      </c>
      <c r="E1021" s="8">
        <v>4.2937015000000002E-3</v>
      </c>
    </row>
    <row r="1022" spans="1:5" x14ac:dyDescent="0.3">
      <c r="A1022" s="8">
        <v>45</v>
      </c>
      <c r="B1022" s="8">
        <v>31</v>
      </c>
      <c r="C1022" s="8">
        <v>2981</v>
      </c>
      <c r="D1022" s="16">
        <v>4.2283750000000004E-3</v>
      </c>
      <c r="E1022" s="8">
        <v>2.1141875000000002E-3</v>
      </c>
    </row>
    <row r="1023" spans="1:5" x14ac:dyDescent="0.3">
      <c r="A1023" s="8">
        <v>45</v>
      </c>
      <c r="B1023" s="8">
        <v>32</v>
      </c>
      <c r="C1023" s="8">
        <v>3043</v>
      </c>
      <c r="D1023" s="16">
        <v>-6.7804149999999997E-3</v>
      </c>
      <c r="E1023" s="8">
        <v>-3.3902074999999999E-3</v>
      </c>
    </row>
    <row r="1024" spans="1:5" x14ac:dyDescent="0.3">
      <c r="A1024" s="8">
        <v>45</v>
      </c>
      <c r="B1024" s="8">
        <v>33</v>
      </c>
      <c r="C1024" s="8">
        <v>3070</v>
      </c>
      <c r="D1024" s="16">
        <v>-3.8354190000000001E-3</v>
      </c>
      <c r="E1024" s="8">
        <v>-1.9177095E-3</v>
      </c>
    </row>
    <row r="1025" spans="1:5" x14ac:dyDescent="0.3">
      <c r="A1025" s="8">
        <v>45</v>
      </c>
      <c r="B1025" s="8">
        <v>34</v>
      </c>
      <c r="C1025" s="8">
        <v>3064</v>
      </c>
      <c r="D1025" s="16">
        <v>-2.1719189999999999E-2</v>
      </c>
      <c r="E1025" s="8">
        <v>-1.0859595E-2</v>
      </c>
    </row>
    <row r="1026" spans="1:5" x14ac:dyDescent="0.3">
      <c r="A1026" s="8">
        <v>45</v>
      </c>
      <c r="B1026" s="8">
        <v>35</v>
      </c>
      <c r="C1026" s="8">
        <v>3055</v>
      </c>
      <c r="D1026" s="16">
        <v>-5.7034659999999999E-3</v>
      </c>
      <c r="E1026" s="8">
        <v>-2.851733E-3</v>
      </c>
    </row>
    <row r="1027" spans="1:5" x14ac:dyDescent="0.3">
      <c r="A1027" s="8">
        <v>45</v>
      </c>
      <c r="B1027" s="8">
        <v>36</v>
      </c>
      <c r="C1027" s="8">
        <v>3060</v>
      </c>
      <c r="D1027" s="16">
        <v>-1.369504E-2</v>
      </c>
      <c r="E1027" s="8">
        <v>-6.8475200000000002E-3</v>
      </c>
    </row>
    <row r="1028" spans="1:5" x14ac:dyDescent="0.3">
      <c r="A1028" s="8">
        <v>45</v>
      </c>
      <c r="B1028" s="8">
        <v>37</v>
      </c>
      <c r="C1028" s="8">
        <v>3029</v>
      </c>
      <c r="D1028" s="16">
        <v>-4.477312E-2</v>
      </c>
      <c r="E1028" s="8">
        <v>-2.238656E-2</v>
      </c>
    </row>
    <row r="1029" spans="1:5" x14ac:dyDescent="0.3">
      <c r="A1029" s="8">
        <v>45</v>
      </c>
      <c r="B1029" s="8">
        <v>38</v>
      </c>
      <c r="C1029" s="8">
        <v>3073</v>
      </c>
      <c r="D1029" s="16">
        <v>-3.0372079999999999E-2</v>
      </c>
      <c r="E1029" s="8">
        <v>-1.518604E-2</v>
      </c>
    </row>
    <row r="1030" spans="1:5" x14ac:dyDescent="0.3">
      <c r="A1030" s="8">
        <v>45</v>
      </c>
      <c r="B1030" s="8">
        <v>39</v>
      </c>
      <c r="C1030" s="8">
        <v>3061</v>
      </c>
      <c r="D1030" s="16">
        <v>4.3002949999999998E-2</v>
      </c>
      <c r="E1030" s="8">
        <v>2.1501474999999999E-2</v>
      </c>
    </row>
    <row r="1031" spans="1:5" x14ac:dyDescent="0.3">
      <c r="A1031" s="8">
        <v>45</v>
      </c>
      <c r="B1031" s="8">
        <v>40</v>
      </c>
      <c r="C1031" s="8">
        <v>3059</v>
      </c>
      <c r="D1031" s="16">
        <v>-2.1373239999999999E-3</v>
      </c>
      <c r="E1031" s="8">
        <v>-1.068662E-3</v>
      </c>
    </row>
    <row r="1032" spans="1:5" x14ac:dyDescent="0.3">
      <c r="A1032" s="8">
        <v>45</v>
      </c>
      <c r="B1032" s="8">
        <v>41</v>
      </c>
      <c r="C1032" s="8">
        <v>3031</v>
      </c>
      <c r="D1032" s="16">
        <v>-4.024428E-2</v>
      </c>
      <c r="E1032" s="8">
        <v>-2.012214E-2</v>
      </c>
    </row>
    <row r="1033" spans="1:5" x14ac:dyDescent="0.3">
      <c r="A1033" s="8">
        <v>45</v>
      </c>
      <c r="B1033" s="8">
        <v>42</v>
      </c>
      <c r="C1033" s="8">
        <v>3024</v>
      </c>
      <c r="D1033" s="16">
        <v>4.7346899999999997E-2</v>
      </c>
      <c r="E1033" s="8">
        <v>2.3673449999999999E-2</v>
      </c>
    </row>
    <row r="1034" spans="1:5" x14ac:dyDescent="0.3">
      <c r="A1034" s="8">
        <v>45</v>
      </c>
      <c r="B1034" s="8">
        <v>43</v>
      </c>
      <c r="C1034" s="8">
        <v>3045</v>
      </c>
      <c r="D1034" s="16">
        <v>-1.380456E-2</v>
      </c>
      <c r="E1034" s="8">
        <v>-6.9022800000000002E-3</v>
      </c>
    </row>
    <row r="1035" spans="1:5" x14ac:dyDescent="0.3">
      <c r="A1035" s="8">
        <v>45</v>
      </c>
      <c r="B1035" s="8">
        <v>44</v>
      </c>
      <c r="C1035" s="8">
        <v>3026</v>
      </c>
      <c r="D1035" s="16">
        <v>-4.663022E-2</v>
      </c>
      <c r="E1035" s="8">
        <v>-2.331511E-2</v>
      </c>
    </row>
    <row r="1036" spans="1:5" x14ac:dyDescent="0.3">
      <c r="A1036" s="8">
        <v>45</v>
      </c>
      <c r="B1036" s="8">
        <v>45</v>
      </c>
      <c r="C1036" s="8">
        <v>3154</v>
      </c>
      <c r="D1036" s="16">
        <v>1.1431770000000001</v>
      </c>
      <c r="E1036" s="8"/>
    </row>
    <row r="1037" spans="1:5" x14ac:dyDescent="0.3">
      <c r="A1037" s="8">
        <v>46</v>
      </c>
      <c r="B1037" s="8">
        <v>1</v>
      </c>
      <c r="C1037" s="8">
        <v>3060</v>
      </c>
      <c r="D1037" s="16">
        <v>-1.7913970000000001E-2</v>
      </c>
      <c r="E1037" s="8">
        <v>-8.9569850000000006E-3</v>
      </c>
    </row>
    <row r="1038" spans="1:5" x14ac:dyDescent="0.3">
      <c r="A1038" s="8">
        <v>46</v>
      </c>
      <c r="B1038" s="8">
        <v>2</v>
      </c>
      <c r="C1038" s="8">
        <v>3030</v>
      </c>
      <c r="D1038" s="16">
        <v>-4.8146620000000001E-2</v>
      </c>
      <c r="E1038" s="8">
        <v>-2.4073310000000001E-2</v>
      </c>
    </row>
    <row r="1039" spans="1:5" x14ac:dyDescent="0.3">
      <c r="A1039" s="8">
        <v>46</v>
      </c>
      <c r="B1039" s="8">
        <v>3</v>
      </c>
      <c r="C1039" s="8">
        <v>3056</v>
      </c>
      <c r="D1039" s="16">
        <v>1.0589619999999999E-2</v>
      </c>
      <c r="E1039" s="8">
        <v>5.2948099999999996E-3</v>
      </c>
    </row>
    <row r="1040" spans="1:5" x14ac:dyDescent="0.3">
      <c r="A1040" s="8">
        <v>46</v>
      </c>
      <c r="B1040" s="8">
        <v>4</v>
      </c>
      <c r="C1040" s="8">
        <v>3035</v>
      </c>
      <c r="D1040" s="16">
        <v>3.9190309999999999E-3</v>
      </c>
      <c r="E1040" s="8">
        <v>1.9595155E-3</v>
      </c>
    </row>
    <row r="1041" spans="1:5" x14ac:dyDescent="0.3">
      <c r="A1041" s="8">
        <v>46</v>
      </c>
      <c r="B1041" s="8">
        <v>5</v>
      </c>
      <c r="C1041" s="8">
        <v>3021</v>
      </c>
      <c r="D1041" s="16">
        <v>-4.0191480000000002E-2</v>
      </c>
      <c r="E1041" s="8">
        <v>-2.0095740000000001E-2</v>
      </c>
    </row>
    <row r="1042" spans="1:5" x14ac:dyDescent="0.3">
      <c r="A1042" s="8">
        <v>46</v>
      </c>
      <c r="B1042" s="8">
        <v>6</v>
      </c>
      <c r="C1042" s="8">
        <v>3039</v>
      </c>
      <c r="D1042" s="16">
        <v>1.447818E-2</v>
      </c>
      <c r="E1042" s="8">
        <v>7.2390900000000001E-3</v>
      </c>
    </row>
    <row r="1043" spans="1:5" x14ac:dyDescent="0.3">
      <c r="A1043" s="8">
        <v>46</v>
      </c>
      <c r="B1043" s="8">
        <v>7</v>
      </c>
      <c r="C1043" s="8">
        <v>3034</v>
      </c>
      <c r="D1043" s="16">
        <v>1.241897E-2</v>
      </c>
      <c r="E1043" s="8">
        <v>6.2094849999999998E-3</v>
      </c>
    </row>
    <row r="1044" spans="1:5" x14ac:dyDescent="0.3">
      <c r="A1044" s="8">
        <v>46</v>
      </c>
      <c r="B1044" s="8">
        <v>8</v>
      </c>
      <c r="C1044" s="8">
        <v>3050</v>
      </c>
      <c r="D1044" s="16">
        <v>-8.3637060000000003E-3</v>
      </c>
      <c r="E1044" s="8">
        <v>-4.1818530000000001E-3</v>
      </c>
    </row>
    <row r="1045" spans="1:5" x14ac:dyDescent="0.3">
      <c r="A1045" s="8">
        <v>46</v>
      </c>
      <c r="B1045" s="8">
        <v>9</v>
      </c>
      <c r="C1045" s="8">
        <v>3044</v>
      </c>
      <c r="D1045" s="16">
        <v>5.893251E-2</v>
      </c>
      <c r="E1045" s="8">
        <v>2.9466255E-2</v>
      </c>
    </row>
    <row r="1046" spans="1:5" x14ac:dyDescent="0.3">
      <c r="A1046" s="8">
        <v>46</v>
      </c>
      <c r="B1046" s="8">
        <v>10</v>
      </c>
      <c r="C1046" s="8">
        <v>3038</v>
      </c>
      <c r="D1046" s="16">
        <v>-3.9259410000000002E-2</v>
      </c>
      <c r="E1046" s="8">
        <v>-1.9629705000000001E-2</v>
      </c>
    </row>
    <row r="1047" spans="1:5" x14ac:dyDescent="0.3">
      <c r="A1047" s="8">
        <v>46</v>
      </c>
      <c r="B1047" s="8">
        <v>11</v>
      </c>
      <c r="C1047" s="8">
        <v>3036</v>
      </c>
      <c r="D1047" s="16">
        <v>-5.8219600000000003E-2</v>
      </c>
      <c r="E1047" s="8">
        <v>-2.9109800000000002E-2</v>
      </c>
    </row>
    <row r="1048" spans="1:5" x14ac:dyDescent="0.3">
      <c r="A1048" s="8">
        <v>46</v>
      </c>
      <c r="B1048" s="8">
        <v>12</v>
      </c>
      <c r="C1048" s="8">
        <v>3060</v>
      </c>
      <c r="D1048" s="16">
        <v>5.8819450000000002E-2</v>
      </c>
      <c r="E1048" s="8">
        <v>2.9409725000000001E-2</v>
      </c>
    </row>
    <row r="1049" spans="1:5" x14ac:dyDescent="0.3">
      <c r="A1049" s="8">
        <v>46</v>
      </c>
      <c r="B1049" s="8">
        <v>13</v>
      </c>
      <c r="C1049" s="8">
        <v>3036</v>
      </c>
      <c r="D1049" s="16">
        <v>-1.9209070000000002E-2</v>
      </c>
      <c r="E1049" s="8">
        <v>-9.6045350000000008E-3</v>
      </c>
    </row>
    <row r="1050" spans="1:5" x14ac:dyDescent="0.3">
      <c r="A1050" s="8">
        <v>46</v>
      </c>
      <c r="B1050" s="8">
        <v>14</v>
      </c>
      <c r="C1050" s="8">
        <v>3031</v>
      </c>
      <c r="D1050" s="16">
        <v>-1.1250090000000001E-2</v>
      </c>
      <c r="E1050" s="8">
        <v>-5.6250450000000004E-3</v>
      </c>
    </row>
    <row r="1051" spans="1:5" x14ac:dyDescent="0.3">
      <c r="A1051" s="8">
        <v>46</v>
      </c>
      <c r="B1051" s="8">
        <v>15</v>
      </c>
      <c r="C1051" s="8">
        <v>3042</v>
      </c>
      <c r="D1051" s="16">
        <v>-2.3867619999999999E-2</v>
      </c>
      <c r="E1051" s="8">
        <v>-1.193381E-2</v>
      </c>
    </row>
    <row r="1052" spans="1:5" x14ac:dyDescent="0.3">
      <c r="A1052" s="8">
        <v>46</v>
      </c>
      <c r="B1052" s="8">
        <v>16</v>
      </c>
      <c r="C1052" s="8">
        <v>3047</v>
      </c>
      <c r="D1052" s="16">
        <v>-9.0775599999999998E-2</v>
      </c>
      <c r="E1052" s="8">
        <v>-4.5387799999999999E-2</v>
      </c>
    </row>
    <row r="1053" spans="1:5" x14ac:dyDescent="0.3">
      <c r="A1053" s="8">
        <v>46</v>
      </c>
      <c r="B1053" s="8">
        <v>17</v>
      </c>
      <c r="C1053" s="8">
        <v>3048</v>
      </c>
      <c r="D1053" s="16">
        <v>-8.9197770000000003E-3</v>
      </c>
      <c r="E1053" s="8">
        <v>-4.4598885000000001E-3</v>
      </c>
    </row>
    <row r="1054" spans="1:5" x14ac:dyDescent="0.3">
      <c r="A1054" s="8">
        <v>46</v>
      </c>
      <c r="B1054" s="8">
        <v>18</v>
      </c>
      <c r="C1054" s="8">
        <v>3064</v>
      </c>
      <c r="D1054" s="16">
        <v>-5.5160340000000002E-2</v>
      </c>
      <c r="E1054" s="8">
        <v>-2.7580170000000001E-2</v>
      </c>
    </row>
    <row r="1055" spans="1:5" x14ac:dyDescent="0.3">
      <c r="A1055" s="8">
        <v>46</v>
      </c>
      <c r="B1055" s="8">
        <v>19</v>
      </c>
      <c r="C1055" s="8">
        <v>3043</v>
      </c>
      <c r="D1055" s="16">
        <v>-3.532014E-2</v>
      </c>
      <c r="E1055" s="8">
        <v>-1.766007E-2</v>
      </c>
    </row>
    <row r="1056" spans="1:5" x14ac:dyDescent="0.3">
      <c r="A1056" s="8">
        <v>46</v>
      </c>
      <c r="B1056" s="8">
        <v>20</v>
      </c>
      <c r="C1056" s="8">
        <v>3049</v>
      </c>
      <c r="D1056" s="16">
        <v>1.2008649999999999E-2</v>
      </c>
      <c r="E1056" s="8">
        <v>6.0043249999999996E-3</v>
      </c>
    </row>
    <row r="1057" spans="1:5" x14ac:dyDescent="0.3">
      <c r="A1057" s="8">
        <v>46</v>
      </c>
      <c r="B1057" s="8">
        <v>21</v>
      </c>
      <c r="C1057" s="8">
        <v>3047</v>
      </c>
      <c r="D1057" s="16">
        <v>-3.957799E-2</v>
      </c>
      <c r="E1057" s="8">
        <v>-1.9788995E-2</v>
      </c>
    </row>
    <row r="1058" spans="1:5" x14ac:dyDescent="0.3">
      <c r="A1058" s="8">
        <v>46</v>
      </c>
      <c r="B1058" s="8">
        <v>22</v>
      </c>
      <c r="C1058" s="8">
        <v>3039</v>
      </c>
      <c r="D1058" s="16">
        <v>-1.1246229999999999E-2</v>
      </c>
      <c r="E1058" s="8">
        <v>-5.6231149999999997E-3</v>
      </c>
    </row>
    <row r="1059" spans="1:5" x14ac:dyDescent="0.3">
      <c r="A1059" s="8">
        <v>46</v>
      </c>
      <c r="B1059" s="8">
        <v>23</v>
      </c>
      <c r="C1059" s="8">
        <v>3032</v>
      </c>
      <c r="D1059" s="16">
        <v>-2.6783120000000001E-2</v>
      </c>
      <c r="E1059" s="8">
        <v>-1.339156E-2</v>
      </c>
    </row>
    <row r="1060" spans="1:5" x14ac:dyDescent="0.3">
      <c r="A1060" s="8">
        <v>46</v>
      </c>
      <c r="B1060" s="8">
        <v>24</v>
      </c>
      <c r="C1060" s="8">
        <v>3064</v>
      </c>
      <c r="D1060" s="16">
        <v>-4.3476050000000002E-2</v>
      </c>
      <c r="E1060" s="8">
        <v>-2.1738025000000001E-2</v>
      </c>
    </row>
    <row r="1061" spans="1:5" x14ac:dyDescent="0.3">
      <c r="A1061" s="8">
        <v>46</v>
      </c>
      <c r="B1061" s="8">
        <v>25</v>
      </c>
      <c r="C1061" s="8">
        <v>3048</v>
      </c>
      <c r="D1061" s="16">
        <v>-6.2642970000000003E-3</v>
      </c>
      <c r="E1061" s="8">
        <v>-3.1321485000000001E-3</v>
      </c>
    </row>
    <row r="1062" spans="1:5" x14ac:dyDescent="0.3">
      <c r="A1062" s="8">
        <v>46</v>
      </c>
      <c r="B1062" s="8">
        <v>26</v>
      </c>
      <c r="C1062" s="8">
        <v>3056</v>
      </c>
      <c r="D1062" s="16">
        <v>-1.5542149999999999E-2</v>
      </c>
      <c r="E1062" s="8">
        <v>-7.7710749999999997E-3</v>
      </c>
    </row>
    <row r="1063" spans="1:5" x14ac:dyDescent="0.3">
      <c r="A1063" s="8">
        <v>46</v>
      </c>
      <c r="B1063" s="8">
        <v>27</v>
      </c>
      <c r="C1063" s="8">
        <v>3060</v>
      </c>
      <c r="D1063" s="16">
        <v>-3.2421150000000003E-2</v>
      </c>
      <c r="E1063" s="8">
        <v>-1.6210575000000001E-2</v>
      </c>
    </row>
    <row r="1064" spans="1:5" x14ac:dyDescent="0.3">
      <c r="A1064" s="8">
        <v>46</v>
      </c>
      <c r="B1064" s="8">
        <v>28</v>
      </c>
      <c r="C1064" s="8">
        <v>3031</v>
      </c>
      <c r="D1064" s="16">
        <v>-3.9813040000000001E-2</v>
      </c>
      <c r="E1064" s="8">
        <v>-1.990652E-2</v>
      </c>
    </row>
    <row r="1065" spans="1:5" x14ac:dyDescent="0.3">
      <c r="A1065" s="8">
        <v>46</v>
      </c>
      <c r="B1065" s="8">
        <v>29</v>
      </c>
      <c r="C1065" s="8">
        <v>3037</v>
      </c>
      <c r="D1065" s="16">
        <v>-3.1708020000000003E-2</v>
      </c>
      <c r="E1065" s="8">
        <v>-1.5854010000000002E-2</v>
      </c>
    </row>
    <row r="1066" spans="1:5" x14ac:dyDescent="0.3">
      <c r="A1066" s="8">
        <v>46</v>
      </c>
      <c r="B1066" s="8">
        <v>30</v>
      </c>
      <c r="C1066" s="8">
        <v>3045</v>
      </c>
      <c r="D1066" s="16">
        <v>-4.461934E-2</v>
      </c>
      <c r="E1066" s="8">
        <v>-2.230967E-2</v>
      </c>
    </row>
    <row r="1067" spans="1:5" x14ac:dyDescent="0.3">
      <c r="A1067" s="8">
        <v>46</v>
      </c>
      <c r="B1067" s="8">
        <v>31</v>
      </c>
      <c r="C1067" s="8">
        <v>2969</v>
      </c>
      <c r="D1067" s="16">
        <v>-5.4373530000000003E-2</v>
      </c>
      <c r="E1067" s="8">
        <v>-2.7186765000000002E-2</v>
      </c>
    </row>
    <row r="1068" spans="1:5" x14ac:dyDescent="0.3">
      <c r="A1068" s="8">
        <v>46</v>
      </c>
      <c r="B1068" s="8">
        <v>32</v>
      </c>
      <c r="C1068" s="8">
        <v>3032</v>
      </c>
      <c r="D1068" s="16">
        <v>1.0682860000000001E-2</v>
      </c>
      <c r="E1068" s="8">
        <v>5.3414300000000003E-3</v>
      </c>
    </row>
    <row r="1069" spans="1:5" x14ac:dyDescent="0.3">
      <c r="A1069" s="8">
        <v>46</v>
      </c>
      <c r="B1069" s="8">
        <v>33</v>
      </c>
      <c r="C1069" s="8">
        <v>3064</v>
      </c>
      <c r="D1069" s="16">
        <v>-2.926656E-2</v>
      </c>
      <c r="E1069" s="8">
        <v>-1.463328E-2</v>
      </c>
    </row>
    <row r="1070" spans="1:5" x14ac:dyDescent="0.3">
      <c r="A1070" s="8">
        <v>46</v>
      </c>
      <c r="B1070" s="8">
        <v>34</v>
      </c>
      <c r="C1070" s="8">
        <v>3049</v>
      </c>
      <c r="D1070" s="16">
        <v>-1.553501E-2</v>
      </c>
      <c r="E1070" s="8">
        <v>-7.7675050000000001E-3</v>
      </c>
    </row>
    <row r="1071" spans="1:5" x14ac:dyDescent="0.3">
      <c r="A1071" s="8">
        <v>46</v>
      </c>
      <c r="B1071" s="8">
        <v>35</v>
      </c>
      <c r="C1071" s="8">
        <v>3045</v>
      </c>
      <c r="D1071" s="16">
        <v>2.6035820000000001E-2</v>
      </c>
      <c r="E1071" s="8">
        <v>1.3017910000000001E-2</v>
      </c>
    </row>
    <row r="1072" spans="1:5" x14ac:dyDescent="0.3">
      <c r="A1072" s="8">
        <v>46</v>
      </c>
      <c r="B1072" s="8">
        <v>36</v>
      </c>
      <c r="C1072" s="8">
        <v>3053</v>
      </c>
      <c r="D1072" s="16">
        <v>1.4717910000000001E-2</v>
      </c>
      <c r="E1072" s="8">
        <v>7.3589550000000004E-3</v>
      </c>
    </row>
    <row r="1073" spans="1:5" x14ac:dyDescent="0.3">
      <c r="A1073" s="8">
        <v>46</v>
      </c>
      <c r="B1073" s="8">
        <v>37</v>
      </c>
      <c r="C1073" s="8">
        <v>3015</v>
      </c>
      <c r="D1073" s="16">
        <v>-8.3232800000000006E-3</v>
      </c>
      <c r="E1073" s="8">
        <v>-4.1616400000000003E-3</v>
      </c>
    </row>
    <row r="1074" spans="1:5" x14ac:dyDescent="0.3">
      <c r="A1074" s="8">
        <v>46</v>
      </c>
      <c r="B1074" s="8">
        <v>38</v>
      </c>
      <c r="C1074" s="8">
        <v>3058</v>
      </c>
      <c r="D1074" s="16">
        <v>-4.1936210000000002E-2</v>
      </c>
      <c r="E1074" s="8">
        <v>-2.0968105000000001E-2</v>
      </c>
    </row>
    <row r="1075" spans="1:5" x14ac:dyDescent="0.3">
      <c r="A1075" s="8">
        <v>46</v>
      </c>
      <c r="B1075" s="8">
        <v>39</v>
      </c>
      <c r="C1075" s="8">
        <v>3050</v>
      </c>
      <c r="D1075" s="16">
        <v>-1.258682E-2</v>
      </c>
      <c r="E1075" s="8">
        <v>-6.2934100000000001E-3</v>
      </c>
    </row>
    <row r="1076" spans="1:5" x14ac:dyDescent="0.3">
      <c r="A1076" s="8">
        <v>46</v>
      </c>
      <c r="B1076" s="8">
        <v>40</v>
      </c>
      <c r="C1076" s="8">
        <v>3047</v>
      </c>
      <c r="D1076" s="16">
        <v>7.1936259999999998E-3</v>
      </c>
      <c r="E1076" s="8">
        <v>3.5968129999999999E-3</v>
      </c>
    </row>
    <row r="1077" spans="1:5" x14ac:dyDescent="0.3">
      <c r="A1077" s="8">
        <v>46</v>
      </c>
      <c r="B1077" s="8">
        <v>41</v>
      </c>
      <c r="C1077" s="8">
        <v>3025</v>
      </c>
      <c r="D1077" s="16">
        <v>-2.419108E-2</v>
      </c>
      <c r="E1077" s="8">
        <v>-1.209554E-2</v>
      </c>
    </row>
    <row r="1078" spans="1:5" x14ac:dyDescent="0.3">
      <c r="A1078" s="8">
        <v>46</v>
      </c>
      <c r="B1078" s="8">
        <v>42</v>
      </c>
      <c r="C1078" s="8">
        <v>3020</v>
      </c>
      <c r="D1078" s="16">
        <v>3.2914139999999999E-3</v>
      </c>
      <c r="E1078" s="8">
        <v>1.6457069999999999E-3</v>
      </c>
    </row>
    <row r="1079" spans="1:5" x14ac:dyDescent="0.3">
      <c r="A1079" s="8">
        <v>46</v>
      </c>
      <c r="B1079" s="8">
        <v>43</v>
      </c>
      <c r="C1079" s="8">
        <v>3034</v>
      </c>
      <c r="D1079" s="16">
        <v>-5.4753709999999997E-2</v>
      </c>
      <c r="E1079" s="8">
        <v>-2.7376854999999999E-2</v>
      </c>
    </row>
    <row r="1080" spans="1:5" x14ac:dyDescent="0.3">
      <c r="A1080" s="8">
        <v>46</v>
      </c>
      <c r="B1080" s="8">
        <v>44</v>
      </c>
      <c r="C1080" s="8">
        <v>3015</v>
      </c>
      <c r="D1080" s="16">
        <v>-1.6359350000000002E-2</v>
      </c>
      <c r="E1080" s="8">
        <v>-8.1796750000000008E-3</v>
      </c>
    </row>
    <row r="1081" spans="1:5" x14ac:dyDescent="0.3">
      <c r="A1081" s="8">
        <v>46</v>
      </c>
      <c r="B1081" s="8">
        <v>45</v>
      </c>
      <c r="C1081" s="8">
        <v>3047</v>
      </c>
      <c r="D1081" s="16">
        <v>-1.716728E-2</v>
      </c>
      <c r="E1081" s="8">
        <v>-8.58364E-3</v>
      </c>
    </row>
    <row r="1082" spans="1:5" x14ac:dyDescent="0.3">
      <c r="A1082" s="8">
        <v>46</v>
      </c>
      <c r="B1082" s="8">
        <v>46</v>
      </c>
      <c r="C1082" s="8">
        <v>3144</v>
      </c>
      <c r="D1082" s="16">
        <v>1.2438979999999999</v>
      </c>
      <c r="E1082" s="8"/>
    </row>
    <row r="1083" spans="1:5" x14ac:dyDescent="0.3">
      <c r="A1083" s="8">
        <v>47</v>
      </c>
      <c r="B1083" s="8">
        <v>1</v>
      </c>
      <c r="C1083" s="8">
        <v>3046</v>
      </c>
      <c r="D1083" s="16">
        <v>-1.229133E-2</v>
      </c>
      <c r="E1083" s="8">
        <v>-6.1456649999999998E-3</v>
      </c>
    </row>
    <row r="1084" spans="1:5" x14ac:dyDescent="0.3">
      <c r="A1084" s="8">
        <v>47</v>
      </c>
      <c r="B1084" s="8">
        <v>2</v>
      </c>
      <c r="C1084" s="8">
        <v>3014</v>
      </c>
      <c r="D1084" s="16">
        <v>-1.7677529999999999E-3</v>
      </c>
      <c r="E1084" s="8">
        <v>-8.8387649999999997E-4</v>
      </c>
    </row>
    <row r="1085" spans="1:5" x14ac:dyDescent="0.3">
      <c r="A1085" s="8">
        <v>47</v>
      </c>
      <c r="B1085" s="8">
        <v>3</v>
      </c>
      <c r="C1085" s="8">
        <v>3044</v>
      </c>
      <c r="D1085" s="16">
        <v>-5.7890870000000001E-3</v>
      </c>
      <c r="E1085" s="8">
        <v>-2.8945435E-3</v>
      </c>
    </row>
    <row r="1086" spans="1:5" x14ac:dyDescent="0.3">
      <c r="A1086" s="8">
        <v>47</v>
      </c>
      <c r="B1086" s="8">
        <v>4</v>
      </c>
      <c r="C1086" s="8">
        <v>3019</v>
      </c>
      <c r="D1086" s="16">
        <v>-6.2082079999999998E-3</v>
      </c>
      <c r="E1086" s="8">
        <v>-3.1041039999999999E-3</v>
      </c>
    </row>
    <row r="1087" spans="1:5" x14ac:dyDescent="0.3">
      <c r="A1087" s="8">
        <v>47</v>
      </c>
      <c r="B1087" s="8">
        <v>5</v>
      </c>
      <c r="C1087" s="8">
        <v>3008</v>
      </c>
      <c r="D1087" s="16">
        <v>-1.138804E-2</v>
      </c>
      <c r="E1087" s="8">
        <v>-5.6940200000000002E-3</v>
      </c>
    </row>
    <row r="1088" spans="1:5" x14ac:dyDescent="0.3">
      <c r="A1088" s="8">
        <v>47</v>
      </c>
      <c r="B1088" s="8">
        <v>6</v>
      </c>
      <c r="C1088" s="8">
        <v>3025</v>
      </c>
      <c r="D1088" s="16">
        <v>-4.4406290000000001E-2</v>
      </c>
      <c r="E1088" s="8">
        <v>-2.2203145000000001E-2</v>
      </c>
    </row>
    <row r="1089" spans="1:5" x14ac:dyDescent="0.3">
      <c r="A1089" s="8">
        <v>47</v>
      </c>
      <c r="B1089" s="8">
        <v>7</v>
      </c>
      <c r="C1089" s="8">
        <v>3022</v>
      </c>
      <c r="D1089" s="16">
        <v>-2.834268E-3</v>
      </c>
      <c r="E1089" s="8">
        <v>-1.417134E-3</v>
      </c>
    </row>
    <row r="1090" spans="1:5" x14ac:dyDescent="0.3">
      <c r="A1090" s="8">
        <v>47</v>
      </c>
      <c r="B1090" s="8">
        <v>8</v>
      </c>
      <c r="C1090" s="8">
        <v>3039</v>
      </c>
      <c r="D1090" s="16">
        <v>-5.683853E-3</v>
      </c>
      <c r="E1090" s="8">
        <v>-2.8419265E-3</v>
      </c>
    </row>
    <row r="1091" spans="1:5" x14ac:dyDescent="0.3">
      <c r="A1091" s="8">
        <v>47</v>
      </c>
      <c r="B1091" s="8">
        <v>9</v>
      </c>
      <c r="C1091" s="8">
        <v>3027</v>
      </c>
      <c r="D1091" s="16">
        <v>-3.5462069999999998E-2</v>
      </c>
      <c r="E1091" s="8">
        <v>-1.7731034999999999E-2</v>
      </c>
    </row>
    <row r="1092" spans="1:5" x14ac:dyDescent="0.3">
      <c r="A1092" s="8">
        <v>47</v>
      </c>
      <c r="B1092" s="8">
        <v>10</v>
      </c>
      <c r="C1092" s="8">
        <v>3024</v>
      </c>
      <c r="D1092" s="16">
        <v>-5.9514989999999997E-2</v>
      </c>
      <c r="E1092" s="8">
        <v>-2.9757494999999998E-2</v>
      </c>
    </row>
    <row r="1093" spans="1:5" x14ac:dyDescent="0.3">
      <c r="A1093" s="8">
        <v>47</v>
      </c>
      <c r="B1093" s="8">
        <v>11</v>
      </c>
      <c r="C1093" s="8">
        <v>3020</v>
      </c>
      <c r="D1093" s="16">
        <v>-8.4254389999999998E-3</v>
      </c>
      <c r="E1093" s="8">
        <v>-4.2127194999999999E-3</v>
      </c>
    </row>
    <row r="1094" spans="1:5" x14ac:dyDescent="0.3">
      <c r="A1094" s="8">
        <v>47</v>
      </c>
      <c r="B1094" s="8">
        <v>12</v>
      </c>
      <c r="C1094" s="8">
        <v>3045</v>
      </c>
      <c r="D1094" s="16">
        <v>-4.6684789999999997E-2</v>
      </c>
      <c r="E1094" s="8">
        <v>-2.3342394999999998E-2</v>
      </c>
    </row>
    <row r="1095" spans="1:5" x14ac:dyDescent="0.3">
      <c r="A1095" s="8">
        <v>47</v>
      </c>
      <c r="B1095" s="8">
        <v>13</v>
      </c>
      <c r="C1095" s="8">
        <v>3021</v>
      </c>
      <c r="D1095" s="16">
        <v>-4.6333750000000003E-3</v>
      </c>
      <c r="E1095" s="8">
        <v>-2.3166875000000002E-3</v>
      </c>
    </row>
    <row r="1096" spans="1:5" x14ac:dyDescent="0.3">
      <c r="A1096" s="8">
        <v>47</v>
      </c>
      <c r="B1096" s="8">
        <v>14</v>
      </c>
      <c r="C1096" s="8">
        <v>3016</v>
      </c>
      <c r="D1096" s="16">
        <v>2.185921E-3</v>
      </c>
      <c r="E1096" s="8">
        <v>1.0929605E-3</v>
      </c>
    </row>
    <row r="1097" spans="1:5" x14ac:dyDescent="0.3">
      <c r="A1097" s="8">
        <v>47</v>
      </c>
      <c r="B1097" s="8">
        <v>15</v>
      </c>
      <c r="C1097" s="8">
        <v>3025</v>
      </c>
      <c r="D1097" s="16">
        <v>-2.673698E-2</v>
      </c>
      <c r="E1097" s="8">
        <v>-1.336849E-2</v>
      </c>
    </row>
    <row r="1098" spans="1:5" x14ac:dyDescent="0.3">
      <c r="A1098" s="8">
        <v>47</v>
      </c>
      <c r="B1098" s="8">
        <v>16</v>
      </c>
      <c r="C1098" s="8">
        <v>3028</v>
      </c>
      <c r="D1098" s="16">
        <v>-2.3089060000000002E-2</v>
      </c>
      <c r="E1098" s="8">
        <v>-1.1544530000000001E-2</v>
      </c>
    </row>
    <row r="1099" spans="1:5" x14ac:dyDescent="0.3">
      <c r="A1099" s="8">
        <v>47</v>
      </c>
      <c r="B1099" s="8">
        <v>17</v>
      </c>
      <c r="C1099" s="8">
        <v>3029</v>
      </c>
      <c r="D1099" s="16">
        <v>-1.4829439999999999E-2</v>
      </c>
      <c r="E1099" s="8">
        <v>-7.4147199999999996E-3</v>
      </c>
    </row>
    <row r="1100" spans="1:5" x14ac:dyDescent="0.3">
      <c r="A1100" s="8">
        <v>47</v>
      </c>
      <c r="B1100" s="8">
        <v>18</v>
      </c>
      <c r="C1100" s="8">
        <v>3043</v>
      </c>
      <c r="D1100" s="16">
        <v>-2.4456950000000002E-2</v>
      </c>
      <c r="E1100" s="8">
        <v>-1.2228475000000001E-2</v>
      </c>
    </row>
    <row r="1101" spans="1:5" x14ac:dyDescent="0.3">
      <c r="A1101" s="8">
        <v>47</v>
      </c>
      <c r="B1101" s="8">
        <v>19</v>
      </c>
      <c r="C1101" s="8">
        <v>3024</v>
      </c>
      <c r="D1101" s="16">
        <v>-9.880748E-3</v>
      </c>
      <c r="E1101" s="8">
        <v>-4.940374E-3</v>
      </c>
    </row>
    <row r="1102" spans="1:5" x14ac:dyDescent="0.3">
      <c r="A1102" s="8">
        <v>47</v>
      </c>
      <c r="B1102" s="8">
        <v>20</v>
      </c>
      <c r="C1102" s="8">
        <v>3030</v>
      </c>
      <c r="D1102" s="16">
        <v>-2.204979E-2</v>
      </c>
      <c r="E1102" s="8">
        <v>-1.1024895E-2</v>
      </c>
    </row>
    <row r="1103" spans="1:5" x14ac:dyDescent="0.3">
      <c r="A1103" s="8">
        <v>47</v>
      </c>
      <c r="B1103" s="8">
        <v>21</v>
      </c>
      <c r="C1103" s="8">
        <v>3032</v>
      </c>
      <c r="D1103" s="16">
        <v>-3.2488149999999999E-3</v>
      </c>
      <c r="E1103" s="8">
        <v>-1.6244075E-3</v>
      </c>
    </row>
    <row r="1104" spans="1:5" x14ac:dyDescent="0.3">
      <c r="A1104" s="8">
        <v>47</v>
      </c>
      <c r="B1104" s="8">
        <v>22</v>
      </c>
      <c r="C1104" s="8">
        <v>3023</v>
      </c>
      <c r="D1104" s="16">
        <v>-2.4503230000000001E-2</v>
      </c>
      <c r="E1104" s="8">
        <v>-1.2251615E-2</v>
      </c>
    </row>
    <row r="1105" spans="1:5" x14ac:dyDescent="0.3">
      <c r="A1105" s="8">
        <v>47</v>
      </c>
      <c r="B1105" s="8">
        <v>23</v>
      </c>
      <c r="C1105" s="8">
        <v>3025</v>
      </c>
      <c r="D1105" s="16">
        <v>2.4072880000000001E-2</v>
      </c>
      <c r="E1105" s="8">
        <v>1.2036440000000001E-2</v>
      </c>
    </row>
    <row r="1106" spans="1:5" x14ac:dyDescent="0.3">
      <c r="A1106" s="8">
        <v>47</v>
      </c>
      <c r="B1106" s="8">
        <v>24</v>
      </c>
      <c r="C1106" s="8">
        <v>3045</v>
      </c>
      <c r="D1106" s="16">
        <v>-4.9414489999999998E-2</v>
      </c>
      <c r="E1106" s="8">
        <v>-2.4707244999999999E-2</v>
      </c>
    </row>
    <row r="1107" spans="1:5" x14ac:dyDescent="0.3">
      <c r="A1107" s="8">
        <v>47</v>
      </c>
      <c r="B1107" s="8">
        <v>25</v>
      </c>
      <c r="C1107" s="8">
        <v>3033</v>
      </c>
      <c r="D1107" s="16">
        <v>5.7227520000000002E-3</v>
      </c>
      <c r="E1107" s="8">
        <v>2.8613760000000001E-3</v>
      </c>
    </row>
    <row r="1108" spans="1:5" x14ac:dyDescent="0.3">
      <c r="A1108" s="8">
        <v>47</v>
      </c>
      <c r="B1108" s="8">
        <v>26</v>
      </c>
      <c r="C1108" s="8">
        <v>3041</v>
      </c>
      <c r="D1108" s="16">
        <v>-1.7995819999999999E-2</v>
      </c>
      <c r="E1108" s="8">
        <v>-8.9979099999999996E-3</v>
      </c>
    </row>
    <row r="1109" spans="1:5" x14ac:dyDescent="0.3">
      <c r="A1109" s="8">
        <v>47</v>
      </c>
      <c r="B1109" s="8">
        <v>27</v>
      </c>
      <c r="C1109" s="8">
        <v>3046</v>
      </c>
      <c r="D1109" s="16">
        <v>7.1818969999999996E-2</v>
      </c>
      <c r="E1109" s="8">
        <v>3.5909484999999998E-2</v>
      </c>
    </row>
    <row r="1110" spans="1:5" x14ac:dyDescent="0.3">
      <c r="A1110" s="8">
        <v>47</v>
      </c>
      <c r="B1110" s="8">
        <v>28</v>
      </c>
      <c r="C1110" s="8">
        <v>3019</v>
      </c>
      <c r="D1110" s="16">
        <v>-2.878669E-2</v>
      </c>
      <c r="E1110" s="8">
        <v>-1.4393345E-2</v>
      </c>
    </row>
    <row r="1111" spans="1:5" x14ac:dyDescent="0.3">
      <c r="A1111" s="8">
        <v>47</v>
      </c>
      <c r="B1111" s="8">
        <v>29</v>
      </c>
      <c r="C1111" s="8">
        <v>3017</v>
      </c>
      <c r="D1111" s="16">
        <v>-1.2761730000000001E-2</v>
      </c>
      <c r="E1111" s="8">
        <v>-6.3808650000000003E-3</v>
      </c>
    </row>
    <row r="1112" spans="1:5" x14ac:dyDescent="0.3">
      <c r="A1112" s="8">
        <v>47</v>
      </c>
      <c r="B1112" s="8">
        <v>30</v>
      </c>
      <c r="C1112" s="8">
        <v>3027</v>
      </c>
      <c r="D1112" s="16">
        <v>-4.3710499999999996E-3</v>
      </c>
      <c r="E1112" s="8">
        <v>-2.1855249999999998E-3</v>
      </c>
    </row>
    <row r="1113" spans="1:5" x14ac:dyDescent="0.3">
      <c r="A1113" s="8">
        <v>47</v>
      </c>
      <c r="B1113" s="8">
        <v>31</v>
      </c>
      <c r="C1113" s="8">
        <v>2947</v>
      </c>
      <c r="D1113" s="16">
        <v>-2.157806E-2</v>
      </c>
      <c r="E1113" s="8">
        <v>-1.078903E-2</v>
      </c>
    </row>
    <row r="1114" spans="1:5" x14ac:dyDescent="0.3">
      <c r="A1114" s="8">
        <v>47</v>
      </c>
      <c r="B1114" s="8">
        <v>32</v>
      </c>
      <c r="C1114" s="8">
        <v>3015</v>
      </c>
      <c r="D1114" s="16">
        <v>-3.757692E-2</v>
      </c>
      <c r="E1114" s="8">
        <v>-1.878846E-2</v>
      </c>
    </row>
    <row r="1115" spans="1:5" x14ac:dyDescent="0.3">
      <c r="A1115" s="8">
        <v>47</v>
      </c>
      <c r="B1115" s="8">
        <v>33</v>
      </c>
      <c r="C1115" s="8">
        <v>3044</v>
      </c>
      <c r="D1115" s="16">
        <v>3.6953809999999997E-2</v>
      </c>
      <c r="E1115" s="8">
        <v>1.8476904999999998E-2</v>
      </c>
    </row>
    <row r="1116" spans="1:5" x14ac:dyDescent="0.3">
      <c r="A1116" s="8">
        <v>47</v>
      </c>
      <c r="B1116" s="8">
        <v>34</v>
      </c>
      <c r="C1116" s="8">
        <v>3039</v>
      </c>
      <c r="D1116" s="16">
        <v>-1.8951300000000001E-2</v>
      </c>
      <c r="E1116" s="8">
        <v>-9.4756500000000004E-3</v>
      </c>
    </row>
    <row r="1117" spans="1:5" x14ac:dyDescent="0.3">
      <c r="A1117" s="8">
        <v>47</v>
      </c>
      <c r="B1117" s="8">
        <v>35</v>
      </c>
      <c r="C1117" s="8">
        <v>3029</v>
      </c>
      <c r="D1117" s="16">
        <v>-1.0017659999999999E-2</v>
      </c>
      <c r="E1117" s="8">
        <v>-5.0088299999999997E-3</v>
      </c>
    </row>
    <row r="1118" spans="1:5" x14ac:dyDescent="0.3">
      <c r="A1118" s="8">
        <v>47</v>
      </c>
      <c r="B1118" s="8">
        <v>36</v>
      </c>
      <c r="C1118" s="8">
        <v>3039</v>
      </c>
      <c r="D1118" s="16">
        <v>2.9557630000000001E-2</v>
      </c>
      <c r="E1118" s="8">
        <v>1.4778815000000001E-2</v>
      </c>
    </row>
    <row r="1119" spans="1:5" x14ac:dyDescent="0.3">
      <c r="A1119" s="8">
        <v>47</v>
      </c>
      <c r="B1119" s="8">
        <v>37</v>
      </c>
      <c r="C1119" s="8">
        <v>2999</v>
      </c>
      <c r="D1119" s="16">
        <v>-5.0327539999999997E-2</v>
      </c>
      <c r="E1119" s="8">
        <v>-2.5163769999999999E-2</v>
      </c>
    </row>
    <row r="1120" spans="1:5" x14ac:dyDescent="0.3">
      <c r="A1120" s="8">
        <v>47</v>
      </c>
      <c r="B1120" s="8">
        <v>38</v>
      </c>
      <c r="C1120" s="8">
        <v>3042</v>
      </c>
      <c r="D1120" s="16">
        <v>-9.8599470000000008E-3</v>
      </c>
      <c r="E1120" s="8">
        <v>-4.9299735000000004E-3</v>
      </c>
    </row>
    <row r="1121" spans="1:5" x14ac:dyDescent="0.3">
      <c r="A1121" s="8">
        <v>47</v>
      </c>
      <c r="B1121" s="8">
        <v>39</v>
      </c>
      <c r="C1121" s="8">
        <v>3036</v>
      </c>
      <c r="D1121" s="16">
        <v>-1.506091E-2</v>
      </c>
      <c r="E1121" s="8">
        <v>-7.5304550000000001E-3</v>
      </c>
    </row>
    <row r="1122" spans="1:5" x14ac:dyDescent="0.3">
      <c r="A1122" s="8">
        <v>47</v>
      </c>
      <c r="B1122" s="8">
        <v>40</v>
      </c>
      <c r="C1122" s="8">
        <v>3035</v>
      </c>
      <c r="D1122" s="16">
        <v>-3.7740589999999997E-2</v>
      </c>
      <c r="E1122" s="8">
        <v>-1.8870294999999999E-2</v>
      </c>
    </row>
    <row r="1123" spans="1:5" x14ac:dyDescent="0.3">
      <c r="A1123" s="8">
        <v>47</v>
      </c>
      <c r="B1123" s="8">
        <v>41</v>
      </c>
      <c r="C1123" s="8">
        <v>3007</v>
      </c>
      <c r="D1123" s="16">
        <v>-2.4802910000000001E-2</v>
      </c>
      <c r="E1123" s="8">
        <v>-1.2401455E-2</v>
      </c>
    </row>
    <row r="1124" spans="1:5" x14ac:dyDescent="0.3">
      <c r="A1124" s="8">
        <v>47</v>
      </c>
      <c r="B1124" s="8">
        <v>42</v>
      </c>
      <c r="C1124" s="8">
        <v>3004</v>
      </c>
      <c r="D1124" s="16">
        <v>-4.8260129999999998E-2</v>
      </c>
      <c r="E1124" s="8">
        <v>-2.4130064999999999E-2</v>
      </c>
    </row>
    <row r="1125" spans="1:5" x14ac:dyDescent="0.3">
      <c r="A1125" s="8">
        <v>47</v>
      </c>
      <c r="B1125" s="8">
        <v>43</v>
      </c>
      <c r="C1125" s="8">
        <v>3022</v>
      </c>
      <c r="D1125" s="16">
        <v>-5.2116559999999999E-2</v>
      </c>
      <c r="E1125" s="8">
        <v>-2.605828E-2</v>
      </c>
    </row>
    <row r="1126" spans="1:5" x14ac:dyDescent="0.3">
      <c r="A1126" s="8">
        <v>47</v>
      </c>
      <c r="B1126" s="8">
        <v>44</v>
      </c>
      <c r="C1126" s="8">
        <v>3005</v>
      </c>
      <c r="D1126" s="16">
        <v>-1.8725599999999998E-2</v>
      </c>
      <c r="E1126" s="8">
        <v>-9.3627999999999992E-3</v>
      </c>
    </row>
    <row r="1127" spans="1:5" x14ac:dyDescent="0.3">
      <c r="A1127" s="8">
        <v>47</v>
      </c>
      <c r="B1127" s="8">
        <v>45</v>
      </c>
      <c r="C1127" s="8">
        <v>3026</v>
      </c>
      <c r="D1127" s="16">
        <v>-6.2603559999999999E-3</v>
      </c>
      <c r="E1127" s="8">
        <v>-3.130178E-3</v>
      </c>
    </row>
    <row r="1128" spans="1:5" x14ac:dyDescent="0.3">
      <c r="A1128" s="8">
        <v>47</v>
      </c>
      <c r="B1128" s="8">
        <v>46</v>
      </c>
      <c r="C1128" s="8">
        <v>3022</v>
      </c>
      <c r="D1128" s="16">
        <v>-4.2025100000000003E-2</v>
      </c>
      <c r="E1128" s="8">
        <v>-2.1012550000000001E-2</v>
      </c>
    </row>
    <row r="1129" spans="1:5" x14ac:dyDescent="0.3">
      <c r="A1129" s="8">
        <v>47</v>
      </c>
      <c r="B1129" s="8">
        <v>47</v>
      </c>
      <c r="C1129" s="8">
        <v>3126</v>
      </c>
      <c r="D1129" s="16">
        <v>1.2435700000000001</v>
      </c>
      <c r="E1129" s="8"/>
    </row>
    <row r="1130" spans="1:5" x14ac:dyDescent="0.3">
      <c r="A1130" s="8">
        <v>48</v>
      </c>
      <c r="B1130" s="8">
        <v>1</v>
      </c>
      <c r="C1130" s="8">
        <v>3065</v>
      </c>
      <c r="D1130" s="16">
        <v>2.7486469999999999E-2</v>
      </c>
      <c r="E1130" s="8">
        <v>1.3743234999999999E-2</v>
      </c>
    </row>
    <row r="1131" spans="1:5" x14ac:dyDescent="0.3">
      <c r="A1131" s="8">
        <v>48</v>
      </c>
      <c r="B1131" s="8">
        <v>2</v>
      </c>
      <c r="C1131" s="8">
        <v>3039</v>
      </c>
      <c r="D1131" s="16">
        <v>-4.4358419999999997E-3</v>
      </c>
      <c r="E1131" s="8">
        <v>-2.2179209999999999E-3</v>
      </c>
    </row>
    <row r="1132" spans="1:5" x14ac:dyDescent="0.3">
      <c r="A1132" s="8">
        <v>48</v>
      </c>
      <c r="B1132" s="8">
        <v>3</v>
      </c>
      <c r="C1132" s="8">
        <v>3063</v>
      </c>
      <c r="D1132" s="16">
        <v>-3.2856089999999998E-2</v>
      </c>
      <c r="E1132" s="8">
        <v>-1.6428044999999999E-2</v>
      </c>
    </row>
    <row r="1133" spans="1:5" x14ac:dyDescent="0.3">
      <c r="A1133" s="8">
        <v>48</v>
      </c>
      <c r="B1133" s="8">
        <v>4</v>
      </c>
      <c r="C1133" s="8">
        <v>3042</v>
      </c>
      <c r="D1133" s="16">
        <v>2.852201E-2</v>
      </c>
      <c r="E1133" s="8">
        <v>1.4261005E-2</v>
      </c>
    </row>
    <row r="1134" spans="1:5" x14ac:dyDescent="0.3">
      <c r="A1134" s="8">
        <v>48</v>
      </c>
      <c r="B1134" s="8">
        <v>5</v>
      </c>
      <c r="C1134" s="8">
        <v>3031</v>
      </c>
      <c r="D1134" s="16">
        <v>-1.7411260000000001E-2</v>
      </c>
      <c r="E1134" s="8">
        <v>-8.7056300000000007E-3</v>
      </c>
    </row>
    <row r="1135" spans="1:5" x14ac:dyDescent="0.3">
      <c r="A1135" s="8">
        <v>48</v>
      </c>
      <c r="B1135" s="8">
        <v>6</v>
      </c>
      <c r="C1135" s="8">
        <v>3047</v>
      </c>
      <c r="D1135" s="16">
        <v>-1.03908E-2</v>
      </c>
      <c r="E1135" s="8">
        <v>-5.1954000000000002E-3</v>
      </c>
    </row>
    <row r="1136" spans="1:5" x14ac:dyDescent="0.3">
      <c r="A1136" s="8">
        <v>48</v>
      </c>
      <c r="B1136" s="8">
        <v>7</v>
      </c>
      <c r="C1136" s="8">
        <v>3043</v>
      </c>
      <c r="D1136" s="16">
        <v>2.2137549999999999E-2</v>
      </c>
      <c r="E1136" s="8">
        <v>1.1068774999999999E-2</v>
      </c>
    </row>
    <row r="1137" spans="1:5" x14ac:dyDescent="0.3">
      <c r="A1137" s="8">
        <v>48</v>
      </c>
      <c r="B1137" s="8">
        <v>8</v>
      </c>
      <c r="C1137" s="8">
        <v>3060</v>
      </c>
      <c r="D1137" s="16">
        <v>2.077623E-2</v>
      </c>
      <c r="E1137" s="8">
        <v>1.0388115E-2</v>
      </c>
    </row>
    <row r="1138" spans="1:5" x14ac:dyDescent="0.3">
      <c r="A1138" s="8">
        <v>48</v>
      </c>
      <c r="B1138" s="8">
        <v>9</v>
      </c>
      <c r="C1138" s="8">
        <v>3049</v>
      </c>
      <c r="D1138" s="16">
        <v>-7.1351220000000007E-2</v>
      </c>
      <c r="E1138" s="8">
        <v>-3.5675610000000003E-2</v>
      </c>
    </row>
    <row r="1139" spans="1:5" x14ac:dyDescent="0.3">
      <c r="A1139" s="8">
        <v>48</v>
      </c>
      <c r="B1139" s="8">
        <v>10</v>
      </c>
      <c r="C1139" s="8">
        <v>3039</v>
      </c>
      <c r="D1139" s="16">
        <v>-3.8359650000000002E-2</v>
      </c>
      <c r="E1139" s="8">
        <v>-1.9179825000000001E-2</v>
      </c>
    </row>
    <row r="1140" spans="1:5" x14ac:dyDescent="0.3">
      <c r="A1140" s="8">
        <v>48</v>
      </c>
      <c r="B1140" s="8">
        <v>11</v>
      </c>
      <c r="C1140" s="8">
        <v>3043</v>
      </c>
      <c r="D1140" s="16">
        <v>6.469011E-4</v>
      </c>
      <c r="E1140" s="8">
        <v>3.2345055E-4</v>
      </c>
    </row>
    <row r="1141" spans="1:5" x14ac:dyDescent="0.3">
      <c r="A1141" s="8">
        <v>48</v>
      </c>
      <c r="B1141" s="8">
        <v>12</v>
      </c>
      <c r="C1141" s="8">
        <v>3059</v>
      </c>
      <c r="D1141" s="16">
        <v>-1.2743600000000001E-2</v>
      </c>
      <c r="E1141" s="8">
        <v>-6.3718000000000004E-3</v>
      </c>
    </row>
    <row r="1142" spans="1:5" x14ac:dyDescent="0.3">
      <c r="A1142" s="8">
        <v>48</v>
      </c>
      <c r="B1142" s="8">
        <v>13</v>
      </c>
      <c r="C1142" s="8">
        <v>3042</v>
      </c>
      <c r="D1142" s="16">
        <v>-4.7110079999999999E-2</v>
      </c>
      <c r="E1142" s="8">
        <v>-2.3555039999999999E-2</v>
      </c>
    </row>
    <row r="1143" spans="1:5" x14ac:dyDescent="0.3">
      <c r="A1143" s="8">
        <v>48</v>
      </c>
      <c r="B1143" s="8">
        <v>14</v>
      </c>
      <c r="C1143" s="8">
        <v>3041</v>
      </c>
      <c r="D1143" s="16">
        <v>-2.836365E-3</v>
      </c>
      <c r="E1143" s="8">
        <v>-1.4181825E-3</v>
      </c>
    </row>
    <row r="1144" spans="1:5" x14ac:dyDescent="0.3">
      <c r="A1144" s="8">
        <v>48</v>
      </c>
      <c r="B1144" s="8">
        <v>15</v>
      </c>
      <c r="C1144" s="8">
        <v>3048</v>
      </c>
      <c r="D1144" s="16">
        <v>-4.6786950000000001E-2</v>
      </c>
      <c r="E1144" s="8">
        <v>-2.3393475E-2</v>
      </c>
    </row>
    <row r="1145" spans="1:5" x14ac:dyDescent="0.3">
      <c r="A1145" s="8">
        <v>48</v>
      </c>
      <c r="B1145" s="8">
        <v>16</v>
      </c>
      <c r="C1145" s="8">
        <v>3057</v>
      </c>
      <c r="D1145" s="16">
        <v>-3.2948449999999997E-2</v>
      </c>
      <c r="E1145" s="8">
        <v>-1.6474224999999999E-2</v>
      </c>
    </row>
    <row r="1146" spans="1:5" x14ac:dyDescent="0.3">
      <c r="A1146" s="8">
        <v>48</v>
      </c>
      <c r="B1146" s="8">
        <v>17</v>
      </c>
      <c r="C1146" s="8">
        <v>3052</v>
      </c>
      <c r="D1146" s="16">
        <v>1.2763489999999999E-4</v>
      </c>
      <c r="E1146" s="8">
        <v>6.3817449999999993E-5</v>
      </c>
    </row>
    <row r="1147" spans="1:5" x14ac:dyDescent="0.3">
      <c r="A1147" s="8">
        <v>48</v>
      </c>
      <c r="B1147" s="8">
        <v>18</v>
      </c>
      <c r="C1147" s="8">
        <v>3065</v>
      </c>
      <c r="D1147" s="16">
        <v>-2.9503270000000002E-2</v>
      </c>
      <c r="E1147" s="8">
        <v>-1.4751635000000001E-2</v>
      </c>
    </row>
    <row r="1148" spans="1:5" x14ac:dyDescent="0.3">
      <c r="A1148" s="8">
        <v>48</v>
      </c>
      <c r="B1148" s="8">
        <v>19</v>
      </c>
      <c r="C1148" s="8">
        <v>3048</v>
      </c>
      <c r="D1148" s="16">
        <v>-3.6160400000000002E-2</v>
      </c>
      <c r="E1148" s="8">
        <v>-1.8080200000000001E-2</v>
      </c>
    </row>
    <row r="1149" spans="1:5" x14ac:dyDescent="0.3">
      <c r="A1149" s="8">
        <v>48</v>
      </c>
      <c r="B1149" s="8">
        <v>20</v>
      </c>
      <c r="C1149" s="8">
        <v>3057</v>
      </c>
      <c r="D1149" s="16">
        <v>-4.0677450000000002E-3</v>
      </c>
      <c r="E1149" s="8">
        <v>-2.0338725000000001E-3</v>
      </c>
    </row>
    <row r="1150" spans="1:5" x14ac:dyDescent="0.3">
      <c r="A1150" s="8">
        <v>48</v>
      </c>
      <c r="B1150" s="8">
        <v>21</v>
      </c>
      <c r="C1150" s="8">
        <v>3054</v>
      </c>
      <c r="D1150" s="16">
        <v>1.6165530000000001E-2</v>
      </c>
      <c r="E1150" s="8">
        <v>8.0827650000000004E-3</v>
      </c>
    </row>
    <row r="1151" spans="1:5" x14ac:dyDescent="0.3">
      <c r="A1151" s="8">
        <v>48</v>
      </c>
      <c r="B1151" s="8">
        <v>22</v>
      </c>
      <c r="C1151" s="8">
        <v>3042</v>
      </c>
      <c r="D1151" s="16">
        <v>1.5113E-2</v>
      </c>
      <c r="E1151" s="8">
        <v>7.5564999999999998E-3</v>
      </c>
    </row>
    <row r="1152" spans="1:5" x14ac:dyDescent="0.3">
      <c r="A1152" s="8">
        <v>48</v>
      </c>
      <c r="B1152" s="8">
        <v>23</v>
      </c>
      <c r="C1152" s="8">
        <v>3041</v>
      </c>
      <c r="D1152" s="16">
        <v>3.691701E-2</v>
      </c>
      <c r="E1152" s="8">
        <v>1.8458505E-2</v>
      </c>
    </row>
    <row r="1153" spans="1:5" x14ac:dyDescent="0.3">
      <c r="A1153" s="8">
        <v>48</v>
      </c>
      <c r="B1153" s="8">
        <v>24</v>
      </c>
      <c r="C1153" s="8">
        <v>3066</v>
      </c>
      <c r="D1153" s="16">
        <v>4.4682319999999998E-2</v>
      </c>
      <c r="E1153" s="8">
        <v>2.2341159999999999E-2</v>
      </c>
    </row>
    <row r="1154" spans="1:5" x14ac:dyDescent="0.3">
      <c r="A1154" s="8">
        <v>48</v>
      </c>
      <c r="B1154" s="8">
        <v>25</v>
      </c>
      <c r="C1154" s="8">
        <v>3049</v>
      </c>
      <c r="D1154" s="16">
        <v>-1.553802E-2</v>
      </c>
      <c r="E1154" s="8">
        <v>-7.7690099999999998E-3</v>
      </c>
    </row>
    <row r="1155" spans="1:5" x14ac:dyDescent="0.3">
      <c r="A1155" s="8">
        <v>48</v>
      </c>
      <c r="B1155" s="8">
        <v>26</v>
      </c>
      <c r="C1155" s="8">
        <v>3058</v>
      </c>
      <c r="D1155" s="16">
        <v>-2.6730509999999999E-2</v>
      </c>
      <c r="E1155" s="8">
        <v>-1.3365254999999999E-2</v>
      </c>
    </row>
    <row r="1156" spans="1:5" x14ac:dyDescent="0.3">
      <c r="A1156" s="8">
        <v>48</v>
      </c>
      <c r="B1156" s="8">
        <v>27</v>
      </c>
      <c r="C1156" s="8">
        <v>3068</v>
      </c>
      <c r="D1156" s="16">
        <v>2.710533E-2</v>
      </c>
      <c r="E1156" s="8">
        <v>1.3552665E-2</v>
      </c>
    </row>
    <row r="1157" spans="1:5" x14ac:dyDescent="0.3">
      <c r="A1157" s="8">
        <v>48</v>
      </c>
      <c r="B1157" s="8">
        <v>28</v>
      </c>
      <c r="C1157" s="8">
        <v>3034</v>
      </c>
      <c r="D1157" s="16">
        <v>2.7334099999999999E-3</v>
      </c>
      <c r="E1157" s="8">
        <v>1.366705E-3</v>
      </c>
    </row>
    <row r="1158" spans="1:5" x14ac:dyDescent="0.3">
      <c r="A1158" s="8">
        <v>48</v>
      </c>
      <c r="B1158" s="8">
        <v>29</v>
      </c>
      <c r="C1158" s="8">
        <v>3043</v>
      </c>
      <c r="D1158" s="16">
        <v>1.233158E-2</v>
      </c>
      <c r="E1158" s="8">
        <v>6.16579E-3</v>
      </c>
    </row>
    <row r="1159" spans="1:5" x14ac:dyDescent="0.3">
      <c r="A1159" s="8">
        <v>48</v>
      </c>
      <c r="B1159" s="8">
        <v>30</v>
      </c>
      <c r="C1159" s="8">
        <v>3048</v>
      </c>
      <c r="D1159" s="16">
        <v>2.391097E-2</v>
      </c>
      <c r="E1159" s="8">
        <v>1.1955485E-2</v>
      </c>
    </row>
    <row r="1160" spans="1:5" x14ac:dyDescent="0.3">
      <c r="A1160" s="8">
        <v>48</v>
      </c>
      <c r="B1160" s="8">
        <v>31</v>
      </c>
      <c r="C1160" s="8">
        <v>2972</v>
      </c>
      <c r="D1160" s="16">
        <v>-2.7214169999999999E-2</v>
      </c>
      <c r="E1160" s="8">
        <v>-1.3607085E-2</v>
      </c>
    </row>
    <row r="1161" spans="1:5" x14ac:dyDescent="0.3">
      <c r="A1161" s="8">
        <v>48</v>
      </c>
      <c r="B1161" s="8">
        <v>32</v>
      </c>
      <c r="C1161" s="8">
        <v>3038</v>
      </c>
      <c r="D1161" s="16">
        <v>-3.8229260000000001E-2</v>
      </c>
      <c r="E1161" s="8">
        <v>-1.9114630000000001E-2</v>
      </c>
    </row>
    <row r="1162" spans="1:5" x14ac:dyDescent="0.3">
      <c r="A1162" s="8">
        <v>48</v>
      </c>
      <c r="B1162" s="8">
        <v>33</v>
      </c>
      <c r="C1162" s="8">
        <v>3068</v>
      </c>
      <c r="D1162" s="16">
        <v>2.3362600000000001E-2</v>
      </c>
      <c r="E1162" s="8">
        <v>1.16813E-2</v>
      </c>
    </row>
    <row r="1163" spans="1:5" x14ac:dyDescent="0.3">
      <c r="A1163" s="8">
        <v>48</v>
      </c>
      <c r="B1163" s="8">
        <v>34</v>
      </c>
      <c r="C1163" s="8">
        <v>3056</v>
      </c>
      <c r="D1163" s="16">
        <v>-5.380708E-2</v>
      </c>
      <c r="E1163" s="8">
        <v>-2.690354E-2</v>
      </c>
    </row>
    <row r="1164" spans="1:5" x14ac:dyDescent="0.3">
      <c r="A1164" s="8">
        <v>48</v>
      </c>
      <c r="B1164" s="8">
        <v>35</v>
      </c>
      <c r="C1164" s="8">
        <v>3050</v>
      </c>
      <c r="D1164" s="16">
        <v>-5.5544620000000003E-2</v>
      </c>
      <c r="E1164" s="8">
        <v>-2.7772310000000001E-2</v>
      </c>
    </row>
    <row r="1165" spans="1:5" x14ac:dyDescent="0.3">
      <c r="A1165" s="8">
        <v>48</v>
      </c>
      <c r="B1165" s="8">
        <v>36</v>
      </c>
      <c r="C1165" s="8">
        <v>3058</v>
      </c>
      <c r="D1165" s="16">
        <v>-1.7364899999999999E-2</v>
      </c>
      <c r="E1165" s="8">
        <v>-8.6824499999999995E-3</v>
      </c>
    </row>
    <row r="1166" spans="1:5" x14ac:dyDescent="0.3">
      <c r="A1166" s="8">
        <v>48</v>
      </c>
      <c r="B1166" s="8">
        <v>37</v>
      </c>
      <c r="C1166" s="8">
        <v>3019</v>
      </c>
      <c r="D1166" s="16">
        <v>-2.062249E-2</v>
      </c>
      <c r="E1166" s="8">
        <v>-1.0311245E-2</v>
      </c>
    </row>
    <row r="1167" spans="1:5" x14ac:dyDescent="0.3">
      <c r="A1167" s="8">
        <v>48</v>
      </c>
      <c r="B1167" s="8">
        <v>38</v>
      </c>
      <c r="C1167" s="8">
        <v>3068</v>
      </c>
      <c r="D1167" s="16">
        <v>-1.2360370000000001E-2</v>
      </c>
      <c r="E1167" s="8">
        <v>-6.1801850000000004E-3</v>
      </c>
    </row>
    <row r="1168" spans="1:5" x14ac:dyDescent="0.3">
      <c r="A1168" s="8">
        <v>48</v>
      </c>
      <c r="B1168" s="8">
        <v>39</v>
      </c>
      <c r="C1168" s="8">
        <v>3066</v>
      </c>
      <c r="D1168" s="16">
        <v>-1.52982E-2</v>
      </c>
      <c r="E1168" s="8">
        <v>-7.6490999999999998E-3</v>
      </c>
    </row>
    <row r="1169" spans="1:5" x14ac:dyDescent="0.3">
      <c r="A1169" s="8">
        <v>48</v>
      </c>
      <c r="B1169" s="8">
        <v>40</v>
      </c>
      <c r="C1169" s="8">
        <v>3056</v>
      </c>
      <c r="D1169" s="16">
        <v>-4.640677E-2</v>
      </c>
      <c r="E1169" s="8">
        <v>-2.3203385E-2</v>
      </c>
    </row>
    <row r="1170" spans="1:5" x14ac:dyDescent="0.3">
      <c r="A1170" s="8">
        <v>48</v>
      </c>
      <c r="B1170" s="8">
        <v>41</v>
      </c>
      <c r="C1170" s="8">
        <v>3032</v>
      </c>
      <c r="D1170" s="16">
        <v>-9.2724249999999994E-2</v>
      </c>
      <c r="E1170" s="8">
        <v>-4.6362124999999997E-2</v>
      </c>
    </row>
    <row r="1171" spans="1:5" x14ac:dyDescent="0.3">
      <c r="A1171" s="8">
        <v>48</v>
      </c>
      <c r="B1171" s="8">
        <v>42</v>
      </c>
      <c r="C1171" s="8">
        <v>3026</v>
      </c>
      <c r="D1171" s="16">
        <v>-3.1609709999999999E-2</v>
      </c>
      <c r="E1171" s="8">
        <v>-1.5804855E-2</v>
      </c>
    </row>
    <row r="1172" spans="1:5" x14ac:dyDescent="0.3">
      <c r="A1172" s="8">
        <v>48</v>
      </c>
      <c r="B1172" s="8">
        <v>43</v>
      </c>
      <c r="C1172" s="8">
        <v>3041</v>
      </c>
      <c r="D1172" s="16">
        <v>3.5972949999999997E-2</v>
      </c>
      <c r="E1172" s="8">
        <v>1.7986474999999998E-2</v>
      </c>
    </row>
    <row r="1173" spans="1:5" x14ac:dyDescent="0.3">
      <c r="A1173" s="8">
        <v>48</v>
      </c>
      <c r="B1173" s="8">
        <v>44</v>
      </c>
      <c r="C1173" s="8">
        <v>3023</v>
      </c>
      <c r="D1173" s="16">
        <v>1.328082E-2</v>
      </c>
      <c r="E1173" s="8">
        <v>6.6404100000000002E-3</v>
      </c>
    </row>
    <row r="1174" spans="1:5" x14ac:dyDescent="0.3">
      <c r="A1174" s="8">
        <v>48</v>
      </c>
      <c r="B1174" s="8">
        <v>45</v>
      </c>
      <c r="C1174" s="8">
        <v>3052</v>
      </c>
      <c r="D1174" s="16">
        <v>-2.6683689999999999E-2</v>
      </c>
      <c r="E1174" s="8">
        <v>-1.3341845E-2</v>
      </c>
    </row>
    <row r="1175" spans="1:5" x14ac:dyDescent="0.3">
      <c r="A1175" s="8">
        <v>48</v>
      </c>
      <c r="B1175" s="8">
        <v>46</v>
      </c>
      <c r="C1175" s="8">
        <v>3044</v>
      </c>
      <c r="D1175" s="16">
        <v>-5.4839819999999997E-2</v>
      </c>
      <c r="E1175" s="8">
        <v>-2.7419909999999999E-2</v>
      </c>
    </row>
    <row r="1176" spans="1:5" x14ac:dyDescent="0.3">
      <c r="A1176" s="8">
        <v>48</v>
      </c>
      <c r="B1176" s="8">
        <v>47</v>
      </c>
      <c r="C1176" s="8">
        <v>3028</v>
      </c>
      <c r="D1176" s="16">
        <v>-3.691875E-2</v>
      </c>
      <c r="E1176" s="8">
        <v>-1.8459375E-2</v>
      </c>
    </row>
    <row r="1177" spans="1:5" x14ac:dyDescent="0.3">
      <c r="A1177" s="8">
        <v>48</v>
      </c>
      <c r="B1177" s="8">
        <v>48</v>
      </c>
      <c r="C1177" s="8">
        <v>3149</v>
      </c>
      <c r="D1177" s="16">
        <v>1.077234</v>
      </c>
      <c r="E1177" s="8"/>
    </row>
    <row r="1178" spans="1:5" x14ac:dyDescent="0.3">
      <c r="A1178" s="8">
        <v>49</v>
      </c>
      <c r="B1178" s="8">
        <v>1</v>
      </c>
      <c r="C1178" s="8">
        <v>3044</v>
      </c>
      <c r="D1178" s="16">
        <v>5.9719380000000002E-2</v>
      </c>
      <c r="E1178" s="8">
        <v>2.9859690000000001E-2</v>
      </c>
    </row>
    <row r="1179" spans="1:5" x14ac:dyDescent="0.3">
      <c r="A1179" s="8">
        <v>49</v>
      </c>
      <c r="B1179" s="8">
        <v>2</v>
      </c>
      <c r="C1179" s="8">
        <v>3013</v>
      </c>
      <c r="D1179" s="16">
        <v>-1.84526E-3</v>
      </c>
      <c r="E1179" s="8">
        <v>-9.2263000000000002E-4</v>
      </c>
    </row>
    <row r="1180" spans="1:5" x14ac:dyDescent="0.3">
      <c r="A1180" s="8">
        <v>49</v>
      </c>
      <c r="B1180" s="8">
        <v>3</v>
      </c>
      <c r="C1180" s="8">
        <v>3034</v>
      </c>
      <c r="D1180" s="16">
        <v>-7.8484999999999996E-3</v>
      </c>
      <c r="E1180" s="8">
        <v>-3.9242499999999998E-3</v>
      </c>
    </row>
    <row r="1181" spans="1:5" x14ac:dyDescent="0.3">
      <c r="A1181" s="8">
        <v>49</v>
      </c>
      <c r="B1181" s="8">
        <v>4</v>
      </c>
      <c r="C1181" s="8">
        <v>3012</v>
      </c>
      <c r="D1181" s="16">
        <v>8.4390519999999997E-2</v>
      </c>
      <c r="E1181" s="8">
        <v>4.2195259999999998E-2</v>
      </c>
    </row>
    <row r="1182" spans="1:5" x14ac:dyDescent="0.3">
      <c r="A1182" s="8">
        <v>49</v>
      </c>
      <c r="B1182" s="8">
        <v>5</v>
      </c>
      <c r="C1182" s="8">
        <v>2999</v>
      </c>
      <c r="D1182" s="16">
        <v>-1.4595199999999999E-2</v>
      </c>
      <c r="E1182" s="8">
        <v>-7.2975999999999996E-3</v>
      </c>
    </row>
    <row r="1183" spans="1:5" x14ac:dyDescent="0.3">
      <c r="A1183" s="8">
        <v>49</v>
      </c>
      <c r="B1183" s="8">
        <v>6</v>
      </c>
      <c r="C1183" s="8">
        <v>3017</v>
      </c>
      <c r="D1183" s="16">
        <v>-1.93995E-2</v>
      </c>
      <c r="E1183" s="8">
        <v>-9.69975E-3</v>
      </c>
    </row>
    <row r="1184" spans="1:5" x14ac:dyDescent="0.3">
      <c r="A1184" s="8">
        <v>49</v>
      </c>
      <c r="B1184" s="8">
        <v>7</v>
      </c>
      <c r="C1184" s="8">
        <v>3014</v>
      </c>
      <c r="D1184" s="16">
        <v>-5.430959E-3</v>
      </c>
      <c r="E1184" s="8">
        <v>-2.7154795E-3</v>
      </c>
    </row>
    <row r="1185" spans="1:5" x14ac:dyDescent="0.3">
      <c r="A1185" s="8">
        <v>49</v>
      </c>
      <c r="B1185" s="8">
        <v>8</v>
      </c>
      <c r="C1185" s="8">
        <v>3033</v>
      </c>
      <c r="D1185" s="16">
        <v>-3.9364009999999998E-2</v>
      </c>
      <c r="E1185" s="8">
        <v>-1.9682004999999999E-2</v>
      </c>
    </row>
    <row r="1186" spans="1:5" x14ac:dyDescent="0.3">
      <c r="A1186" s="8">
        <v>49</v>
      </c>
      <c r="B1186" s="8">
        <v>9</v>
      </c>
      <c r="C1186" s="8">
        <v>3019</v>
      </c>
      <c r="D1186" s="16">
        <v>-4.8020840000000002E-2</v>
      </c>
      <c r="E1186" s="8">
        <v>-2.4010420000000001E-2</v>
      </c>
    </row>
    <row r="1187" spans="1:5" x14ac:dyDescent="0.3">
      <c r="A1187" s="8">
        <v>49</v>
      </c>
      <c r="B1187" s="8">
        <v>10</v>
      </c>
      <c r="C1187" s="8">
        <v>3011</v>
      </c>
      <c r="D1187" s="16">
        <v>-7.0177900000000001E-2</v>
      </c>
      <c r="E1187" s="8">
        <v>-3.5088950000000001E-2</v>
      </c>
    </row>
    <row r="1188" spans="1:5" x14ac:dyDescent="0.3">
      <c r="A1188" s="8">
        <v>49</v>
      </c>
      <c r="B1188" s="8">
        <v>11</v>
      </c>
      <c r="C1188" s="8">
        <v>3015</v>
      </c>
      <c r="D1188" s="16">
        <v>-1.9921689999999999E-2</v>
      </c>
      <c r="E1188" s="8">
        <v>-9.9608449999999994E-3</v>
      </c>
    </row>
    <row r="1189" spans="1:5" x14ac:dyDescent="0.3">
      <c r="A1189" s="8">
        <v>49</v>
      </c>
      <c r="B1189" s="8">
        <v>12</v>
      </c>
      <c r="C1189" s="8">
        <v>3034</v>
      </c>
      <c r="D1189" s="16">
        <v>-3.0148029999999999E-2</v>
      </c>
      <c r="E1189" s="8">
        <v>-1.5074015E-2</v>
      </c>
    </row>
    <row r="1190" spans="1:5" x14ac:dyDescent="0.3">
      <c r="A1190" s="8">
        <v>49</v>
      </c>
      <c r="B1190" s="8">
        <v>13</v>
      </c>
      <c r="C1190" s="8">
        <v>3016</v>
      </c>
      <c r="D1190" s="16">
        <v>-5.5276949999999998E-2</v>
      </c>
      <c r="E1190" s="8">
        <v>-2.7638474999999999E-2</v>
      </c>
    </row>
    <row r="1191" spans="1:5" x14ac:dyDescent="0.3">
      <c r="A1191" s="8">
        <v>49</v>
      </c>
      <c r="B1191" s="8">
        <v>14</v>
      </c>
      <c r="C1191" s="8">
        <v>3010</v>
      </c>
      <c r="D1191" s="16">
        <v>-2.0926230000000001E-2</v>
      </c>
      <c r="E1191" s="8">
        <v>-1.0463115E-2</v>
      </c>
    </row>
    <row r="1192" spans="1:5" x14ac:dyDescent="0.3">
      <c r="A1192" s="8">
        <v>49</v>
      </c>
      <c r="B1192" s="8">
        <v>15</v>
      </c>
      <c r="C1192" s="8">
        <v>3022</v>
      </c>
      <c r="D1192" s="16">
        <v>-2.1496029999999999E-2</v>
      </c>
      <c r="E1192" s="8">
        <v>-1.0748015E-2</v>
      </c>
    </row>
    <row r="1193" spans="1:5" x14ac:dyDescent="0.3">
      <c r="A1193" s="8">
        <v>49</v>
      </c>
      <c r="B1193" s="8">
        <v>16</v>
      </c>
      <c r="C1193" s="8">
        <v>3029</v>
      </c>
      <c r="D1193" s="16">
        <v>-4.2426659999999998E-2</v>
      </c>
      <c r="E1193" s="8">
        <v>-2.1213329999999999E-2</v>
      </c>
    </row>
    <row r="1194" spans="1:5" x14ac:dyDescent="0.3">
      <c r="A1194" s="8">
        <v>49</v>
      </c>
      <c r="B1194" s="8">
        <v>17</v>
      </c>
      <c r="C1194" s="8">
        <v>3020</v>
      </c>
      <c r="D1194" s="16">
        <v>-1.014231E-3</v>
      </c>
      <c r="E1194" s="8">
        <v>-5.0711549999999999E-4</v>
      </c>
    </row>
    <row r="1195" spans="1:5" x14ac:dyDescent="0.3">
      <c r="A1195" s="8">
        <v>49</v>
      </c>
      <c r="B1195" s="8">
        <v>18</v>
      </c>
      <c r="C1195" s="8">
        <v>3040</v>
      </c>
      <c r="D1195" s="16">
        <v>-3.8760919999999997E-2</v>
      </c>
      <c r="E1195" s="8">
        <v>-1.9380459999999999E-2</v>
      </c>
    </row>
    <row r="1196" spans="1:5" x14ac:dyDescent="0.3">
      <c r="A1196" s="8">
        <v>49</v>
      </c>
      <c r="B1196" s="8">
        <v>19</v>
      </c>
      <c r="C1196" s="8">
        <v>3020</v>
      </c>
      <c r="D1196" s="16">
        <v>3.1492220000000001E-2</v>
      </c>
      <c r="E1196" s="8">
        <v>1.5746110000000001E-2</v>
      </c>
    </row>
    <row r="1197" spans="1:5" x14ac:dyDescent="0.3">
      <c r="A1197" s="8">
        <v>49</v>
      </c>
      <c r="B1197" s="8">
        <v>20</v>
      </c>
      <c r="C1197" s="8">
        <v>3031</v>
      </c>
      <c r="D1197" s="16">
        <v>1.6006670000000001E-2</v>
      </c>
      <c r="E1197" s="8">
        <v>8.0033350000000003E-3</v>
      </c>
    </row>
    <row r="1198" spans="1:5" x14ac:dyDescent="0.3">
      <c r="A1198" s="8">
        <v>49</v>
      </c>
      <c r="B1198" s="8">
        <v>21</v>
      </c>
      <c r="C1198" s="8">
        <v>3030</v>
      </c>
      <c r="D1198" s="16">
        <v>-8.7132000000000008E-3</v>
      </c>
      <c r="E1198" s="8">
        <v>-4.3566000000000004E-3</v>
      </c>
    </row>
    <row r="1199" spans="1:5" x14ac:dyDescent="0.3">
      <c r="A1199" s="8">
        <v>49</v>
      </c>
      <c r="B1199" s="8">
        <v>22</v>
      </c>
      <c r="C1199" s="8">
        <v>3014</v>
      </c>
      <c r="D1199" s="16">
        <v>-4.0514349999999999E-3</v>
      </c>
      <c r="E1199" s="8">
        <v>-2.0257175E-3</v>
      </c>
    </row>
    <row r="1200" spans="1:5" x14ac:dyDescent="0.3">
      <c r="A1200" s="8">
        <v>49</v>
      </c>
      <c r="B1200" s="8">
        <v>23</v>
      </c>
      <c r="C1200" s="8">
        <v>3012</v>
      </c>
      <c r="D1200" s="16">
        <v>-3.5237300000000001E-3</v>
      </c>
      <c r="E1200" s="8">
        <v>-1.761865E-3</v>
      </c>
    </row>
    <row r="1201" spans="1:5" x14ac:dyDescent="0.3">
      <c r="A1201" s="8">
        <v>49</v>
      </c>
      <c r="B1201" s="8">
        <v>24</v>
      </c>
      <c r="C1201" s="8">
        <v>3038</v>
      </c>
      <c r="D1201" s="16">
        <v>-1.580809E-2</v>
      </c>
      <c r="E1201" s="8">
        <v>-7.9040450000000002E-3</v>
      </c>
    </row>
    <row r="1202" spans="1:5" x14ac:dyDescent="0.3">
      <c r="A1202" s="8">
        <v>49</v>
      </c>
      <c r="B1202" s="8">
        <v>25</v>
      </c>
      <c r="C1202" s="8">
        <v>3020</v>
      </c>
      <c r="D1202" s="16">
        <v>-2.1012739999999999E-2</v>
      </c>
      <c r="E1202" s="8">
        <v>-1.0506369999999999E-2</v>
      </c>
    </row>
    <row r="1203" spans="1:5" x14ac:dyDescent="0.3">
      <c r="A1203" s="8">
        <v>49</v>
      </c>
      <c r="B1203" s="8">
        <v>26</v>
      </c>
      <c r="C1203" s="8">
        <v>3028</v>
      </c>
      <c r="D1203" s="16">
        <v>-2.2743590000000001E-2</v>
      </c>
      <c r="E1203" s="8">
        <v>-1.1371795000000001E-2</v>
      </c>
    </row>
    <row r="1204" spans="1:5" x14ac:dyDescent="0.3">
      <c r="A1204" s="8">
        <v>49</v>
      </c>
      <c r="B1204" s="8">
        <v>27</v>
      </c>
      <c r="C1204" s="8">
        <v>3040</v>
      </c>
      <c r="D1204" s="16">
        <v>8.3299970000000004E-3</v>
      </c>
      <c r="E1204" s="8">
        <v>4.1649985000000002E-3</v>
      </c>
    </row>
    <row r="1205" spans="1:5" x14ac:dyDescent="0.3">
      <c r="A1205" s="8">
        <v>49</v>
      </c>
      <c r="B1205" s="8">
        <v>28</v>
      </c>
      <c r="C1205" s="8">
        <v>3013</v>
      </c>
      <c r="D1205" s="16">
        <v>-4.9337119999999998E-2</v>
      </c>
      <c r="E1205" s="8">
        <v>-2.4668559999999999E-2</v>
      </c>
    </row>
    <row r="1206" spans="1:5" x14ac:dyDescent="0.3">
      <c r="A1206" s="8">
        <v>49</v>
      </c>
      <c r="B1206" s="8">
        <v>29</v>
      </c>
      <c r="C1206" s="8">
        <v>3014</v>
      </c>
      <c r="D1206" s="16">
        <v>-6.1418929999999997E-2</v>
      </c>
      <c r="E1206" s="8">
        <v>-3.0709464999999998E-2</v>
      </c>
    </row>
    <row r="1207" spans="1:5" x14ac:dyDescent="0.3">
      <c r="A1207" s="8">
        <v>49</v>
      </c>
      <c r="B1207" s="8">
        <v>30</v>
      </c>
      <c r="C1207" s="8">
        <v>3020</v>
      </c>
      <c r="D1207" s="16">
        <v>-3.256299E-2</v>
      </c>
      <c r="E1207" s="8">
        <v>-1.6281495E-2</v>
      </c>
    </row>
    <row r="1208" spans="1:5" x14ac:dyDescent="0.3">
      <c r="A1208" s="8">
        <v>49</v>
      </c>
      <c r="B1208" s="8">
        <v>31</v>
      </c>
      <c r="C1208" s="8">
        <v>2944</v>
      </c>
      <c r="D1208" s="16">
        <v>1.603677E-3</v>
      </c>
      <c r="E1208" s="8">
        <v>8.0183849999999998E-4</v>
      </c>
    </row>
    <row r="1209" spans="1:5" x14ac:dyDescent="0.3">
      <c r="A1209" s="8">
        <v>49</v>
      </c>
      <c r="B1209" s="8">
        <v>32</v>
      </c>
      <c r="C1209" s="8">
        <v>3009</v>
      </c>
      <c r="D1209" s="16">
        <v>-4.334905E-2</v>
      </c>
      <c r="E1209" s="8">
        <v>-2.1674525E-2</v>
      </c>
    </row>
    <row r="1210" spans="1:5" x14ac:dyDescent="0.3">
      <c r="A1210" s="8">
        <v>49</v>
      </c>
      <c r="B1210" s="8">
        <v>33</v>
      </c>
      <c r="C1210" s="8">
        <v>3035</v>
      </c>
      <c r="D1210" s="16">
        <v>-1.6280540000000001E-3</v>
      </c>
      <c r="E1210" s="8">
        <v>-8.1402700000000004E-4</v>
      </c>
    </row>
    <row r="1211" spans="1:5" x14ac:dyDescent="0.3">
      <c r="A1211" s="8">
        <v>49</v>
      </c>
      <c r="B1211" s="8">
        <v>34</v>
      </c>
      <c r="C1211" s="8">
        <v>3028</v>
      </c>
      <c r="D1211" s="16">
        <v>-3.79694E-2</v>
      </c>
      <c r="E1211" s="8">
        <v>-1.89847E-2</v>
      </c>
    </row>
    <row r="1212" spans="1:5" x14ac:dyDescent="0.3">
      <c r="A1212" s="8">
        <v>49</v>
      </c>
      <c r="B1212" s="8">
        <v>35</v>
      </c>
      <c r="C1212" s="8">
        <v>3024</v>
      </c>
      <c r="D1212" s="16">
        <v>-4.4052059999999997E-2</v>
      </c>
      <c r="E1212" s="8">
        <v>-2.2026029999999999E-2</v>
      </c>
    </row>
    <row r="1213" spans="1:5" x14ac:dyDescent="0.3">
      <c r="A1213" s="8">
        <v>49</v>
      </c>
      <c r="B1213" s="8">
        <v>36</v>
      </c>
      <c r="C1213" s="8">
        <v>3029</v>
      </c>
      <c r="D1213" s="16">
        <v>-2.4823069999999999E-2</v>
      </c>
      <c r="E1213" s="8">
        <v>-1.2411535E-2</v>
      </c>
    </row>
    <row r="1214" spans="1:5" x14ac:dyDescent="0.3">
      <c r="A1214" s="8">
        <v>49</v>
      </c>
      <c r="B1214" s="8">
        <v>37</v>
      </c>
      <c r="C1214" s="8">
        <v>2998</v>
      </c>
      <c r="D1214" s="16">
        <v>-2.3221660000000001E-3</v>
      </c>
      <c r="E1214" s="8">
        <v>-1.161083E-3</v>
      </c>
    </row>
    <row r="1215" spans="1:5" x14ac:dyDescent="0.3">
      <c r="A1215" s="8">
        <v>49</v>
      </c>
      <c r="B1215" s="8">
        <v>38</v>
      </c>
      <c r="C1215" s="8">
        <v>3042</v>
      </c>
      <c r="D1215" s="16">
        <v>-1.5549E-2</v>
      </c>
      <c r="E1215" s="8">
        <v>-7.7745000000000002E-3</v>
      </c>
    </row>
    <row r="1216" spans="1:5" x14ac:dyDescent="0.3">
      <c r="A1216" s="8">
        <v>49</v>
      </c>
      <c r="B1216" s="8">
        <v>39</v>
      </c>
      <c r="C1216" s="8">
        <v>3034</v>
      </c>
      <c r="D1216" s="16">
        <v>7.0793510000000002E-3</v>
      </c>
      <c r="E1216" s="8">
        <v>3.5396755000000001E-3</v>
      </c>
    </row>
    <row r="1217" spans="1:5" x14ac:dyDescent="0.3">
      <c r="A1217" s="8">
        <v>49</v>
      </c>
      <c r="B1217" s="8">
        <v>40</v>
      </c>
      <c r="C1217" s="8">
        <v>3027</v>
      </c>
      <c r="D1217" s="16">
        <v>-1.7217380000000001E-2</v>
      </c>
      <c r="E1217" s="8">
        <v>-8.6086900000000004E-3</v>
      </c>
    </row>
    <row r="1218" spans="1:5" x14ac:dyDescent="0.3">
      <c r="A1218" s="8">
        <v>49</v>
      </c>
      <c r="B1218" s="8">
        <v>41</v>
      </c>
      <c r="C1218" s="8">
        <v>3000</v>
      </c>
      <c r="D1218" s="16">
        <v>-2.0185330000000001E-2</v>
      </c>
      <c r="E1218" s="8">
        <v>-1.0092665000000001E-2</v>
      </c>
    </row>
    <row r="1219" spans="1:5" x14ac:dyDescent="0.3">
      <c r="A1219" s="8">
        <v>49</v>
      </c>
      <c r="B1219" s="8">
        <v>42</v>
      </c>
      <c r="C1219" s="8">
        <v>2997</v>
      </c>
      <c r="D1219" s="16">
        <v>-3.2526810000000003E-2</v>
      </c>
      <c r="E1219" s="8">
        <v>-1.6263405000000002E-2</v>
      </c>
    </row>
    <row r="1220" spans="1:5" x14ac:dyDescent="0.3">
      <c r="A1220" s="8">
        <v>49</v>
      </c>
      <c r="B1220" s="8">
        <v>43</v>
      </c>
      <c r="C1220" s="8">
        <v>3014</v>
      </c>
      <c r="D1220" s="16">
        <v>1.2174269999999999E-2</v>
      </c>
      <c r="E1220" s="8">
        <v>6.0871349999999996E-3</v>
      </c>
    </row>
    <row r="1221" spans="1:5" x14ac:dyDescent="0.3">
      <c r="A1221" s="8">
        <v>49</v>
      </c>
      <c r="B1221" s="8">
        <v>44</v>
      </c>
      <c r="C1221" s="8">
        <v>2992</v>
      </c>
      <c r="D1221" s="16">
        <v>-3.2602220000000001E-2</v>
      </c>
      <c r="E1221" s="8">
        <v>-1.6301110000000001E-2</v>
      </c>
    </row>
    <row r="1222" spans="1:5" x14ac:dyDescent="0.3">
      <c r="A1222" s="8">
        <v>49</v>
      </c>
      <c r="B1222" s="8">
        <v>45</v>
      </c>
      <c r="C1222" s="8">
        <v>3024</v>
      </c>
      <c r="D1222" s="16">
        <v>7.4851370000000002E-3</v>
      </c>
      <c r="E1222" s="8">
        <v>3.7425685000000001E-3</v>
      </c>
    </row>
    <row r="1223" spans="1:5" x14ac:dyDescent="0.3">
      <c r="A1223" s="8">
        <v>49</v>
      </c>
      <c r="B1223" s="8">
        <v>46</v>
      </c>
      <c r="C1223" s="8">
        <v>3020</v>
      </c>
      <c r="D1223" s="16">
        <v>-1.3205919999999999E-2</v>
      </c>
      <c r="E1223" s="8">
        <v>-6.6029599999999997E-3</v>
      </c>
    </row>
    <row r="1224" spans="1:5" x14ac:dyDescent="0.3">
      <c r="A1224" s="8">
        <v>49</v>
      </c>
      <c r="B1224" s="8">
        <v>47</v>
      </c>
      <c r="C1224" s="8">
        <v>3003</v>
      </c>
      <c r="D1224" s="16">
        <v>-1.6936119999999999E-2</v>
      </c>
      <c r="E1224" s="8">
        <v>-8.4680599999999995E-3</v>
      </c>
    </row>
    <row r="1225" spans="1:5" x14ac:dyDescent="0.3">
      <c r="A1225" s="8">
        <v>49</v>
      </c>
      <c r="B1225" s="8">
        <v>48</v>
      </c>
      <c r="C1225" s="8">
        <v>3018</v>
      </c>
      <c r="D1225" s="16">
        <v>4.767391E-2</v>
      </c>
      <c r="E1225" s="8">
        <v>2.3836955E-2</v>
      </c>
    </row>
    <row r="1226" spans="1:5" x14ac:dyDescent="0.3">
      <c r="A1226" s="8">
        <v>49</v>
      </c>
      <c r="B1226" s="8">
        <v>49</v>
      </c>
      <c r="C1226" s="8">
        <v>3121</v>
      </c>
      <c r="D1226" s="16">
        <v>1.1138060000000001</v>
      </c>
      <c r="E1226" s="8"/>
    </row>
    <row r="1227" spans="1:5" x14ac:dyDescent="0.3">
      <c r="A1227" s="8">
        <v>50</v>
      </c>
      <c r="B1227" s="8">
        <v>1</v>
      </c>
      <c r="C1227" s="8">
        <v>3085</v>
      </c>
      <c r="D1227" s="16">
        <v>-1.076918E-2</v>
      </c>
      <c r="E1227" s="8">
        <v>-5.3845899999999999E-3</v>
      </c>
    </row>
    <row r="1228" spans="1:5" x14ac:dyDescent="0.3">
      <c r="A1228" s="8">
        <v>50</v>
      </c>
      <c r="B1228" s="8">
        <v>2</v>
      </c>
      <c r="C1228" s="8">
        <v>3050</v>
      </c>
      <c r="D1228" s="16">
        <v>-4.5181930000000002E-2</v>
      </c>
      <c r="E1228" s="8">
        <v>-2.2590965000000001E-2</v>
      </c>
    </row>
    <row r="1229" spans="1:5" x14ac:dyDescent="0.3">
      <c r="A1229" s="8">
        <v>50</v>
      </c>
      <c r="B1229" s="8">
        <v>3</v>
      </c>
      <c r="C1229" s="8">
        <v>3078</v>
      </c>
      <c r="D1229" s="16">
        <v>1.747939E-3</v>
      </c>
      <c r="E1229" s="8">
        <v>8.739695E-4</v>
      </c>
    </row>
    <row r="1230" spans="1:5" x14ac:dyDescent="0.3">
      <c r="A1230" s="8">
        <v>50</v>
      </c>
      <c r="B1230" s="8">
        <v>4</v>
      </c>
      <c r="C1230" s="8">
        <v>3054</v>
      </c>
      <c r="D1230" s="16">
        <v>-1.775146E-2</v>
      </c>
      <c r="E1230" s="8">
        <v>-8.8757300000000001E-3</v>
      </c>
    </row>
    <row r="1231" spans="1:5" x14ac:dyDescent="0.3">
      <c r="A1231" s="8">
        <v>50</v>
      </c>
      <c r="B1231" s="8">
        <v>5</v>
      </c>
      <c r="C1231" s="8">
        <v>3047</v>
      </c>
      <c r="D1231" s="16">
        <v>1.183878E-2</v>
      </c>
      <c r="E1231" s="8">
        <v>5.9193900000000001E-3</v>
      </c>
    </row>
    <row r="1232" spans="1:5" x14ac:dyDescent="0.3">
      <c r="A1232" s="8">
        <v>50</v>
      </c>
      <c r="B1232" s="8">
        <v>6</v>
      </c>
      <c r="C1232" s="8">
        <v>3060</v>
      </c>
      <c r="D1232" s="16">
        <v>-1.814963E-2</v>
      </c>
      <c r="E1232" s="8">
        <v>-9.074815E-3</v>
      </c>
    </row>
    <row r="1233" spans="1:5" x14ac:dyDescent="0.3">
      <c r="A1233" s="8">
        <v>50</v>
      </c>
      <c r="B1233" s="8">
        <v>7</v>
      </c>
      <c r="C1233" s="8">
        <v>3055</v>
      </c>
      <c r="D1233" s="16">
        <v>-8.4925680000000003E-2</v>
      </c>
      <c r="E1233" s="8">
        <v>-4.2462840000000002E-2</v>
      </c>
    </row>
    <row r="1234" spans="1:5" x14ac:dyDescent="0.3">
      <c r="A1234" s="8">
        <v>50</v>
      </c>
      <c r="B1234" s="8">
        <v>8</v>
      </c>
      <c r="C1234" s="8">
        <v>3074</v>
      </c>
      <c r="D1234" s="16">
        <v>-5.2489790000000001E-2</v>
      </c>
      <c r="E1234" s="8">
        <v>-2.6244895000000001E-2</v>
      </c>
    </row>
    <row r="1235" spans="1:5" x14ac:dyDescent="0.3">
      <c r="A1235" s="8">
        <v>50</v>
      </c>
      <c r="B1235" s="8">
        <v>9</v>
      </c>
      <c r="C1235" s="8">
        <v>3066</v>
      </c>
      <c r="D1235" s="16">
        <v>-3.2075409999999999E-2</v>
      </c>
      <c r="E1235" s="8">
        <v>-1.6037704999999999E-2</v>
      </c>
    </row>
    <row r="1236" spans="1:5" x14ac:dyDescent="0.3">
      <c r="A1236" s="8">
        <v>50</v>
      </c>
      <c r="B1236" s="8">
        <v>10</v>
      </c>
      <c r="C1236" s="8">
        <v>3056</v>
      </c>
      <c r="D1236" s="16">
        <v>8.1191189999999993E-3</v>
      </c>
      <c r="E1236" s="8">
        <v>4.0595594999999996E-3</v>
      </c>
    </row>
    <row r="1237" spans="1:5" x14ac:dyDescent="0.3">
      <c r="A1237" s="8">
        <v>50</v>
      </c>
      <c r="B1237" s="8">
        <v>11</v>
      </c>
      <c r="C1237" s="8">
        <v>3058</v>
      </c>
      <c r="D1237" s="16">
        <v>1.226119E-2</v>
      </c>
      <c r="E1237" s="8">
        <v>6.130595E-3</v>
      </c>
    </row>
    <row r="1238" spans="1:5" x14ac:dyDescent="0.3">
      <c r="A1238" s="8">
        <v>50</v>
      </c>
      <c r="B1238" s="8">
        <v>12</v>
      </c>
      <c r="C1238" s="8">
        <v>3074</v>
      </c>
      <c r="D1238" s="16">
        <v>-2.8671530000000001E-2</v>
      </c>
      <c r="E1238" s="8">
        <v>-1.4335765E-2</v>
      </c>
    </row>
    <row r="1239" spans="1:5" x14ac:dyDescent="0.3">
      <c r="A1239" s="8">
        <v>50</v>
      </c>
      <c r="B1239" s="8">
        <v>13</v>
      </c>
      <c r="C1239" s="8">
        <v>3054</v>
      </c>
      <c r="D1239" s="16">
        <v>-2.0490359999999999E-2</v>
      </c>
      <c r="E1239" s="8">
        <v>-1.024518E-2</v>
      </c>
    </row>
    <row r="1240" spans="1:5" x14ac:dyDescent="0.3">
      <c r="A1240" s="8">
        <v>50</v>
      </c>
      <c r="B1240" s="8">
        <v>14</v>
      </c>
      <c r="C1240" s="8">
        <v>3055</v>
      </c>
      <c r="D1240" s="16">
        <v>-2.8001399999999999E-2</v>
      </c>
      <c r="E1240" s="8">
        <v>-1.40007E-2</v>
      </c>
    </row>
    <row r="1241" spans="1:5" x14ac:dyDescent="0.3">
      <c r="A1241" s="8">
        <v>50</v>
      </c>
      <c r="B1241" s="8">
        <v>15</v>
      </c>
      <c r="C1241" s="8">
        <v>3063</v>
      </c>
      <c r="D1241" s="16">
        <v>1.442478E-2</v>
      </c>
      <c r="E1241" s="8">
        <v>7.2123899999999999E-3</v>
      </c>
    </row>
    <row r="1242" spans="1:5" x14ac:dyDescent="0.3">
      <c r="A1242" s="8">
        <v>50</v>
      </c>
      <c r="B1242" s="8">
        <v>16</v>
      </c>
      <c r="C1242" s="8">
        <v>3069</v>
      </c>
      <c r="D1242" s="16">
        <v>2.010261E-2</v>
      </c>
      <c r="E1242" s="8">
        <v>1.0051305E-2</v>
      </c>
    </row>
    <row r="1243" spans="1:5" x14ac:dyDescent="0.3">
      <c r="A1243" s="8">
        <v>50</v>
      </c>
      <c r="B1243" s="8">
        <v>17</v>
      </c>
      <c r="C1243" s="8">
        <v>3064</v>
      </c>
      <c r="D1243" s="16">
        <v>-4.3027940000000001E-2</v>
      </c>
      <c r="E1243" s="8">
        <v>-2.151397E-2</v>
      </c>
    </row>
    <row r="1244" spans="1:5" x14ac:dyDescent="0.3">
      <c r="A1244" s="8">
        <v>50</v>
      </c>
      <c r="B1244" s="8">
        <v>18</v>
      </c>
      <c r="C1244" s="8">
        <v>3084</v>
      </c>
      <c r="D1244" s="16">
        <v>-3.9031209999999998E-3</v>
      </c>
      <c r="E1244" s="8">
        <v>-1.9515604999999999E-3</v>
      </c>
    </row>
    <row r="1245" spans="1:5" x14ac:dyDescent="0.3">
      <c r="A1245" s="8">
        <v>50</v>
      </c>
      <c r="B1245" s="8">
        <v>19</v>
      </c>
      <c r="C1245" s="8">
        <v>3066</v>
      </c>
      <c r="D1245" s="16">
        <v>2.0525470000000001E-4</v>
      </c>
      <c r="E1245" s="8">
        <v>1.0262735E-4</v>
      </c>
    </row>
    <row r="1246" spans="1:5" x14ac:dyDescent="0.3">
      <c r="A1246" s="8">
        <v>50</v>
      </c>
      <c r="B1246" s="8">
        <v>20</v>
      </c>
      <c r="C1246" s="8">
        <v>3070</v>
      </c>
      <c r="D1246" s="16">
        <v>3.240574E-3</v>
      </c>
      <c r="E1246" s="8">
        <v>1.620287E-3</v>
      </c>
    </row>
    <row r="1247" spans="1:5" x14ac:dyDescent="0.3">
      <c r="A1247" s="8">
        <v>50</v>
      </c>
      <c r="B1247" s="8">
        <v>21</v>
      </c>
      <c r="C1247" s="8">
        <v>3072</v>
      </c>
      <c r="D1247" s="16">
        <v>-4.8517200000000003E-2</v>
      </c>
      <c r="E1247" s="8">
        <v>-2.4258600000000002E-2</v>
      </c>
    </row>
    <row r="1248" spans="1:5" x14ac:dyDescent="0.3">
      <c r="A1248" s="8">
        <v>50</v>
      </c>
      <c r="B1248" s="8">
        <v>22</v>
      </c>
      <c r="C1248" s="8">
        <v>3062</v>
      </c>
      <c r="D1248" s="16">
        <v>-3.1368960000000001E-2</v>
      </c>
      <c r="E1248" s="8">
        <v>-1.5684480000000001E-2</v>
      </c>
    </row>
    <row r="1249" spans="1:5" x14ac:dyDescent="0.3">
      <c r="A1249" s="8">
        <v>50</v>
      </c>
      <c r="B1249" s="8">
        <v>23</v>
      </c>
      <c r="C1249" s="8">
        <v>3056</v>
      </c>
      <c r="D1249" s="16">
        <v>-6.8580290000000002E-2</v>
      </c>
      <c r="E1249" s="8">
        <v>-3.4290145000000001E-2</v>
      </c>
    </row>
    <row r="1250" spans="1:5" x14ac:dyDescent="0.3">
      <c r="A1250" s="8">
        <v>50</v>
      </c>
      <c r="B1250" s="8">
        <v>24</v>
      </c>
      <c r="C1250" s="8">
        <v>3086</v>
      </c>
      <c r="D1250" s="16">
        <v>-4.9950620000000001E-2</v>
      </c>
      <c r="E1250" s="8">
        <v>-2.4975310000000001E-2</v>
      </c>
    </row>
    <row r="1251" spans="1:5" x14ac:dyDescent="0.3">
      <c r="A1251" s="8">
        <v>50</v>
      </c>
      <c r="B1251" s="8">
        <v>25</v>
      </c>
      <c r="C1251" s="8">
        <v>3066</v>
      </c>
      <c r="D1251" s="16">
        <v>-1.5504220000000001E-2</v>
      </c>
      <c r="E1251" s="8">
        <v>-7.7521100000000004E-3</v>
      </c>
    </row>
    <row r="1252" spans="1:5" x14ac:dyDescent="0.3">
      <c r="A1252" s="8">
        <v>50</v>
      </c>
      <c r="B1252" s="8">
        <v>26</v>
      </c>
      <c r="C1252" s="8">
        <v>3075</v>
      </c>
      <c r="D1252" s="16">
        <v>-1.9842760000000001E-2</v>
      </c>
      <c r="E1252" s="8">
        <v>-9.9213800000000005E-3</v>
      </c>
    </row>
    <row r="1253" spans="1:5" x14ac:dyDescent="0.3">
      <c r="A1253" s="8">
        <v>50</v>
      </c>
      <c r="B1253" s="8">
        <v>27</v>
      </c>
      <c r="C1253" s="8">
        <v>3087</v>
      </c>
      <c r="D1253" s="16">
        <v>-4.1058579999999997E-2</v>
      </c>
      <c r="E1253" s="8">
        <v>-2.0529289999999999E-2</v>
      </c>
    </row>
    <row r="1254" spans="1:5" x14ac:dyDescent="0.3">
      <c r="A1254" s="8">
        <v>50</v>
      </c>
      <c r="B1254" s="8">
        <v>28</v>
      </c>
      <c r="C1254" s="8">
        <v>3052</v>
      </c>
      <c r="D1254" s="16">
        <v>2.0432760000000001E-3</v>
      </c>
      <c r="E1254" s="8">
        <v>1.0216380000000001E-3</v>
      </c>
    </row>
    <row r="1255" spans="1:5" x14ac:dyDescent="0.3">
      <c r="A1255" s="8">
        <v>50</v>
      </c>
      <c r="B1255" s="8">
        <v>29</v>
      </c>
      <c r="C1255" s="8">
        <v>3057</v>
      </c>
      <c r="D1255" s="16">
        <v>-1.8413789999999999E-2</v>
      </c>
      <c r="E1255" s="8">
        <v>-9.2068949999999997E-3</v>
      </c>
    </row>
    <row r="1256" spans="1:5" x14ac:dyDescent="0.3">
      <c r="A1256" s="8">
        <v>50</v>
      </c>
      <c r="B1256" s="8">
        <v>30</v>
      </c>
      <c r="C1256" s="8">
        <v>3065</v>
      </c>
      <c r="D1256" s="16">
        <v>-6.9272759999999996E-3</v>
      </c>
      <c r="E1256" s="8">
        <v>-3.4636379999999998E-3</v>
      </c>
    </row>
    <row r="1257" spans="1:5" x14ac:dyDescent="0.3">
      <c r="A1257" s="8">
        <v>50</v>
      </c>
      <c r="B1257" s="8">
        <v>31</v>
      </c>
      <c r="C1257" s="8">
        <v>2988</v>
      </c>
      <c r="D1257" s="16">
        <v>7.1870989999999997E-3</v>
      </c>
      <c r="E1257" s="8">
        <v>3.5935494999999999E-3</v>
      </c>
    </row>
    <row r="1258" spans="1:5" x14ac:dyDescent="0.3">
      <c r="A1258" s="8">
        <v>50</v>
      </c>
      <c r="B1258" s="8">
        <v>32</v>
      </c>
      <c r="C1258" s="8">
        <v>3056</v>
      </c>
      <c r="D1258" s="16">
        <v>-4.6364009999999997E-2</v>
      </c>
      <c r="E1258" s="8">
        <v>-2.3182004999999999E-2</v>
      </c>
    </row>
    <row r="1259" spans="1:5" x14ac:dyDescent="0.3">
      <c r="A1259" s="8">
        <v>50</v>
      </c>
      <c r="B1259" s="8">
        <v>33</v>
      </c>
      <c r="C1259" s="8">
        <v>3083</v>
      </c>
      <c r="D1259" s="16">
        <v>-8.0255010000000009E-3</v>
      </c>
      <c r="E1259" s="8">
        <v>-4.0127505000000004E-3</v>
      </c>
    </row>
    <row r="1260" spans="1:5" x14ac:dyDescent="0.3">
      <c r="A1260" s="8">
        <v>50</v>
      </c>
      <c r="B1260" s="8">
        <v>34</v>
      </c>
      <c r="C1260" s="8">
        <v>3072</v>
      </c>
      <c r="D1260" s="16">
        <v>8.2448720000000003E-3</v>
      </c>
      <c r="E1260" s="8">
        <v>4.1224360000000002E-3</v>
      </c>
    </row>
    <row r="1261" spans="1:5" x14ac:dyDescent="0.3">
      <c r="A1261" s="8">
        <v>50</v>
      </c>
      <c r="B1261" s="8">
        <v>35</v>
      </c>
      <c r="C1261" s="8">
        <v>3062</v>
      </c>
      <c r="D1261" s="16">
        <v>8.3935069999999997E-3</v>
      </c>
      <c r="E1261" s="8">
        <v>4.1967534999999999E-3</v>
      </c>
    </row>
    <row r="1262" spans="1:5" x14ac:dyDescent="0.3">
      <c r="A1262" s="8">
        <v>50</v>
      </c>
      <c r="B1262" s="8">
        <v>36</v>
      </c>
      <c r="C1262" s="8">
        <v>3071</v>
      </c>
      <c r="D1262" s="16">
        <v>5.5604749999999996E-3</v>
      </c>
      <c r="E1262" s="8">
        <v>2.7802374999999998E-3</v>
      </c>
    </row>
    <row r="1263" spans="1:5" x14ac:dyDescent="0.3">
      <c r="A1263" s="8">
        <v>50</v>
      </c>
      <c r="B1263" s="8">
        <v>37</v>
      </c>
      <c r="C1263" s="8">
        <v>3039</v>
      </c>
      <c r="D1263" s="16">
        <v>1.2043119999999999E-2</v>
      </c>
      <c r="E1263" s="8">
        <v>6.0215599999999996E-3</v>
      </c>
    </row>
    <row r="1264" spans="1:5" x14ac:dyDescent="0.3">
      <c r="A1264" s="8">
        <v>50</v>
      </c>
      <c r="B1264" s="8">
        <v>38</v>
      </c>
      <c r="C1264" s="8">
        <v>3084</v>
      </c>
      <c r="D1264" s="16">
        <v>2.5513330000000001E-2</v>
      </c>
      <c r="E1264" s="8">
        <v>1.2756665E-2</v>
      </c>
    </row>
    <row r="1265" spans="1:5" x14ac:dyDescent="0.3">
      <c r="A1265" s="8">
        <v>50</v>
      </c>
      <c r="B1265" s="8">
        <v>39</v>
      </c>
      <c r="C1265" s="8">
        <v>3076</v>
      </c>
      <c r="D1265" s="16">
        <v>-5.6181859999999998E-3</v>
      </c>
      <c r="E1265" s="8">
        <v>-2.8090929999999999E-3</v>
      </c>
    </row>
    <row r="1266" spans="1:5" x14ac:dyDescent="0.3">
      <c r="A1266" s="8">
        <v>50</v>
      </c>
      <c r="B1266" s="8">
        <v>40</v>
      </c>
      <c r="C1266" s="8">
        <v>3069</v>
      </c>
      <c r="D1266" s="16">
        <v>-8.1167310000000003E-3</v>
      </c>
      <c r="E1266" s="8">
        <v>-4.0583655000000001E-3</v>
      </c>
    </row>
    <row r="1267" spans="1:5" x14ac:dyDescent="0.3">
      <c r="A1267" s="8">
        <v>50</v>
      </c>
      <c r="B1267" s="8">
        <v>41</v>
      </c>
      <c r="C1267" s="8">
        <v>3042</v>
      </c>
      <c r="D1267" s="16">
        <v>5.8060550000000001E-3</v>
      </c>
      <c r="E1267" s="8">
        <v>2.9030275E-3</v>
      </c>
    </row>
    <row r="1268" spans="1:5" x14ac:dyDescent="0.3">
      <c r="A1268" s="8">
        <v>50</v>
      </c>
      <c r="B1268" s="8">
        <v>42</v>
      </c>
      <c r="C1268" s="8">
        <v>3034</v>
      </c>
      <c r="D1268" s="16">
        <v>-4.9574930000000003E-3</v>
      </c>
      <c r="E1268" s="8">
        <v>-2.4787465000000002E-3</v>
      </c>
    </row>
    <row r="1269" spans="1:5" x14ac:dyDescent="0.3">
      <c r="A1269" s="8">
        <v>50</v>
      </c>
      <c r="B1269" s="8">
        <v>43</v>
      </c>
      <c r="C1269" s="8">
        <v>3054</v>
      </c>
      <c r="D1269" s="16">
        <v>-5.6862870000000003E-2</v>
      </c>
      <c r="E1269" s="8">
        <v>-2.8431435000000001E-2</v>
      </c>
    </row>
    <row r="1270" spans="1:5" x14ac:dyDescent="0.3">
      <c r="A1270" s="8">
        <v>50</v>
      </c>
      <c r="B1270" s="8">
        <v>44</v>
      </c>
      <c r="C1270" s="8">
        <v>3035</v>
      </c>
      <c r="D1270" s="16">
        <v>1.9485189999999999E-3</v>
      </c>
      <c r="E1270" s="8">
        <v>9.7425949999999995E-4</v>
      </c>
    </row>
    <row r="1271" spans="1:5" x14ac:dyDescent="0.3">
      <c r="A1271" s="8">
        <v>50</v>
      </c>
      <c r="B1271" s="8">
        <v>45</v>
      </c>
      <c r="C1271" s="8">
        <v>3072</v>
      </c>
      <c r="D1271" s="16">
        <v>-2.8849320000000002E-3</v>
      </c>
      <c r="E1271" s="8">
        <v>-1.4424660000000001E-3</v>
      </c>
    </row>
    <row r="1272" spans="1:5" x14ac:dyDescent="0.3">
      <c r="A1272" s="8">
        <v>50</v>
      </c>
      <c r="B1272" s="8">
        <v>46</v>
      </c>
      <c r="C1272" s="8">
        <v>3059</v>
      </c>
      <c r="D1272" s="16">
        <v>1.5776020000000002E-2</v>
      </c>
      <c r="E1272" s="8">
        <v>7.8880100000000009E-3</v>
      </c>
    </row>
    <row r="1273" spans="1:5" x14ac:dyDescent="0.3">
      <c r="A1273" s="8">
        <v>50</v>
      </c>
      <c r="B1273" s="8">
        <v>47</v>
      </c>
      <c r="C1273" s="8">
        <v>3043</v>
      </c>
      <c r="D1273" s="16">
        <v>3.561645E-3</v>
      </c>
      <c r="E1273" s="8">
        <v>1.7808225E-3</v>
      </c>
    </row>
    <row r="1274" spans="1:5" x14ac:dyDescent="0.3">
      <c r="A1274" s="8">
        <v>50</v>
      </c>
      <c r="B1274" s="8">
        <v>48</v>
      </c>
      <c r="C1274" s="8">
        <v>3064</v>
      </c>
      <c r="D1274" s="16">
        <v>-4.0182629999999997E-2</v>
      </c>
      <c r="E1274" s="8">
        <v>-2.0091314999999998E-2</v>
      </c>
    </row>
    <row r="1275" spans="1:5" x14ac:dyDescent="0.3">
      <c r="A1275" s="8">
        <v>50</v>
      </c>
      <c r="B1275" s="8">
        <v>49</v>
      </c>
      <c r="C1275" s="8">
        <v>3036</v>
      </c>
      <c r="D1275" s="16">
        <v>-6.4714229999999998E-2</v>
      </c>
      <c r="E1275" s="8">
        <v>-3.2357114999999999E-2</v>
      </c>
    </row>
    <row r="1276" spans="1:5" x14ac:dyDescent="0.3">
      <c r="A1276" s="8">
        <v>50</v>
      </c>
      <c r="B1276" s="8">
        <v>50</v>
      </c>
      <c r="C1276" s="8">
        <v>3167</v>
      </c>
      <c r="D1276" s="16">
        <v>1.135232</v>
      </c>
      <c r="E1276" s="8"/>
    </row>
    <row r="1277" spans="1:5" x14ac:dyDescent="0.3">
      <c r="A1277" s="8">
        <v>51</v>
      </c>
      <c r="B1277" s="8">
        <v>1</v>
      </c>
      <c r="C1277" s="8">
        <v>3063</v>
      </c>
      <c r="D1277" s="16">
        <v>2.4245200000000001E-2</v>
      </c>
      <c r="E1277" s="8">
        <v>1.2122600000000001E-2</v>
      </c>
    </row>
    <row r="1278" spans="1:5" x14ac:dyDescent="0.3">
      <c r="A1278" s="8">
        <v>51</v>
      </c>
      <c r="B1278" s="8">
        <v>2</v>
      </c>
      <c r="C1278" s="8">
        <v>3036</v>
      </c>
      <c r="D1278" s="16">
        <v>4.799863E-2</v>
      </c>
      <c r="E1278" s="8">
        <v>2.3999315E-2</v>
      </c>
    </row>
    <row r="1279" spans="1:5" x14ac:dyDescent="0.3">
      <c r="A1279" s="8">
        <v>51</v>
      </c>
      <c r="B1279" s="8">
        <v>3</v>
      </c>
      <c r="C1279" s="8">
        <v>3059</v>
      </c>
      <c r="D1279" s="16">
        <v>-8.0523349999999994E-2</v>
      </c>
      <c r="E1279" s="8">
        <v>-4.0261674999999997E-2</v>
      </c>
    </row>
    <row r="1280" spans="1:5" x14ac:dyDescent="0.3">
      <c r="A1280" s="8">
        <v>51</v>
      </c>
      <c r="B1280" s="8">
        <v>4</v>
      </c>
      <c r="C1280" s="8">
        <v>3034</v>
      </c>
      <c r="D1280" s="16">
        <v>1.136214E-2</v>
      </c>
      <c r="E1280" s="8">
        <v>5.6810699999999999E-3</v>
      </c>
    </row>
    <row r="1281" spans="1:5" x14ac:dyDescent="0.3">
      <c r="A1281" s="8">
        <v>51</v>
      </c>
      <c r="B1281" s="8">
        <v>5</v>
      </c>
      <c r="C1281" s="8">
        <v>3028</v>
      </c>
      <c r="D1281" s="16">
        <v>-5.059818E-2</v>
      </c>
      <c r="E1281" s="8">
        <v>-2.529909E-2</v>
      </c>
    </row>
    <row r="1282" spans="1:5" x14ac:dyDescent="0.3">
      <c r="A1282" s="8">
        <v>51</v>
      </c>
      <c r="B1282" s="8">
        <v>6</v>
      </c>
      <c r="C1282" s="8">
        <v>3044</v>
      </c>
      <c r="D1282" s="16">
        <v>-1.201779E-2</v>
      </c>
      <c r="E1282" s="8">
        <v>-6.0088950000000002E-3</v>
      </c>
    </row>
    <row r="1283" spans="1:5" x14ac:dyDescent="0.3">
      <c r="A1283" s="8">
        <v>51</v>
      </c>
      <c r="B1283" s="8">
        <v>7</v>
      </c>
      <c r="C1283" s="8">
        <v>3040</v>
      </c>
      <c r="D1283" s="16">
        <v>-1.558734E-2</v>
      </c>
      <c r="E1283" s="8">
        <v>-7.7936699999999999E-3</v>
      </c>
    </row>
    <row r="1284" spans="1:5" x14ac:dyDescent="0.3">
      <c r="A1284" s="8">
        <v>51</v>
      </c>
      <c r="B1284" s="8">
        <v>8</v>
      </c>
      <c r="C1284" s="8">
        <v>3057</v>
      </c>
      <c r="D1284" s="16">
        <v>-1.6565529999999998E-2</v>
      </c>
      <c r="E1284" s="8">
        <v>-8.2827649999999992E-3</v>
      </c>
    </row>
    <row r="1285" spans="1:5" x14ac:dyDescent="0.3">
      <c r="A1285" s="8">
        <v>51</v>
      </c>
      <c r="B1285" s="8">
        <v>9</v>
      </c>
      <c r="C1285" s="8">
        <v>3045</v>
      </c>
      <c r="D1285" s="16">
        <v>-4.4525479999999999E-2</v>
      </c>
      <c r="E1285" s="8">
        <v>-2.226274E-2</v>
      </c>
    </row>
    <row r="1286" spans="1:5" x14ac:dyDescent="0.3">
      <c r="A1286" s="8">
        <v>51</v>
      </c>
      <c r="B1286" s="8">
        <v>10</v>
      </c>
      <c r="C1286" s="8">
        <v>3043</v>
      </c>
      <c r="D1286" s="16">
        <v>-6.7312049999999998E-2</v>
      </c>
      <c r="E1286" s="8">
        <v>-3.3656024999999999E-2</v>
      </c>
    </row>
    <row r="1287" spans="1:5" x14ac:dyDescent="0.3">
      <c r="A1287" s="8">
        <v>51</v>
      </c>
      <c r="B1287" s="8">
        <v>11</v>
      </c>
      <c r="C1287" s="8">
        <v>3036</v>
      </c>
      <c r="D1287" s="16">
        <v>-2.5598260000000001E-2</v>
      </c>
      <c r="E1287" s="8">
        <v>-1.2799130000000001E-2</v>
      </c>
    </row>
    <row r="1288" spans="1:5" x14ac:dyDescent="0.3">
      <c r="A1288" s="8">
        <v>51</v>
      </c>
      <c r="B1288" s="8">
        <v>12</v>
      </c>
      <c r="C1288" s="8">
        <v>3060</v>
      </c>
      <c r="D1288" s="16">
        <v>-5.1639110000000002E-2</v>
      </c>
      <c r="E1288" s="8">
        <v>-2.5819555000000001E-2</v>
      </c>
    </row>
    <row r="1289" spans="1:5" x14ac:dyDescent="0.3">
      <c r="A1289" s="8">
        <v>51</v>
      </c>
      <c r="B1289" s="8">
        <v>13</v>
      </c>
      <c r="C1289" s="8">
        <v>3032</v>
      </c>
      <c r="D1289" s="16">
        <v>5.8267579999999999E-2</v>
      </c>
      <c r="E1289" s="8">
        <v>2.913379E-2</v>
      </c>
    </row>
    <row r="1290" spans="1:5" x14ac:dyDescent="0.3">
      <c r="A1290" s="8">
        <v>51</v>
      </c>
      <c r="B1290" s="8">
        <v>14</v>
      </c>
      <c r="C1290" s="8">
        <v>3037</v>
      </c>
      <c r="D1290" s="16">
        <v>-2.9387170000000001E-2</v>
      </c>
      <c r="E1290" s="8">
        <v>-1.4693585E-2</v>
      </c>
    </row>
    <row r="1291" spans="1:5" x14ac:dyDescent="0.3">
      <c r="A1291" s="8">
        <v>51</v>
      </c>
      <c r="B1291" s="8">
        <v>15</v>
      </c>
      <c r="C1291" s="8">
        <v>3047</v>
      </c>
      <c r="D1291" s="16">
        <v>7.2340820000000002E-3</v>
      </c>
      <c r="E1291" s="8">
        <v>3.6170410000000001E-3</v>
      </c>
    </row>
    <row r="1292" spans="1:5" x14ac:dyDescent="0.3">
      <c r="A1292" s="8">
        <v>51</v>
      </c>
      <c r="B1292" s="8">
        <v>16</v>
      </c>
      <c r="C1292" s="8">
        <v>3047</v>
      </c>
      <c r="D1292" s="16">
        <v>-4.369058E-2</v>
      </c>
      <c r="E1292" s="8">
        <v>-2.184529E-2</v>
      </c>
    </row>
    <row r="1293" spans="1:5" x14ac:dyDescent="0.3">
      <c r="A1293" s="8">
        <v>51</v>
      </c>
      <c r="B1293" s="8">
        <v>17</v>
      </c>
      <c r="C1293" s="8">
        <v>3045</v>
      </c>
      <c r="D1293" s="16">
        <v>1.8896759999999999E-2</v>
      </c>
      <c r="E1293" s="8">
        <v>9.4483799999999993E-3</v>
      </c>
    </row>
    <row r="1294" spans="1:5" x14ac:dyDescent="0.3">
      <c r="A1294" s="8">
        <v>51</v>
      </c>
      <c r="B1294" s="8">
        <v>18</v>
      </c>
      <c r="C1294" s="8">
        <v>3062</v>
      </c>
      <c r="D1294" s="16">
        <v>-1.5089129999999999E-2</v>
      </c>
      <c r="E1294" s="8">
        <v>-7.5445649999999996E-3</v>
      </c>
    </row>
    <row r="1295" spans="1:5" x14ac:dyDescent="0.3">
      <c r="A1295" s="8">
        <v>51</v>
      </c>
      <c r="B1295" s="8">
        <v>19</v>
      </c>
      <c r="C1295" s="8">
        <v>3044</v>
      </c>
      <c r="D1295" s="16">
        <v>-7.3752050000000001E-3</v>
      </c>
      <c r="E1295" s="8">
        <v>-3.6876025000000001E-3</v>
      </c>
    </row>
    <row r="1296" spans="1:5" x14ac:dyDescent="0.3">
      <c r="A1296" s="8">
        <v>51</v>
      </c>
      <c r="B1296" s="8">
        <v>20</v>
      </c>
      <c r="C1296" s="8">
        <v>3048</v>
      </c>
      <c r="D1296" s="16">
        <v>-2.686436E-2</v>
      </c>
      <c r="E1296" s="8">
        <v>-1.343218E-2</v>
      </c>
    </row>
    <row r="1297" spans="1:5" x14ac:dyDescent="0.3">
      <c r="A1297" s="8">
        <v>51</v>
      </c>
      <c r="B1297" s="8">
        <v>21</v>
      </c>
      <c r="C1297" s="8">
        <v>3048</v>
      </c>
      <c r="D1297" s="16">
        <v>-4.9898610000000003E-2</v>
      </c>
      <c r="E1297" s="8">
        <v>-2.4949305000000001E-2</v>
      </c>
    </row>
    <row r="1298" spans="1:5" x14ac:dyDescent="0.3">
      <c r="A1298" s="8">
        <v>51</v>
      </c>
      <c r="B1298" s="8">
        <v>22</v>
      </c>
      <c r="C1298" s="8">
        <v>3040</v>
      </c>
      <c r="D1298" s="16">
        <v>3.4421359999999998E-2</v>
      </c>
      <c r="E1298" s="8">
        <v>1.7210679999999999E-2</v>
      </c>
    </row>
    <row r="1299" spans="1:5" x14ac:dyDescent="0.3">
      <c r="A1299" s="8">
        <v>51</v>
      </c>
      <c r="B1299" s="8">
        <v>23</v>
      </c>
      <c r="C1299" s="8">
        <v>3041</v>
      </c>
      <c r="D1299" s="16">
        <v>1.4731879999999999E-2</v>
      </c>
      <c r="E1299" s="8">
        <v>7.3659399999999996E-3</v>
      </c>
    </row>
    <row r="1300" spans="1:5" x14ac:dyDescent="0.3">
      <c r="A1300" s="8">
        <v>51</v>
      </c>
      <c r="B1300" s="8">
        <v>24</v>
      </c>
      <c r="C1300" s="8">
        <v>3062</v>
      </c>
      <c r="D1300" s="16">
        <v>6.0334960000000002E-3</v>
      </c>
      <c r="E1300" s="8">
        <v>3.0167480000000001E-3</v>
      </c>
    </row>
    <row r="1301" spans="1:5" x14ac:dyDescent="0.3">
      <c r="A1301" s="8">
        <v>51</v>
      </c>
      <c r="B1301" s="8">
        <v>25</v>
      </c>
      <c r="C1301" s="8">
        <v>3044</v>
      </c>
      <c r="D1301" s="16">
        <v>-1.8805260000000001E-2</v>
      </c>
      <c r="E1301" s="8">
        <v>-9.4026300000000004E-3</v>
      </c>
    </row>
    <row r="1302" spans="1:5" x14ac:dyDescent="0.3">
      <c r="A1302" s="8">
        <v>51</v>
      </c>
      <c r="B1302" s="8">
        <v>26</v>
      </c>
      <c r="C1302" s="8">
        <v>3060</v>
      </c>
      <c r="D1302" s="16">
        <v>-9.9117419999999994E-3</v>
      </c>
      <c r="E1302" s="8">
        <v>-4.9558709999999997E-3</v>
      </c>
    </row>
    <row r="1303" spans="1:5" x14ac:dyDescent="0.3">
      <c r="A1303" s="8">
        <v>51</v>
      </c>
      <c r="B1303" s="8">
        <v>27</v>
      </c>
      <c r="C1303" s="8">
        <v>3064</v>
      </c>
      <c r="D1303" s="16">
        <v>1.4026E-2</v>
      </c>
      <c r="E1303" s="8">
        <v>7.0130000000000001E-3</v>
      </c>
    </row>
    <row r="1304" spans="1:5" x14ac:dyDescent="0.3">
      <c r="A1304" s="8">
        <v>51</v>
      </c>
      <c r="B1304" s="8">
        <v>28</v>
      </c>
      <c r="C1304" s="8">
        <v>3033</v>
      </c>
      <c r="D1304" s="16">
        <v>-7.4177270000000003E-2</v>
      </c>
      <c r="E1304" s="8">
        <v>-3.7088635000000002E-2</v>
      </c>
    </row>
    <row r="1305" spans="1:5" x14ac:dyDescent="0.3">
      <c r="A1305" s="8">
        <v>51</v>
      </c>
      <c r="B1305" s="8">
        <v>29</v>
      </c>
      <c r="C1305" s="8">
        <v>3037</v>
      </c>
      <c r="D1305" s="16">
        <v>-9.4585199999999994E-2</v>
      </c>
      <c r="E1305" s="8">
        <v>-4.7292599999999997E-2</v>
      </c>
    </row>
    <row r="1306" spans="1:5" x14ac:dyDescent="0.3">
      <c r="A1306" s="8">
        <v>51</v>
      </c>
      <c r="B1306" s="8">
        <v>30</v>
      </c>
      <c r="C1306" s="8">
        <v>3046</v>
      </c>
      <c r="D1306" s="16">
        <v>3.5547410000000002E-2</v>
      </c>
      <c r="E1306" s="8">
        <v>1.7773705000000001E-2</v>
      </c>
    </row>
    <row r="1307" spans="1:5" x14ac:dyDescent="0.3">
      <c r="A1307" s="8">
        <v>51</v>
      </c>
      <c r="B1307" s="8">
        <v>31</v>
      </c>
      <c r="C1307" s="8">
        <v>2967</v>
      </c>
      <c r="D1307" s="16">
        <v>-2.0723350000000001E-2</v>
      </c>
      <c r="E1307" s="8">
        <v>-1.0361675000000001E-2</v>
      </c>
    </row>
    <row r="1308" spans="1:5" x14ac:dyDescent="0.3">
      <c r="A1308" s="8">
        <v>51</v>
      </c>
      <c r="B1308" s="8">
        <v>32</v>
      </c>
      <c r="C1308" s="8">
        <v>3030</v>
      </c>
      <c r="D1308" s="16">
        <v>-1.5879540000000001E-2</v>
      </c>
      <c r="E1308" s="8">
        <v>-7.9397700000000005E-3</v>
      </c>
    </row>
    <row r="1309" spans="1:5" x14ac:dyDescent="0.3">
      <c r="A1309" s="8">
        <v>51</v>
      </c>
      <c r="B1309" s="8">
        <v>33</v>
      </c>
      <c r="C1309" s="8">
        <v>3061</v>
      </c>
      <c r="D1309" s="16">
        <v>-7.1167900000000006E-2</v>
      </c>
      <c r="E1309" s="8">
        <v>-3.5583950000000003E-2</v>
      </c>
    </row>
    <row r="1310" spans="1:5" x14ac:dyDescent="0.3">
      <c r="A1310" s="8">
        <v>51</v>
      </c>
      <c r="B1310" s="8">
        <v>34</v>
      </c>
      <c r="C1310" s="8">
        <v>3050</v>
      </c>
      <c r="D1310" s="16">
        <v>-6.2131140000000001E-2</v>
      </c>
      <c r="E1310" s="8">
        <v>-3.1065570000000001E-2</v>
      </c>
    </row>
    <row r="1311" spans="1:5" x14ac:dyDescent="0.3">
      <c r="A1311" s="8">
        <v>51</v>
      </c>
      <c r="B1311" s="8">
        <v>35</v>
      </c>
      <c r="C1311" s="8">
        <v>3047</v>
      </c>
      <c r="D1311" s="16">
        <v>2.401344E-2</v>
      </c>
      <c r="E1311" s="8">
        <v>1.200672E-2</v>
      </c>
    </row>
    <row r="1312" spans="1:5" x14ac:dyDescent="0.3">
      <c r="A1312" s="8">
        <v>51</v>
      </c>
      <c r="B1312" s="8">
        <v>36</v>
      </c>
      <c r="C1312" s="8">
        <v>3056</v>
      </c>
      <c r="D1312" s="16">
        <v>-5.2801269999999997E-2</v>
      </c>
      <c r="E1312" s="8">
        <v>-2.6400634999999999E-2</v>
      </c>
    </row>
    <row r="1313" spans="1:5" x14ac:dyDescent="0.3">
      <c r="A1313" s="8">
        <v>51</v>
      </c>
      <c r="B1313" s="8">
        <v>37</v>
      </c>
      <c r="C1313" s="8">
        <v>3020</v>
      </c>
      <c r="D1313" s="16">
        <v>-1.8550380000000002E-2</v>
      </c>
      <c r="E1313" s="8">
        <v>-9.2751900000000009E-3</v>
      </c>
    </row>
    <row r="1314" spans="1:5" x14ac:dyDescent="0.3">
      <c r="A1314" s="8">
        <v>51</v>
      </c>
      <c r="B1314" s="8">
        <v>38</v>
      </c>
      <c r="C1314" s="8">
        <v>3066</v>
      </c>
      <c r="D1314" s="16">
        <v>-9.4374070000000001E-3</v>
      </c>
      <c r="E1314" s="8">
        <v>-4.7187035E-3</v>
      </c>
    </row>
    <row r="1315" spans="1:5" x14ac:dyDescent="0.3">
      <c r="A1315" s="8">
        <v>51</v>
      </c>
      <c r="B1315" s="8">
        <v>39</v>
      </c>
      <c r="C1315" s="8">
        <v>3056</v>
      </c>
      <c r="D1315" s="16">
        <v>1.749181E-2</v>
      </c>
      <c r="E1315" s="8">
        <v>8.745905E-3</v>
      </c>
    </row>
    <row r="1316" spans="1:5" x14ac:dyDescent="0.3">
      <c r="A1316" s="8">
        <v>51</v>
      </c>
      <c r="B1316" s="8">
        <v>40</v>
      </c>
      <c r="C1316" s="8">
        <v>3052</v>
      </c>
      <c r="D1316" s="16">
        <v>-2.3889400000000002E-2</v>
      </c>
      <c r="E1316" s="8">
        <v>-1.1944700000000001E-2</v>
      </c>
    </row>
    <row r="1317" spans="1:5" x14ac:dyDescent="0.3">
      <c r="A1317" s="8">
        <v>51</v>
      </c>
      <c r="B1317" s="8">
        <v>41</v>
      </c>
      <c r="C1317" s="8">
        <v>3027</v>
      </c>
      <c r="D1317" s="16">
        <v>-2.5991859999999999E-2</v>
      </c>
      <c r="E1317" s="8">
        <v>-1.2995929999999999E-2</v>
      </c>
    </row>
    <row r="1318" spans="1:5" x14ac:dyDescent="0.3">
      <c r="A1318" s="8">
        <v>51</v>
      </c>
      <c r="B1318" s="8">
        <v>42</v>
      </c>
      <c r="C1318" s="8">
        <v>3021</v>
      </c>
      <c r="D1318" s="16">
        <v>-1.021476E-2</v>
      </c>
      <c r="E1318" s="8">
        <v>-5.1073799999999999E-3</v>
      </c>
    </row>
    <row r="1319" spans="1:5" x14ac:dyDescent="0.3">
      <c r="A1319" s="8">
        <v>51</v>
      </c>
      <c r="B1319" s="8">
        <v>43</v>
      </c>
      <c r="C1319" s="8">
        <v>3034</v>
      </c>
      <c r="D1319" s="16">
        <v>-9.9807650000000008E-3</v>
      </c>
      <c r="E1319" s="8">
        <v>-4.9903825000000004E-3</v>
      </c>
    </row>
    <row r="1320" spans="1:5" x14ac:dyDescent="0.3">
      <c r="A1320" s="8">
        <v>51</v>
      </c>
      <c r="B1320" s="8">
        <v>44</v>
      </c>
      <c r="C1320" s="8">
        <v>3019</v>
      </c>
      <c r="D1320" s="16">
        <v>-3.3934579999999999E-2</v>
      </c>
      <c r="E1320" s="8">
        <v>-1.6967289999999999E-2</v>
      </c>
    </row>
    <row r="1321" spans="1:5" x14ac:dyDescent="0.3">
      <c r="A1321" s="8">
        <v>51</v>
      </c>
      <c r="B1321" s="8">
        <v>45</v>
      </c>
      <c r="C1321" s="8">
        <v>3050</v>
      </c>
      <c r="D1321" s="16">
        <v>5.1677349999999997E-3</v>
      </c>
      <c r="E1321" s="8">
        <v>2.5838674999999998E-3</v>
      </c>
    </row>
    <row r="1322" spans="1:5" x14ac:dyDescent="0.3">
      <c r="A1322" s="8">
        <v>51</v>
      </c>
      <c r="B1322" s="8">
        <v>46</v>
      </c>
      <c r="C1322" s="8">
        <v>3038</v>
      </c>
      <c r="D1322" s="16">
        <v>1.239993E-2</v>
      </c>
      <c r="E1322" s="8">
        <v>6.199965E-3</v>
      </c>
    </row>
    <row r="1323" spans="1:5" x14ac:dyDescent="0.3">
      <c r="A1323" s="8">
        <v>51</v>
      </c>
      <c r="B1323" s="8">
        <v>47</v>
      </c>
      <c r="C1323" s="8">
        <v>3025</v>
      </c>
      <c r="D1323" s="16">
        <v>-1.749769E-2</v>
      </c>
      <c r="E1323" s="8">
        <v>-8.7488449999999999E-3</v>
      </c>
    </row>
    <row r="1324" spans="1:5" x14ac:dyDescent="0.3">
      <c r="A1324" s="8">
        <v>51</v>
      </c>
      <c r="B1324" s="8">
        <v>48</v>
      </c>
      <c r="C1324" s="8">
        <v>3042</v>
      </c>
      <c r="D1324" s="16">
        <v>-1.1593559999999999E-2</v>
      </c>
      <c r="E1324" s="8">
        <v>-5.7967799999999996E-3</v>
      </c>
    </row>
    <row r="1325" spans="1:5" x14ac:dyDescent="0.3">
      <c r="A1325" s="8">
        <v>51</v>
      </c>
      <c r="B1325" s="8">
        <v>49</v>
      </c>
      <c r="C1325" s="8">
        <v>3019</v>
      </c>
      <c r="D1325" s="16">
        <v>4.0051169999999997E-2</v>
      </c>
      <c r="E1325" s="8">
        <v>2.0025584999999999E-2</v>
      </c>
    </row>
    <row r="1326" spans="1:5" x14ac:dyDescent="0.3">
      <c r="A1326" s="8">
        <v>51</v>
      </c>
      <c r="B1326" s="8">
        <v>50</v>
      </c>
      <c r="C1326" s="8">
        <v>3059</v>
      </c>
      <c r="D1326" s="16">
        <v>-6.0006860000000002E-2</v>
      </c>
      <c r="E1326" s="8">
        <v>-3.0003430000000001E-2</v>
      </c>
    </row>
    <row r="1327" spans="1:5" x14ac:dyDescent="0.3">
      <c r="A1327" s="8">
        <v>51</v>
      </c>
      <c r="B1327" s="8">
        <v>51</v>
      </c>
      <c r="C1327" s="8">
        <v>3146</v>
      </c>
      <c r="D1327" s="16">
        <v>1.3474219999999999</v>
      </c>
      <c r="E1327" s="8"/>
    </row>
    <row r="1328" spans="1:5" x14ac:dyDescent="0.3">
      <c r="A1328" s="8">
        <v>52</v>
      </c>
      <c r="B1328" s="8">
        <v>1</v>
      </c>
      <c r="C1328" s="8">
        <v>3066</v>
      </c>
      <c r="D1328" s="16">
        <v>5.2825230000000001E-2</v>
      </c>
      <c r="E1328" s="8">
        <v>2.6412615E-2</v>
      </c>
    </row>
    <row r="1329" spans="1:5" x14ac:dyDescent="0.3">
      <c r="A1329" s="8">
        <v>52</v>
      </c>
      <c r="B1329" s="8">
        <v>2</v>
      </c>
      <c r="C1329" s="8">
        <v>3035</v>
      </c>
      <c r="D1329" s="16">
        <v>2.3492809999999999E-3</v>
      </c>
      <c r="E1329" s="8">
        <v>1.1746405E-3</v>
      </c>
    </row>
    <row r="1330" spans="1:5" x14ac:dyDescent="0.3">
      <c r="A1330" s="8">
        <v>52</v>
      </c>
      <c r="B1330" s="8">
        <v>3</v>
      </c>
      <c r="C1330" s="8">
        <v>3065</v>
      </c>
      <c r="D1330" s="16">
        <v>1.1866989999999999E-2</v>
      </c>
      <c r="E1330" s="8">
        <v>5.9334949999999996E-3</v>
      </c>
    </row>
    <row r="1331" spans="1:5" x14ac:dyDescent="0.3">
      <c r="A1331" s="8">
        <v>52</v>
      </c>
      <c r="B1331" s="8">
        <v>4</v>
      </c>
      <c r="C1331" s="8">
        <v>3037</v>
      </c>
      <c r="D1331" s="16">
        <v>1.379712E-2</v>
      </c>
      <c r="E1331" s="8">
        <v>6.8985599999999998E-3</v>
      </c>
    </row>
    <row r="1332" spans="1:5" x14ac:dyDescent="0.3">
      <c r="A1332" s="8">
        <v>52</v>
      </c>
      <c r="B1332" s="8">
        <v>5</v>
      </c>
      <c r="C1332" s="8">
        <v>3026</v>
      </c>
      <c r="D1332" s="16">
        <v>-1.2183299999999999E-2</v>
      </c>
      <c r="E1332" s="8">
        <v>-6.0916499999999997E-3</v>
      </c>
    </row>
    <row r="1333" spans="1:5" x14ac:dyDescent="0.3">
      <c r="A1333" s="8">
        <v>52</v>
      </c>
      <c r="B1333" s="8">
        <v>6</v>
      </c>
      <c r="C1333" s="8">
        <v>3045</v>
      </c>
      <c r="D1333" s="16">
        <v>-3.8734270000000001E-2</v>
      </c>
      <c r="E1333" s="8">
        <v>-1.9367135000000001E-2</v>
      </c>
    </row>
    <row r="1334" spans="1:5" x14ac:dyDescent="0.3">
      <c r="A1334" s="8">
        <v>52</v>
      </c>
      <c r="B1334" s="8">
        <v>7</v>
      </c>
      <c r="C1334" s="8">
        <v>3040</v>
      </c>
      <c r="D1334" s="16">
        <v>5.2529920000000001E-2</v>
      </c>
      <c r="E1334" s="8">
        <v>2.626496E-2</v>
      </c>
    </row>
    <row r="1335" spans="1:5" x14ac:dyDescent="0.3">
      <c r="A1335" s="8">
        <v>52</v>
      </c>
      <c r="B1335" s="8">
        <v>8</v>
      </c>
      <c r="C1335" s="8">
        <v>3054</v>
      </c>
      <c r="D1335" s="16">
        <v>-7.3213000000000002E-3</v>
      </c>
      <c r="E1335" s="8">
        <v>-3.6606500000000001E-3</v>
      </c>
    </row>
    <row r="1336" spans="1:5" x14ac:dyDescent="0.3">
      <c r="A1336" s="8">
        <v>52</v>
      </c>
      <c r="B1336" s="8">
        <v>9</v>
      </c>
      <c r="C1336" s="8">
        <v>3046</v>
      </c>
      <c r="D1336" s="16">
        <v>-7.0156640000000006E-2</v>
      </c>
      <c r="E1336" s="8">
        <v>-3.5078320000000003E-2</v>
      </c>
    </row>
    <row r="1337" spans="1:5" x14ac:dyDescent="0.3">
      <c r="A1337" s="8">
        <v>52</v>
      </c>
      <c r="B1337" s="8">
        <v>10</v>
      </c>
      <c r="C1337" s="8">
        <v>3036</v>
      </c>
      <c r="D1337" s="16">
        <v>-5.6614020000000001E-2</v>
      </c>
      <c r="E1337" s="8">
        <v>-2.8307010000000001E-2</v>
      </c>
    </row>
    <row r="1338" spans="1:5" x14ac:dyDescent="0.3">
      <c r="A1338" s="8">
        <v>52</v>
      </c>
      <c r="B1338" s="8">
        <v>11</v>
      </c>
      <c r="C1338" s="8">
        <v>3042</v>
      </c>
      <c r="D1338" s="16">
        <v>-3.9714899999999997E-2</v>
      </c>
      <c r="E1338" s="8">
        <v>-1.9857449999999999E-2</v>
      </c>
    </row>
    <row r="1339" spans="1:5" x14ac:dyDescent="0.3">
      <c r="A1339" s="8">
        <v>52</v>
      </c>
      <c r="B1339" s="8">
        <v>12</v>
      </c>
      <c r="C1339" s="8">
        <v>3060</v>
      </c>
      <c r="D1339" s="16">
        <v>1.035443E-2</v>
      </c>
      <c r="E1339" s="8">
        <v>5.1772149999999998E-3</v>
      </c>
    </row>
    <row r="1340" spans="1:5" x14ac:dyDescent="0.3">
      <c r="A1340" s="8">
        <v>52</v>
      </c>
      <c r="B1340" s="8">
        <v>13</v>
      </c>
      <c r="C1340" s="8">
        <v>3035</v>
      </c>
      <c r="D1340" s="16">
        <v>-3.7971850000000001E-2</v>
      </c>
      <c r="E1340" s="8">
        <v>-1.8985925000000001E-2</v>
      </c>
    </row>
    <row r="1341" spans="1:5" x14ac:dyDescent="0.3">
      <c r="A1341" s="8">
        <v>52</v>
      </c>
      <c r="B1341" s="8">
        <v>14</v>
      </c>
      <c r="C1341" s="8">
        <v>3034</v>
      </c>
      <c r="D1341" s="16">
        <v>1.319527E-2</v>
      </c>
      <c r="E1341" s="8">
        <v>6.5976350000000001E-3</v>
      </c>
    </row>
    <row r="1342" spans="1:5" x14ac:dyDescent="0.3">
      <c r="A1342" s="8">
        <v>52</v>
      </c>
      <c r="B1342" s="8">
        <v>15</v>
      </c>
      <c r="C1342" s="8">
        <v>3050</v>
      </c>
      <c r="D1342" s="16">
        <v>-2.6667710000000001E-3</v>
      </c>
      <c r="E1342" s="8">
        <v>-1.3333855E-3</v>
      </c>
    </row>
    <row r="1343" spans="1:5" x14ac:dyDescent="0.3">
      <c r="A1343" s="8">
        <v>52</v>
      </c>
      <c r="B1343" s="8">
        <v>16</v>
      </c>
      <c r="C1343" s="8">
        <v>3050</v>
      </c>
      <c r="D1343" s="16">
        <v>5.7754110000000003E-3</v>
      </c>
      <c r="E1343" s="8">
        <v>2.8877055000000001E-3</v>
      </c>
    </row>
    <row r="1344" spans="1:5" x14ac:dyDescent="0.3">
      <c r="A1344" s="8">
        <v>52</v>
      </c>
      <c r="B1344" s="8">
        <v>17</v>
      </c>
      <c r="C1344" s="8">
        <v>3046</v>
      </c>
      <c r="D1344" s="16">
        <v>-8.9528980000000008E-3</v>
      </c>
      <c r="E1344" s="8">
        <v>-4.4764490000000004E-3</v>
      </c>
    </row>
    <row r="1345" spans="1:5" x14ac:dyDescent="0.3">
      <c r="A1345" s="8">
        <v>52</v>
      </c>
      <c r="B1345" s="8">
        <v>18</v>
      </c>
      <c r="C1345" s="8">
        <v>3061</v>
      </c>
      <c r="D1345" s="16">
        <v>2.06851E-3</v>
      </c>
      <c r="E1345" s="8">
        <v>1.034255E-3</v>
      </c>
    </row>
    <row r="1346" spans="1:5" x14ac:dyDescent="0.3">
      <c r="A1346" s="8">
        <v>52</v>
      </c>
      <c r="B1346" s="8">
        <v>19</v>
      </c>
      <c r="C1346" s="8">
        <v>3049</v>
      </c>
      <c r="D1346" s="16">
        <v>1.744544E-2</v>
      </c>
      <c r="E1346" s="8">
        <v>8.7227199999999998E-3</v>
      </c>
    </row>
    <row r="1347" spans="1:5" x14ac:dyDescent="0.3">
      <c r="A1347" s="8">
        <v>52</v>
      </c>
      <c r="B1347" s="8">
        <v>20</v>
      </c>
      <c r="C1347" s="8">
        <v>3053</v>
      </c>
      <c r="D1347" s="16">
        <v>-2.0134550000000001E-2</v>
      </c>
      <c r="E1347" s="8">
        <v>-1.0067275000000001E-2</v>
      </c>
    </row>
    <row r="1348" spans="1:5" x14ac:dyDescent="0.3">
      <c r="A1348" s="8">
        <v>52</v>
      </c>
      <c r="B1348" s="8">
        <v>21</v>
      </c>
      <c r="C1348" s="8">
        <v>3054</v>
      </c>
      <c r="D1348" s="16">
        <v>-2.3428270000000001E-2</v>
      </c>
      <c r="E1348" s="8">
        <v>-1.1714135000000001E-2</v>
      </c>
    </row>
    <row r="1349" spans="1:5" x14ac:dyDescent="0.3">
      <c r="A1349" s="8">
        <v>52</v>
      </c>
      <c r="B1349" s="8">
        <v>22</v>
      </c>
      <c r="C1349" s="8">
        <v>3036</v>
      </c>
      <c r="D1349" s="16">
        <v>-3.9190019999999999E-2</v>
      </c>
      <c r="E1349" s="8">
        <v>-1.959501E-2</v>
      </c>
    </row>
    <row r="1350" spans="1:5" x14ac:dyDescent="0.3">
      <c r="A1350" s="8">
        <v>52</v>
      </c>
      <c r="B1350" s="8">
        <v>23</v>
      </c>
      <c r="C1350" s="8">
        <v>3040</v>
      </c>
      <c r="D1350" s="16">
        <v>4.0936449999999999E-2</v>
      </c>
      <c r="E1350" s="8">
        <v>2.0468225E-2</v>
      </c>
    </row>
    <row r="1351" spans="1:5" x14ac:dyDescent="0.3">
      <c r="A1351" s="8">
        <v>52</v>
      </c>
      <c r="B1351" s="8">
        <v>24</v>
      </c>
      <c r="C1351" s="8">
        <v>3065</v>
      </c>
      <c r="D1351" s="16">
        <v>5.380007E-3</v>
      </c>
      <c r="E1351" s="8">
        <v>2.6900035E-3</v>
      </c>
    </row>
    <row r="1352" spans="1:5" x14ac:dyDescent="0.3">
      <c r="A1352" s="8">
        <v>52</v>
      </c>
      <c r="B1352" s="8">
        <v>25</v>
      </c>
      <c r="C1352" s="8">
        <v>3047</v>
      </c>
      <c r="D1352" s="16">
        <v>-3.9443050000000004E-3</v>
      </c>
      <c r="E1352" s="8">
        <v>-1.9721525000000002E-3</v>
      </c>
    </row>
    <row r="1353" spans="1:5" x14ac:dyDescent="0.3">
      <c r="A1353" s="8">
        <v>52</v>
      </c>
      <c r="B1353" s="8">
        <v>26</v>
      </c>
      <c r="C1353" s="8">
        <v>3061</v>
      </c>
      <c r="D1353" s="16">
        <v>-2.9658739999999999E-2</v>
      </c>
      <c r="E1353" s="8">
        <v>-1.482937E-2</v>
      </c>
    </row>
    <row r="1354" spans="1:5" x14ac:dyDescent="0.3">
      <c r="A1354" s="8">
        <v>52</v>
      </c>
      <c r="B1354" s="8">
        <v>27</v>
      </c>
      <c r="C1354" s="8">
        <v>3070</v>
      </c>
      <c r="D1354" s="16">
        <v>-2.648141E-2</v>
      </c>
      <c r="E1354" s="8">
        <v>-1.3240705E-2</v>
      </c>
    </row>
    <row r="1355" spans="1:5" x14ac:dyDescent="0.3">
      <c r="A1355" s="8">
        <v>52</v>
      </c>
      <c r="B1355" s="8">
        <v>28</v>
      </c>
      <c r="C1355" s="8">
        <v>3033</v>
      </c>
      <c r="D1355" s="16">
        <v>-1.788988E-3</v>
      </c>
      <c r="E1355" s="8">
        <v>-8.9449400000000002E-4</v>
      </c>
    </row>
    <row r="1356" spans="1:5" x14ac:dyDescent="0.3">
      <c r="A1356" s="8">
        <v>52</v>
      </c>
      <c r="B1356" s="8">
        <v>29</v>
      </c>
      <c r="C1356" s="8">
        <v>3039</v>
      </c>
      <c r="D1356" s="16">
        <v>-1.4675540000000001E-2</v>
      </c>
      <c r="E1356" s="8">
        <v>-7.3377700000000004E-3</v>
      </c>
    </row>
    <row r="1357" spans="1:5" x14ac:dyDescent="0.3">
      <c r="A1357" s="8">
        <v>52</v>
      </c>
      <c r="B1357" s="8">
        <v>30</v>
      </c>
      <c r="C1357" s="8">
        <v>3046</v>
      </c>
      <c r="D1357" s="16">
        <v>5.3411800000000001E-3</v>
      </c>
      <c r="E1357" s="8">
        <v>2.67059E-3</v>
      </c>
    </row>
    <row r="1358" spans="1:5" x14ac:dyDescent="0.3">
      <c r="A1358" s="8">
        <v>52</v>
      </c>
      <c r="B1358" s="8">
        <v>31</v>
      </c>
      <c r="C1358" s="8">
        <v>2972</v>
      </c>
      <c r="D1358" s="16">
        <v>-6.4783960000000002E-2</v>
      </c>
      <c r="E1358" s="8">
        <v>-3.2391980000000001E-2</v>
      </c>
    </row>
    <row r="1359" spans="1:5" x14ac:dyDescent="0.3">
      <c r="A1359" s="8">
        <v>52</v>
      </c>
      <c r="B1359" s="8">
        <v>32</v>
      </c>
      <c r="C1359" s="8">
        <v>3035</v>
      </c>
      <c r="D1359" s="16">
        <v>-4.8522799999999998E-2</v>
      </c>
      <c r="E1359" s="8">
        <v>-2.4261399999999999E-2</v>
      </c>
    </row>
    <row r="1360" spans="1:5" x14ac:dyDescent="0.3">
      <c r="A1360" s="8">
        <v>52</v>
      </c>
      <c r="B1360" s="8">
        <v>33</v>
      </c>
      <c r="C1360" s="8">
        <v>3063</v>
      </c>
      <c r="D1360" s="16">
        <v>5.462794E-2</v>
      </c>
      <c r="E1360" s="8">
        <v>2.731397E-2</v>
      </c>
    </row>
    <row r="1361" spans="1:5" x14ac:dyDescent="0.3">
      <c r="A1361" s="8">
        <v>52</v>
      </c>
      <c r="B1361" s="8">
        <v>34</v>
      </c>
      <c r="C1361" s="8">
        <v>3054</v>
      </c>
      <c r="D1361" s="16">
        <v>-1.8455429999999998E-2</v>
      </c>
      <c r="E1361" s="8">
        <v>-9.2277149999999992E-3</v>
      </c>
    </row>
    <row r="1362" spans="1:5" x14ac:dyDescent="0.3">
      <c r="A1362" s="8">
        <v>52</v>
      </c>
      <c r="B1362" s="8">
        <v>35</v>
      </c>
      <c r="C1362" s="8">
        <v>3048</v>
      </c>
      <c r="D1362" s="16">
        <v>-2.2780600000000002E-2</v>
      </c>
      <c r="E1362" s="8">
        <v>-1.1390300000000001E-2</v>
      </c>
    </row>
    <row r="1363" spans="1:5" x14ac:dyDescent="0.3">
      <c r="A1363" s="8">
        <v>52</v>
      </c>
      <c r="B1363" s="8">
        <v>36</v>
      </c>
      <c r="C1363" s="8">
        <v>3058</v>
      </c>
      <c r="D1363" s="16">
        <v>6.4531699999999997E-2</v>
      </c>
      <c r="E1363" s="8">
        <v>3.2265849999999999E-2</v>
      </c>
    </row>
    <row r="1364" spans="1:5" x14ac:dyDescent="0.3">
      <c r="A1364" s="8">
        <v>52</v>
      </c>
      <c r="B1364" s="8">
        <v>37</v>
      </c>
      <c r="C1364" s="8">
        <v>3020</v>
      </c>
      <c r="D1364" s="16">
        <v>-3.7335399999999998E-2</v>
      </c>
      <c r="E1364" s="8">
        <v>-1.8667699999999999E-2</v>
      </c>
    </row>
    <row r="1365" spans="1:5" x14ac:dyDescent="0.3">
      <c r="A1365" s="8">
        <v>52</v>
      </c>
      <c r="B1365" s="8">
        <v>38</v>
      </c>
      <c r="C1365" s="8">
        <v>3063</v>
      </c>
      <c r="D1365" s="16">
        <v>2.748919E-2</v>
      </c>
      <c r="E1365" s="8">
        <v>1.3744595E-2</v>
      </c>
    </row>
    <row r="1366" spans="1:5" x14ac:dyDescent="0.3">
      <c r="A1366" s="8">
        <v>52</v>
      </c>
      <c r="B1366" s="8">
        <v>39</v>
      </c>
      <c r="C1366" s="8">
        <v>3055</v>
      </c>
      <c r="D1366" s="16">
        <v>5.750865E-3</v>
      </c>
      <c r="E1366" s="8">
        <v>2.8754325E-3</v>
      </c>
    </row>
    <row r="1367" spans="1:5" x14ac:dyDescent="0.3">
      <c r="A1367" s="8">
        <v>52</v>
      </c>
      <c r="B1367" s="8">
        <v>40</v>
      </c>
      <c r="C1367" s="8">
        <v>3053</v>
      </c>
      <c r="D1367" s="16">
        <v>-2.6115320000000001E-2</v>
      </c>
      <c r="E1367" s="8">
        <v>-1.305766E-2</v>
      </c>
    </row>
    <row r="1368" spans="1:5" x14ac:dyDescent="0.3">
      <c r="A1368" s="8">
        <v>52</v>
      </c>
      <c r="B1368" s="8">
        <v>41</v>
      </c>
      <c r="C1368" s="8">
        <v>3028</v>
      </c>
      <c r="D1368" s="16">
        <v>-4.4378100000000004E-3</v>
      </c>
      <c r="E1368" s="8">
        <v>-2.2189050000000002E-3</v>
      </c>
    </row>
    <row r="1369" spans="1:5" x14ac:dyDescent="0.3">
      <c r="A1369" s="8">
        <v>52</v>
      </c>
      <c r="B1369" s="8">
        <v>42</v>
      </c>
      <c r="C1369" s="8">
        <v>3018</v>
      </c>
      <c r="D1369" s="16">
        <v>-3.5292610000000002E-2</v>
      </c>
      <c r="E1369" s="8">
        <v>-1.7646305000000001E-2</v>
      </c>
    </row>
    <row r="1370" spans="1:5" x14ac:dyDescent="0.3">
      <c r="A1370" s="8">
        <v>52</v>
      </c>
      <c r="B1370" s="8">
        <v>43</v>
      </c>
      <c r="C1370" s="8">
        <v>3039</v>
      </c>
      <c r="D1370" s="16">
        <v>-4.488379E-2</v>
      </c>
      <c r="E1370" s="8">
        <v>-2.2441895E-2</v>
      </c>
    </row>
    <row r="1371" spans="1:5" x14ac:dyDescent="0.3">
      <c r="A1371" s="8">
        <v>52</v>
      </c>
      <c r="B1371" s="8">
        <v>44</v>
      </c>
      <c r="C1371" s="8">
        <v>3022</v>
      </c>
      <c r="D1371" s="16">
        <v>-7.2192999999999993E-2</v>
      </c>
      <c r="E1371" s="8">
        <v>-3.6096499999999997E-2</v>
      </c>
    </row>
    <row r="1372" spans="1:5" x14ac:dyDescent="0.3">
      <c r="A1372" s="8">
        <v>52</v>
      </c>
      <c r="B1372" s="8">
        <v>45</v>
      </c>
      <c r="C1372" s="8">
        <v>3052</v>
      </c>
      <c r="D1372" s="16">
        <v>-5.4912469999999998E-2</v>
      </c>
      <c r="E1372" s="8">
        <v>-2.7456234999999999E-2</v>
      </c>
    </row>
    <row r="1373" spans="1:5" x14ac:dyDescent="0.3">
      <c r="A1373" s="8">
        <v>52</v>
      </c>
      <c r="B1373" s="8">
        <v>46</v>
      </c>
      <c r="C1373" s="8">
        <v>3042</v>
      </c>
      <c r="D1373" s="16">
        <v>-1.923335E-3</v>
      </c>
      <c r="E1373" s="8">
        <v>-9.6166749999999999E-4</v>
      </c>
    </row>
    <row r="1374" spans="1:5" x14ac:dyDescent="0.3">
      <c r="A1374" s="8">
        <v>52</v>
      </c>
      <c r="B1374" s="8">
        <v>47</v>
      </c>
      <c r="C1374" s="8">
        <v>3025</v>
      </c>
      <c r="D1374" s="16">
        <v>7.1527660000000007E-2</v>
      </c>
      <c r="E1374" s="8">
        <v>3.5763830000000003E-2</v>
      </c>
    </row>
    <row r="1375" spans="1:5" x14ac:dyDescent="0.3">
      <c r="A1375" s="8">
        <v>52</v>
      </c>
      <c r="B1375" s="8">
        <v>48</v>
      </c>
      <c r="C1375" s="8">
        <v>3047</v>
      </c>
      <c r="D1375" s="16">
        <v>3.9967490000000002E-4</v>
      </c>
      <c r="E1375" s="8">
        <v>1.9983745000000001E-4</v>
      </c>
    </row>
    <row r="1376" spans="1:5" x14ac:dyDescent="0.3">
      <c r="A1376" s="8">
        <v>52</v>
      </c>
      <c r="B1376" s="8">
        <v>49</v>
      </c>
      <c r="C1376" s="8">
        <v>3017</v>
      </c>
      <c r="D1376" s="16">
        <v>-8.0407329999999996E-3</v>
      </c>
      <c r="E1376" s="8">
        <v>-4.0203664999999998E-3</v>
      </c>
    </row>
    <row r="1377" spans="1:5" x14ac:dyDescent="0.3">
      <c r="A1377" s="8">
        <v>52</v>
      </c>
      <c r="B1377" s="8">
        <v>50</v>
      </c>
      <c r="C1377" s="8">
        <v>3060</v>
      </c>
      <c r="D1377" s="16">
        <v>-2.45487E-2</v>
      </c>
      <c r="E1377" s="8">
        <v>-1.227435E-2</v>
      </c>
    </row>
    <row r="1378" spans="1:5" x14ac:dyDescent="0.3">
      <c r="A1378" s="8">
        <v>52</v>
      </c>
      <c r="B1378" s="8">
        <v>51</v>
      </c>
      <c r="C1378" s="8">
        <v>3043</v>
      </c>
      <c r="D1378" s="16">
        <v>-2.5401940000000001E-2</v>
      </c>
      <c r="E1378" s="8">
        <v>-1.2700970000000001E-2</v>
      </c>
    </row>
    <row r="1379" spans="1:5" x14ac:dyDescent="0.3">
      <c r="A1379" s="8">
        <v>52</v>
      </c>
      <c r="B1379" s="8">
        <v>52</v>
      </c>
      <c r="C1379" s="8">
        <v>3148</v>
      </c>
      <c r="D1379" s="16">
        <v>1.3260810000000001</v>
      </c>
      <c r="E1379" s="8"/>
    </row>
    <row r="1380" spans="1:5" x14ac:dyDescent="0.3">
      <c r="A1380" s="8">
        <v>53</v>
      </c>
      <c r="B1380" s="8">
        <v>1</v>
      </c>
      <c r="C1380" s="8">
        <v>3065</v>
      </c>
      <c r="D1380" s="16">
        <v>-9.1724479999999997E-3</v>
      </c>
      <c r="E1380" s="8">
        <v>-4.5862239999999999E-3</v>
      </c>
    </row>
    <row r="1381" spans="1:5" x14ac:dyDescent="0.3">
      <c r="A1381" s="8">
        <v>53</v>
      </c>
      <c r="B1381" s="8">
        <v>2</v>
      </c>
      <c r="C1381" s="8">
        <v>3035</v>
      </c>
      <c r="D1381" s="16">
        <v>4.0160359999999999E-2</v>
      </c>
      <c r="E1381" s="8">
        <v>2.008018E-2</v>
      </c>
    </row>
    <row r="1382" spans="1:5" x14ac:dyDescent="0.3">
      <c r="A1382" s="8">
        <v>53</v>
      </c>
      <c r="B1382" s="8">
        <v>3</v>
      </c>
      <c r="C1382" s="8">
        <v>3060</v>
      </c>
      <c r="D1382" s="16">
        <v>-1.349474E-3</v>
      </c>
      <c r="E1382" s="8">
        <v>-6.7473700000000001E-4</v>
      </c>
    </row>
    <row r="1383" spans="1:5" x14ac:dyDescent="0.3">
      <c r="A1383" s="8">
        <v>53</v>
      </c>
      <c r="B1383" s="8">
        <v>4</v>
      </c>
      <c r="C1383" s="8">
        <v>3038</v>
      </c>
      <c r="D1383" s="16">
        <v>-4.8696240000000002E-2</v>
      </c>
      <c r="E1383" s="8">
        <v>-2.4348120000000001E-2</v>
      </c>
    </row>
    <row r="1384" spans="1:5" x14ac:dyDescent="0.3">
      <c r="A1384" s="8">
        <v>53</v>
      </c>
      <c r="B1384" s="8">
        <v>5</v>
      </c>
      <c r="C1384" s="8">
        <v>3021</v>
      </c>
      <c r="D1384" s="16">
        <v>-8.3520710000000008E-3</v>
      </c>
      <c r="E1384" s="8">
        <v>-4.1760355000000004E-3</v>
      </c>
    </row>
    <row r="1385" spans="1:5" x14ac:dyDescent="0.3">
      <c r="A1385" s="8">
        <v>53</v>
      </c>
      <c r="B1385" s="8">
        <v>6</v>
      </c>
      <c r="C1385" s="8">
        <v>3044</v>
      </c>
      <c r="D1385" s="16">
        <v>-1.6435020000000002E-2</v>
      </c>
      <c r="E1385" s="8">
        <v>-8.2175100000000008E-3</v>
      </c>
    </row>
    <row r="1386" spans="1:5" x14ac:dyDescent="0.3">
      <c r="A1386" s="8">
        <v>53</v>
      </c>
      <c r="B1386" s="8">
        <v>7</v>
      </c>
      <c r="C1386" s="8">
        <v>3038</v>
      </c>
      <c r="D1386" s="16">
        <v>2.195481E-3</v>
      </c>
      <c r="E1386" s="8">
        <v>1.0977405E-3</v>
      </c>
    </row>
    <row r="1387" spans="1:5" x14ac:dyDescent="0.3">
      <c r="A1387" s="8">
        <v>53</v>
      </c>
      <c r="B1387" s="8">
        <v>8</v>
      </c>
      <c r="C1387" s="8">
        <v>3057</v>
      </c>
      <c r="D1387" s="16">
        <v>-2.8897409999999998E-2</v>
      </c>
      <c r="E1387" s="8">
        <v>-1.4448704999999999E-2</v>
      </c>
    </row>
    <row r="1388" spans="1:5" x14ac:dyDescent="0.3">
      <c r="A1388" s="8">
        <v>53</v>
      </c>
      <c r="B1388" s="8">
        <v>9</v>
      </c>
      <c r="C1388" s="8">
        <v>3050</v>
      </c>
      <c r="D1388" s="16">
        <v>-2.6891430000000001E-2</v>
      </c>
      <c r="E1388" s="8">
        <v>-1.3445715E-2</v>
      </c>
    </row>
    <row r="1389" spans="1:5" x14ac:dyDescent="0.3">
      <c r="A1389" s="8">
        <v>53</v>
      </c>
      <c r="B1389" s="8">
        <v>10</v>
      </c>
      <c r="C1389" s="8">
        <v>3038</v>
      </c>
      <c r="D1389" s="16">
        <v>1.6133330000000001E-2</v>
      </c>
      <c r="E1389" s="8">
        <v>8.0666650000000006E-3</v>
      </c>
    </row>
    <row r="1390" spans="1:5" x14ac:dyDescent="0.3">
      <c r="A1390" s="8">
        <v>53</v>
      </c>
      <c r="B1390" s="8">
        <v>11</v>
      </c>
      <c r="C1390" s="8">
        <v>3045</v>
      </c>
      <c r="D1390" s="16">
        <v>-6.5408910000000001E-2</v>
      </c>
      <c r="E1390" s="8">
        <v>-3.2704455E-2</v>
      </c>
    </row>
    <row r="1391" spans="1:5" x14ac:dyDescent="0.3">
      <c r="A1391" s="8">
        <v>53</v>
      </c>
      <c r="B1391" s="8">
        <v>12</v>
      </c>
      <c r="C1391" s="8">
        <v>3059</v>
      </c>
      <c r="D1391" s="16">
        <v>1.791635E-3</v>
      </c>
      <c r="E1391" s="8">
        <v>8.9581749999999999E-4</v>
      </c>
    </row>
    <row r="1392" spans="1:5" x14ac:dyDescent="0.3">
      <c r="A1392" s="8">
        <v>53</v>
      </c>
      <c r="B1392" s="8">
        <v>13</v>
      </c>
      <c r="C1392" s="8">
        <v>3038</v>
      </c>
      <c r="D1392" s="16">
        <v>-2.456086E-2</v>
      </c>
      <c r="E1392" s="8">
        <v>-1.228043E-2</v>
      </c>
    </row>
    <row r="1393" spans="1:5" x14ac:dyDescent="0.3">
      <c r="A1393" s="8">
        <v>53</v>
      </c>
      <c r="B1393" s="8">
        <v>14</v>
      </c>
      <c r="C1393" s="8">
        <v>3043</v>
      </c>
      <c r="D1393" s="16">
        <v>-6.045618E-3</v>
      </c>
      <c r="E1393" s="8">
        <v>-3.022809E-3</v>
      </c>
    </row>
    <row r="1394" spans="1:5" x14ac:dyDescent="0.3">
      <c r="A1394" s="8">
        <v>53</v>
      </c>
      <c r="B1394" s="8">
        <v>15</v>
      </c>
      <c r="C1394" s="8">
        <v>3048</v>
      </c>
      <c r="D1394" s="16">
        <v>4.6122650000000003E-4</v>
      </c>
      <c r="E1394" s="8">
        <v>2.3061325000000001E-4</v>
      </c>
    </row>
    <row r="1395" spans="1:5" x14ac:dyDescent="0.3">
      <c r="A1395" s="8">
        <v>53</v>
      </c>
      <c r="B1395" s="8">
        <v>16</v>
      </c>
      <c r="C1395" s="8">
        <v>3047</v>
      </c>
      <c r="D1395" s="16">
        <v>-3.0054549999999999E-2</v>
      </c>
      <c r="E1395" s="8">
        <v>-1.5027275E-2</v>
      </c>
    </row>
    <row r="1396" spans="1:5" x14ac:dyDescent="0.3">
      <c r="A1396" s="8">
        <v>53</v>
      </c>
      <c r="B1396" s="8">
        <v>17</v>
      </c>
      <c r="C1396" s="8">
        <v>3045</v>
      </c>
      <c r="D1396" s="16">
        <v>-2.848736E-2</v>
      </c>
      <c r="E1396" s="8">
        <v>-1.424368E-2</v>
      </c>
    </row>
    <row r="1397" spans="1:5" x14ac:dyDescent="0.3">
      <c r="A1397" s="8">
        <v>53</v>
      </c>
      <c r="B1397" s="8">
        <v>18</v>
      </c>
      <c r="C1397" s="8">
        <v>3063</v>
      </c>
      <c r="D1397" s="16">
        <v>-8.9263239999999994E-3</v>
      </c>
      <c r="E1397" s="8">
        <v>-4.4631619999999997E-3</v>
      </c>
    </row>
    <row r="1398" spans="1:5" x14ac:dyDescent="0.3">
      <c r="A1398" s="8">
        <v>53</v>
      </c>
      <c r="B1398" s="8">
        <v>19</v>
      </c>
      <c r="C1398" s="8">
        <v>3050</v>
      </c>
      <c r="D1398" s="16">
        <v>-3.9030719999999998E-2</v>
      </c>
      <c r="E1398" s="8">
        <v>-1.9515359999999999E-2</v>
      </c>
    </row>
    <row r="1399" spans="1:5" x14ac:dyDescent="0.3">
      <c r="A1399" s="8">
        <v>53</v>
      </c>
      <c r="B1399" s="8">
        <v>20</v>
      </c>
      <c r="C1399" s="8">
        <v>3049</v>
      </c>
      <c r="D1399" s="16">
        <v>-3.466172E-2</v>
      </c>
      <c r="E1399" s="8">
        <v>-1.733086E-2</v>
      </c>
    </row>
    <row r="1400" spans="1:5" x14ac:dyDescent="0.3">
      <c r="A1400" s="8">
        <v>53</v>
      </c>
      <c r="B1400" s="8">
        <v>21</v>
      </c>
      <c r="C1400" s="8">
        <v>3054</v>
      </c>
      <c r="D1400" s="16">
        <v>-2.5924659999999999E-3</v>
      </c>
      <c r="E1400" s="8">
        <v>-1.2962329999999999E-3</v>
      </c>
    </row>
    <row r="1401" spans="1:5" x14ac:dyDescent="0.3">
      <c r="A1401" s="8">
        <v>53</v>
      </c>
      <c r="B1401" s="8">
        <v>22</v>
      </c>
      <c r="C1401" s="8">
        <v>3037</v>
      </c>
      <c r="D1401" s="16">
        <v>-3.6501079999999998E-2</v>
      </c>
      <c r="E1401" s="8">
        <v>-1.8250539999999999E-2</v>
      </c>
    </row>
    <row r="1402" spans="1:5" x14ac:dyDescent="0.3">
      <c r="A1402" s="8">
        <v>53</v>
      </c>
      <c r="B1402" s="8">
        <v>23</v>
      </c>
      <c r="C1402" s="8">
        <v>3037</v>
      </c>
      <c r="D1402" s="16">
        <v>-3.990465E-2</v>
      </c>
      <c r="E1402" s="8">
        <v>-1.9952325E-2</v>
      </c>
    </row>
    <row r="1403" spans="1:5" x14ac:dyDescent="0.3">
      <c r="A1403" s="8">
        <v>53</v>
      </c>
      <c r="B1403" s="8">
        <v>24</v>
      </c>
      <c r="C1403" s="8">
        <v>3071</v>
      </c>
      <c r="D1403" s="16">
        <v>-1.8314540000000001E-2</v>
      </c>
      <c r="E1403" s="8">
        <v>-9.1572700000000003E-3</v>
      </c>
    </row>
    <row r="1404" spans="1:5" x14ac:dyDescent="0.3">
      <c r="A1404" s="8">
        <v>53</v>
      </c>
      <c r="B1404" s="8">
        <v>25</v>
      </c>
      <c r="C1404" s="8">
        <v>3046</v>
      </c>
      <c r="D1404" s="16">
        <v>-2.8182519999999999E-2</v>
      </c>
      <c r="E1404" s="8">
        <v>-1.409126E-2</v>
      </c>
    </row>
    <row r="1405" spans="1:5" x14ac:dyDescent="0.3">
      <c r="A1405" s="8">
        <v>53</v>
      </c>
      <c r="B1405" s="8">
        <v>26</v>
      </c>
      <c r="C1405" s="8">
        <v>3054</v>
      </c>
      <c r="D1405" s="16">
        <v>6.6605170000000005E-2</v>
      </c>
      <c r="E1405" s="8">
        <v>3.3302585000000003E-2</v>
      </c>
    </row>
    <row r="1406" spans="1:5" x14ac:dyDescent="0.3">
      <c r="A1406" s="8">
        <v>53</v>
      </c>
      <c r="B1406" s="8">
        <v>27</v>
      </c>
      <c r="C1406" s="8">
        <v>3073</v>
      </c>
      <c r="D1406" s="16">
        <v>-3.8761829999999997E-2</v>
      </c>
      <c r="E1406" s="8">
        <v>-1.9380914999999999E-2</v>
      </c>
    </row>
    <row r="1407" spans="1:5" x14ac:dyDescent="0.3">
      <c r="A1407" s="8">
        <v>53</v>
      </c>
      <c r="B1407" s="8">
        <v>28</v>
      </c>
      <c r="C1407" s="8">
        <v>3033</v>
      </c>
      <c r="D1407" s="16">
        <v>4.3371699999999999E-2</v>
      </c>
      <c r="E1407" s="8">
        <v>2.168585E-2</v>
      </c>
    </row>
    <row r="1408" spans="1:5" x14ac:dyDescent="0.3">
      <c r="A1408" s="8">
        <v>53</v>
      </c>
      <c r="B1408" s="8">
        <v>29</v>
      </c>
      <c r="C1408" s="8">
        <v>3039</v>
      </c>
      <c r="D1408" s="16">
        <v>-3.046306E-2</v>
      </c>
      <c r="E1408" s="8">
        <v>-1.523153E-2</v>
      </c>
    </row>
    <row r="1409" spans="1:5" x14ac:dyDescent="0.3">
      <c r="A1409" s="8">
        <v>53</v>
      </c>
      <c r="B1409" s="8">
        <v>30</v>
      </c>
      <c r="C1409" s="8">
        <v>3050</v>
      </c>
      <c r="D1409" s="16">
        <v>-5.0773820000000001E-3</v>
      </c>
      <c r="E1409" s="8">
        <v>-2.538691E-3</v>
      </c>
    </row>
    <row r="1410" spans="1:5" x14ac:dyDescent="0.3">
      <c r="A1410" s="8">
        <v>53</v>
      </c>
      <c r="B1410" s="8">
        <v>31</v>
      </c>
      <c r="C1410" s="8">
        <v>2971</v>
      </c>
      <c r="D1410" s="16">
        <v>1.3781379999999999E-2</v>
      </c>
      <c r="E1410" s="8">
        <v>6.8906899999999997E-3</v>
      </c>
    </row>
    <row r="1411" spans="1:5" x14ac:dyDescent="0.3">
      <c r="A1411" s="8">
        <v>53</v>
      </c>
      <c r="B1411" s="8">
        <v>32</v>
      </c>
      <c r="C1411" s="8">
        <v>3033</v>
      </c>
      <c r="D1411" s="16">
        <v>-2.8976269999999998E-3</v>
      </c>
      <c r="E1411" s="8">
        <v>-1.4488134999999999E-3</v>
      </c>
    </row>
    <row r="1412" spans="1:5" x14ac:dyDescent="0.3">
      <c r="A1412" s="8">
        <v>53</v>
      </c>
      <c r="B1412" s="8">
        <v>33</v>
      </c>
      <c r="C1412" s="8">
        <v>3061</v>
      </c>
      <c r="D1412" s="16">
        <v>-7.2022710000000004E-2</v>
      </c>
      <c r="E1412" s="8">
        <v>-3.6011355000000002E-2</v>
      </c>
    </row>
    <row r="1413" spans="1:5" x14ac:dyDescent="0.3">
      <c r="A1413" s="8">
        <v>53</v>
      </c>
      <c r="B1413" s="8">
        <v>34</v>
      </c>
      <c r="C1413" s="8">
        <v>3050</v>
      </c>
      <c r="D1413" s="16">
        <v>-5.3710330000000001E-2</v>
      </c>
      <c r="E1413" s="8">
        <v>-2.6855165E-2</v>
      </c>
    </row>
    <row r="1414" spans="1:5" x14ac:dyDescent="0.3">
      <c r="A1414" s="8">
        <v>53</v>
      </c>
      <c r="B1414" s="8">
        <v>35</v>
      </c>
      <c r="C1414" s="8">
        <v>3052</v>
      </c>
      <c r="D1414" s="16">
        <v>-1.307469E-2</v>
      </c>
      <c r="E1414" s="8">
        <v>-6.537345E-3</v>
      </c>
    </row>
    <row r="1415" spans="1:5" x14ac:dyDescent="0.3">
      <c r="A1415" s="8">
        <v>53</v>
      </c>
      <c r="B1415" s="8">
        <v>36</v>
      </c>
      <c r="C1415" s="8">
        <v>3058</v>
      </c>
      <c r="D1415" s="16">
        <v>-1.1147020000000001E-2</v>
      </c>
      <c r="E1415" s="8">
        <v>-5.5735100000000003E-3</v>
      </c>
    </row>
    <row r="1416" spans="1:5" x14ac:dyDescent="0.3">
      <c r="A1416" s="8">
        <v>53</v>
      </c>
      <c r="B1416" s="8">
        <v>37</v>
      </c>
      <c r="C1416" s="8">
        <v>3020</v>
      </c>
      <c r="D1416" s="16">
        <v>6.5219309999999999E-3</v>
      </c>
      <c r="E1416" s="8">
        <v>3.2609655E-3</v>
      </c>
    </row>
    <row r="1417" spans="1:5" x14ac:dyDescent="0.3">
      <c r="A1417" s="8">
        <v>53</v>
      </c>
      <c r="B1417" s="8">
        <v>38</v>
      </c>
      <c r="C1417" s="8">
        <v>3066</v>
      </c>
      <c r="D1417" s="16">
        <v>-4.0655129999999998E-2</v>
      </c>
      <c r="E1417" s="8">
        <v>-2.0327564999999999E-2</v>
      </c>
    </row>
    <row r="1418" spans="1:5" x14ac:dyDescent="0.3">
      <c r="A1418" s="8">
        <v>53</v>
      </c>
      <c r="B1418" s="8">
        <v>39</v>
      </c>
      <c r="C1418" s="8">
        <v>3059</v>
      </c>
      <c r="D1418" s="16">
        <v>4.4433569999999999E-2</v>
      </c>
      <c r="E1418" s="8">
        <v>2.2216784999999999E-2</v>
      </c>
    </row>
    <row r="1419" spans="1:5" x14ac:dyDescent="0.3">
      <c r="A1419" s="8">
        <v>53</v>
      </c>
      <c r="B1419" s="8">
        <v>40</v>
      </c>
      <c r="C1419" s="8">
        <v>3053</v>
      </c>
      <c r="D1419" s="16">
        <v>-2.6304689999999999E-2</v>
      </c>
      <c r="E1419" s="8">
        <v>-1.3152344999999999E-2</v>
      </c>
    </row>
    <row r="1420" spans="1:5" x14ac:dyDescent="0.3">
      <c r="A1420" s="8">
        <v>53</v>
      </c>
      <c r="B1420" s="8">
        <v>41</v>
      </c>
      <c r="C1420" s="8">
        <v>3025</v>
      </c>
      <c r="D1420" s="16">
        <v>-2.5481470000000002E-3</v>
      </c>
      <c r="E1420" s="8">
        <v>-1.2740735000000001E-3</v>
      </c>
    </row>
    <row r="1421" spans="1:5" x14ac:dyDescent="0.3">
      <c r="A1421" s="8">
        <v>53</v>
      </c>
      <c r="B1421" s="8">
        <v>42</v>
      </c>
      <c r="C1421" s="8">
        <v>3019</v>
      </c>
      <c r="D1421" s="16">
        <v>-6.5496759999999999E-4</v>
      </c>
      <c r="E1421" s="8">
        <v>-3.274838E-4</v>
      </c>
    </row>
    <row r="1422" spans="1:5" x14ac:dyDescent="0.3">
      <c r="A1422" s="8">
        <v>53</v>
      </c>
      <c r="B1422" s="8">
        <v>43</v>
      </c>
      <c r="C1422" s="8">
        <v>3040</v>
      </c>
      <c r="D1422" s="16">
        <v>-2.6421130000000001E-2</v>
      </c>
      <c r="E1422" s="8">
        <v>-1.3210565000000001E-2</v>
      </c>
    </row>
    <row r="1423" spans="1:5" x14ac:dyDescent="0.3">
      <c r="A1423" s="8">
        <v>53</v>
      </c>
      <c r="B1423" s="8">
        <v>44</v>
      </c>
      <c r="C1423" s="8">
        <v>3023</v>
      </c>
      <c r="D1423" s="16">
        <v>9.0145820000000002E-3</v>
      </c>
      <c r="E1423" s="8">
        <v>4.5072910000000001E-3</v>
      </c>
    </row>
    <row r="1424" spans="1:5" x14ac:dyDescent="0.3">
      <c r="A1424" s="8">
        <v>53</v>
      </c>
      <c r="B1424" s="8">
        <v>45</v>
      </c>
      <c r="C1424" s="8">
        <v>3053</v>
      </c>
      <c r="D1424" s="16">
        <v>1.9963669999999999E-2</v>
      </c>
      <c r="E1424" s="8">
        <v>9.9818349999999997E-3</v>
      </c>
    </row>
    <row r="1425" spans="1:5" x14ac:dyDescent="0.3">
      <c r="A1425" s="8">
        <v>53</v>
      </c>
      <c r="B1425" s="8">
        <v>46</v>
      </c>
      <c r="C1425" s="8">
        <v>3046</v>
      </c>
      <c r="D1425" s="16">
        <v>-4.2540299999999998E-3</v>
      </c>
      <c r="E1425" s="8">
        <v>-2.1270149999999999E-3</v>
      </c>
    </row>
    <row r="1426" spans="1:5" x14ac:dyDescent="0.3">
      <c r="A1426" s="8">
        <v>53</v>
      </c>
      <c r="B1426" s="8">
        <v>47</v>
      </c>
      <c r="C1426" s="8">
        <v>3022</v>
      </c>
      <c r="D1426" s="16">
        <v>-3.426212E-2</v>
      </c>
      <c r="E1426" s="8">
        <v>-1.713106E-2</v>
      </c>
    </row>
    <row r="1427" spans="1:5" x14ac:dyDescent="0.3">
      <c r="A1427" s="8">
        <v>53</v>
      </c>
      <c r="B1427" s="8">
        <v>48</v>
      </c>
      <c r="C1427" s="8">
        <v>3046</v>
      </c>
      <c r="D1427" s="16">
        <v>-4.478153E-2</v>
      </c>
      <c r="E1427" s="8">
        <v>-2.2390765E-2</v>
      </c>
    </row>
    <row r="1428" spans="1:5" x14ac:dyDescent="0.3">
      <c r="A1428" s="8">
        <v>53</v>
      </c>
      <c r="B1428" s="8">
        <v>49</v>
      </c>
      <c r="C1428" s="8">
        <v>3019</v>
      </c>
      <c r="D1428" s="16">
        <v>-3.6025359999999999E-2</v>
      </c>
      <c r="E1428" s="8">
        <v>-1.801268E-2</v>
      </c>
    </row>
    <row r="1429" spans="1:5" x14ac:dyDescent="0.3">
      <c r="A1429" s="8">
        <v>53</v>
      </c>
      <c r="B1429" s="8">
        <v>50</v>
      </c>
      <c r="C1429" s="8">
        <v>3063</v>
      </c>
      <c r="D1429" s="16">
        <v>-6.9453819999999999E-3</v>
      </c>
      <c r="E1429" s="8">
        <v>-3.472691E-3</v>
      </c>
    </row>
    <row r="1430" spans="1:5" x14ac:dyDescent="0.3">
      <c r="A1430" s="8">
        <v>53</v>
      </c>
      <c r="B1430" s="8">
        <v>51</v>
      </c>
      <c r="C1430" s="8">
        <v>3041</v>
      </c>
      <c r="D1430" s="16">
        <v>4.4189319999999997E-2</v>
      </c>
      <c r="E1430" s="8">
        <v>2.2094659999999999E-2</v>
      </c>
    </row>
    <row r="1431" spans="1:5" x14ac:dyDescent="0.3">
      <c r="A1431" s="8">
        <v>53</v>
      </c>
      <c r="B1431" s="8">
        <v>52</v>
      </c>
      <c r="C1431" s="8">
        <v>3045</v>
      </c>
      <c r="D1431" s="16">
        <v>-1.429135E-2</v>
      </c>
      <c r="E1431" s="8">
        <v>-7.1456749999999998E-3</v>
      </c>
    </row>
    <row r="1432" spans="1:5" x14ac:dyDescent="0.3">
      <c r="A1432" s="8">
        <v>53</v>
      </c>
      <c r="B1432" s="8">
        <v>53</v>
      </c>
      <c r="C1432" s="8">
        <v>3147</v>
      </c>
      <c r="D1432" s="16">
        <v>1.265452</v>
      </c>
      <c r="E1432" s="8"/>
    </row>
    <row r="1433" spans="1:5" x14ac:dyDescent="0.3">
      <c r="A1433" s="8">
        <v>54</v>
      </c>
      <c r="B1433" s="8">
        <v>1</v>
      </c>
      <c r="C1433" s="8">
        <v>3053</v>
      </c>
      <c r="D1433" s="16">
        <v>1.2656119999999999E-3</v>
      </c>
      <c r="E1433" s="8">
        <v>6.3280599999999997E-4</v>
      </c>
    </row>
    <row r="1434" spans="1:5" x14ac:dyDescent="0.3">
      <c r="A1434" s="8">
        <v>54</v>
      </c>
      <c r="B1434" s="8">
        <v>2</v>
      </c>
      <c r="C1434" s="8">
        <v>3024</v>
      </c>
      <c r="D1434" s="16">
        <v>4.1675209999999998E-4</v>
      </c>
      <c r="E1434" s="8">
        <v>2.0837604999999999E-4</v>
      </c>
    </row>
    <row r="1435" spans="1:5" x14ac:dyDescent="0.3">
      <c r="A1435" s="8">
        <v>54</v>
      </c>
      <c r="B1435" s="8">
        <v>3</v>
      </c>
      <c r="C1435" s="8">
        <v>3046</v>
      </c>
      <c r="D1435" s="16">
        <v>-5.8062889999999999E-2</v>
      </c>
      <c r="E1435" s="8">
        <v>-2.9031444999999999E-2</v>
      </c>
    </row>
    <row r="1436" spans="1:5" x14ac:dyDescent="0.3">
      <c r="A1436" s="8">
        <v>54</v>
      </c>
      <c r="B1436" s="8">
        <v>4</v>
      </c>
      <c r="C1436" s="8">
        <v>3027</v>
      </c>
      <c r="D1436" s="16">
        <v>2.423631E-2</v>
      </c>
      <c r="E1436" s="8">
        <v>1.2118155E-2</v>
      </c>
    </row>
    <row r="1437" spans="1:5" x14ac:dyDescent="0.3">
      <c r="A1437" s="8">
        <v>54</v>
      </c>
      <c r="B1437" s="8">
        <v>5</v>
      </c>
      <c r="C1437" s="8">
        <v>3012</v>
      </c>
      <c r="D1437" s="16">
        <v>-2.9056309999999998E-2</v>
      </c>
      <c r="E1437" s="8">
        <v>-1.4528154999999999E-2</v>
      </c>
    </row>
    <row r="1438" spans="1:5" x14ac:dyDescent="0.3">
      <c r="A1438" s="8">
        <v>54</v>
      </c>
      <c r="B1438" s="8">
        <v>6</v>
      </c>
      <c r="C1438" s="8">
        <v>3034</v>
      </c>
      <c r="D1438" s="16">
        <v>-5.1003470000000002E-2</v>
      </c>
      <c r="E1438" s="8">
        <v>-2.5501735000000001E-2</v>
      </c>
    </row>
    <row r="1439" spans="1:5" x14ac:dyDescent="0.3">
      <c r="A1439" s="8">
        <v>54</v>
      </c>
      <c r="B1439" s="8">
        <v>7</v>
      </c>
      <c r="C1439" s="8">
        <v>3029</v>
      </c>
      <c r="D1439" s="16">
        <v>4.695415E-2</v>
      </c>
      <c r="E1439" s="8">
        <v>2.3477075E-2</v>
      </c>
    </row>
    <row r="1440" spans="1:5" x14ac:dyDescent="0.3">
      <c r="A1440" s="8">
        <v>54</v>
      </c>
      <c r="B1440" s="8">
        <v>8</v>
      </c>
      <c r="C1440" s="8">
        <v>3044</v>
      </c>
      <c r="D1440" s="16">
        <v>2.8349320000000001E-2</v>
      </c>
      <c r="E1440" s="8">
        <v>1.417466E-2</v>
      </c>
    </row>
    <row r="1441" spans="1:5" x14ac:dyDescent="0.3">
      <c r="A1441" s="8">
        <v>54</v>
      </c>
      <c r="B1441" s="8">
        <v>9</v>
      </c>
      <c r="C1441" s="8">
        <v>3038</v>
      </c>
      <c r="D1441" s="16">
        <v>-7.9820139999999998E-2</v>
      </c>
      <c r="E1441" s="8">
        <v>-3.9910069999999999E-2</v>
      </c>
    </row>
    <row r="1442" spans="1:5" x14ac:dyDescent="0.3">
      <c r="A1442" s="8">
        <v>54</v>
      </c>
      <c r="B1442" s="8">
        <v>10</v>
      </c>
      <c r="C1442" s="8">
        <v>3029</v>
      </c>
      <c r="D1442" s="16">
        <v>-8.6832019999999996E-2</v>
      </c>
      <c r="E1442" s="8">
        <v>-4.3416009999999998E-2</v>
      </c>
    </row>
    <row r="1443" spans="1:5" x14ac:dyDescent="0.3">
      <c r="A1443" s="8">
        <v>54</v>
      </c>
      <c r="B1443" s="8">
        <v>11</v>
      </c>
      <c r="C1443" s="8">
        <v>3034</v>
      </c>
      <c r="D1443" s="16">
        <v>-3.027128E-3</v>
      </c>
      <c r="E1443" s="8">
        <v>-1.513564E-3</v>
      </c>
    </row>
    <row r="1444" spans="1:5" x14ac:dyDescent="0.3">
      <c r="A1444" s="8">
        <v>54</v>
      </c>
      <c r="B1444" s="8">
        <v>12</v>
      </c>
      <c r="C1444" s="8">
        <v>3048</v>
      </c>
      <c r="D1444" s="16">
        <v>-3.5758400000000003E-2</v>
      </c>
      <c r="E1444" s="8">
        <v>-1.7879200000000001E-2</v>
      </c>
    </row>
    <row r="1445" spans="1:5" x14ac:dyDescent="0.3">
      <c r="A1445" s="8">
        <v>54</v>
      </c>
      <c r="B1445" s="8">
        <v>13</v>
      </c>
      <c r="C1445" s="8">
        <v>3032</v>
      </c>
      <c r="D1445" s="16">
        <v>-6.8282400000000002E-3</v>
      </c>
      <c r="E1445" s="8">
        <v>-3.4141200000000001E-3</v>
      </c>
    </row>
    <row r="1446" spans="1:5" x14ac:dyDescent="0.3">
      <c r="A1446" s="8">
        <v>54</v>
      </c>
      <c r="B1446" s="8">
        <v>14</v>
      </c>
      <c r="C1446" s="8">
        <v>3025</v>
      </c>
      <c r="D1446" s="16">
        <v>-1.6576919999999998E-2</v>
      </c>
      <c r="E1446" s="8">
        <v>-8.2884599999999992E-3</v>
      </c>
    </row>
    <row r="1447" spans="1:5" x14ac:dyDescent="0.3">
      <c r="A1447" s="8">
        <v>54</v>
      </c>
      <c r="B1447" s="8">
        <v>15</v>
      </c>
      <c r="C1447" s="8">
        <v>3036</v>
      </c>
      <c r="D1447" s="16">
        <v>-6.5769620000000001E-2</v>
      </c>
      <c r="E1447" s="8">
        <v>-3.288481E-2</v>
      </c>
    </row>
    <row r="1448" spans="1:5" x14ac:dyDescent="0.3">
      <c r="A1448" s="8">
        <v>54</v>
      </c>
      <c r="B1448" s="8">
        <v>16</v>
      </c>
      <c r="C1448" s="8">
        <v>3038</v>
      </c>
      <c r="D1448" s="16">
        <v>-1.0200030000000001E-4</v>
      </c>
      <c r="E1448" s="8">
        <v>-5.1000150000000003E-5</v>
      </c>
    </row>
    <row r="1449" spans="1:5" x14ac:dyDescent="0.3">
      <c r="A1449" s="8">
        <v>54</v>
      </c>
      <c r="B1449" s="8">
        <v>17</v>
      </c>
      <c r="C1449" s="8">
        <v>3033</v>
      </c>
      <c r="D1449" s="16">
        <v>-2.1242380000000002E-2</v>
      </c>
      <c r="E1449" s="8">
        <v>-1.0621190000000001E-2</v>
      </c>
    </row>
    <row r="1450" spans="1:5" x14ac:dyDescent="0.3">
      <c r="A1450" s="8">
        <v>54</v>
      </c>
      <c r="B1450" s="8">
        <v>18</v>
      </c>
      <c r="C1450" s="8">
        <v>3057</v>
      </c>
      <c r="D1450" s="16">
        <v>-9.5942089999999994E-2</v>
      </c>
      <c r="E1450" s="8">
        <v>-4.7971044999999997E-2</v>
      </c>
    </row>
    <row r="1451" spans="1:5" x14ac:dyDescent="0.3">
      <c r="A1451" s="8">
        <v>54</v>
      </c>
      <c r="B1451" s="8">
        <v>19</v>
      </c>
      <c r="C1451" s="8">
        <v>3031</v>
      </c>
      <c r="D1451" s="16">
        <v>1.182622E-2</v>
      </c>
      <c r="E1451" s="8">
        <v>5.9131100000000001E-3</v>
      </c>
    </row>
    <row r="1452" spans="1:5" x14ac:dyDescent="0.3">
      <c r="A1452" s="8">
        <v>54</v>
      </c>
      <c r="B1452" s="8">
        <v>20</v>
      </c>
      <c r="C1452" s="8">
        <v>3041</v>
      </c>
      <c r="D1452" s="16">
        <v>-2.6419740000000001E-2</v>
      </c>
      <c r="E1452" s="8">
        <v>-1.320987E-2</v>
      </c>
    </row>
    <row r="1453" spans="1:5" x14ac:dyDescent="0.3">
      <c r="A1453" s="8">
        <v>54</v>
      </c>
      <c r="B1453" s="8">
        <v>21</v>
      </c>
      <c r="C1453" s="8">
        <v>3045</v>
      </c>
      <c r="D1453" s="16">
        <v>-4.2928290000000001E-2</v>
      </c>
      <c r="E1453" s="8">
        <v>-2.1464145E-2</v>
      </c>
    </row>
    <row r="1454" spans="1:5" x14ac:dyDescent="0.3">
      <c r="A1454" s="8">
        <v>54</v>
      </c>
      <c r="B1454" s="8">
        <v>22</v>
      </c>
      <c r="C1454" s="8">
        <v>3032</v>
      </c>
      <c r="D1454" s="16">
        <v>-1.6334230000000002E-2</v>
      </c>
      <c r="E1454" s="8">
        <v>-8.1671150000000008E-3</v>
      </c>
    </row>
    <row r="1455" spans="1:5" x14ac:dyDescent="0.3">
      <c r="A1455" s="8">
        <v>54</v>
      </c>
      <c r="B1455" s="8">
        <v>23</v>
      </c>
      <c r="C1455" s="8">
        <v>3025</v>
      </c>
      <c r="D1455" s="16">
        <v>-2.21476E-2</v>
      </c>
      <c r="E1455" s="8">
        <v>-1.10738E-2</v>
      </c>
    </row>
    <row r="1456" spans="1:5" x14ac:dyDescent="0.3">
      <c r="A1456" s="8">
        <v>54</v>
      </c>
      <c r="B1456" s="8">
        <v>24</v>
      </c>
      <c r="C1456" s="8">
        <v>3060</v>
      </c>
      <c r="D1456" s="16">
        <v>2.0080649999999999E-2</v>
      </c>
      <c r="E1456" s="8">
        <v>1.0040324999999999E-2</v>
      </c>
    </row>
    <row r="1457" spans="1:5" x14ac:dyDescent="0.3">
      <c r="A1457" s="8">
        <v>54</v>
      </c>
      <c r="B1457" s="8">
        <v>25</v>
      </c>
      <c r="C1457" s="8">
        <v>3035</v>
      </c>
      <c r="D1457" s="16">
        <v>-4.8873079999999999E-3</v>
      </c>
      <c r="E1457" s="8">
        <v>-2.443654E-3</v>
      </c>
    </row>
    <row r="1458" spans="1:5" x14ac:dyDescent="0.3">
      <c r="A1458" s="8">
        <v>54</v>
      </c>
      <c r="B1458" s="8">
        <v>26</v>
      </c>
      <c r="C1458" s="8">
        <v>3048</v>
      </c>
      <c r="D1458" s="16">
        <v>-1.7000939999999999E-2</v>
      </c>
      <c r="E1458" s="8">
        <v>-8.5004699999999996E-3</v>
      </c>
    </row>
    <row r="1459" spans="1:5" x14ac:dyDescent="0.3">
      <c r="A1459" s="8">
        <v>54</v>
      </c>
      <c r="B1459" s="8">
        <v>27</v>
      </c>
      <c r="C1459" s="8">
        <v>3054</v>
      </c>
      <c r="D1459" s="16">
        <v>-3.1270529999999998E-2</v>
      </c>
      <c r="E1459" s="8">
        <v>-1.5635264999999999E-2</v>
      </c>
    </row>
    <row r="1460" spans="1:5" x14ac:dyDescent="0.3">
      <c r="A1460" s="8">
        <v>54</v>
      </c>
      <c r="B1460" s="8">
        <v>28</v>
      </c>
      <c r="C1460" s="8">
        <v>3027</v>
      </c>
      <c r="D1460" s="16">
        <v>1.532263E-2</v>
      </c>
      <c r="E1460" s="8">
        <v>7.6613150000000001E-3</v>
      </c>
    </row>
    <row r="1461" spans="1:5" x14ac:dyDescent="0.3">
      <c r="A1461" s="8">
        <v>54</v>
      </c>
      <c r="B1461" s="8">
        <v>29</v>
      </c>
      <c r="C1461" s="8">
        <v>3022</v>
      </c>
      <c r="D1461" s="16">
        <v>-1.7895629999999999E-2</v>
      </c>
      <c r="E1461" s="8">
        <v>-8.9478149999999996E-3</v>
      </c>
    </row>
    <row r="1462" spans="1:5" x14ac:dyDescent="0.3">
      <c r="A1462" s="8">
        <v>54</v>
      </c>
      <c r="B1462" s="8">
        <v>30</v>
      </c>
      <c r="C1462" s="8">
        <v>3037</v>
      </c>
      <c r="D1462" s="16">
        <v>-1.6616059999999998E-2</v>
      </c>
      <c r="E1462" s="8">
        <v>-8.3080299999999992E-3</v>
      </c>
    </row>
    <row r="1463" spans="1:5" x14ac:dyDescent="0.3">
      <c r="A1463" s="8">
        <v>54</v>
      </c>
      <c r="B1463" s="8">
        <v>31</v>
      </c>
      <c r="C1463" s="8">
        <v>2964</v>
      </c>
      <c r="D1463" s="16">
        <v>-3.9162170000000003E-2</v>
      </c>
      <c r="E1463" s="8">
        <v>-1.9581085000000002E-2</v>
      </c>
    </row>
    <row r="1464" spans="1:5" x14ac:dyDescent="0.3">
      <c r="A1464" s="8">
        <v>54</v>
      </c>
      <c r="B1464" s="8">
        <v>32</v>
      </c>
      <c r="C1464" s="8">
        <v>3024</v>
      </c>
      <c r="D1464" s="16">
        <v>-2.606356E-2</v>
      </c>
      <c r="E1464" s="8">
        <v>-1.303178E-2</v>
      </c>
    </row>
    <row r="1465" spans="1:5" x14ac:dyDescent="0.3">
      <c r="A1465" s="8">
        <v>54</v>
      </c>
      <c r="B1465" s="8">
        <v>33</v>
      </c>
      <c r="C1465" s="8">
        <v>3052</v>
      </c>
      <c r="D1465" s="16">
        <v>-7.5648599999999996E-3</v>
      </c>
      <c r="E1465" s="8">
        <v>-3.7824299999999998E-3</v>
      </c>
    </row>
    <row r="1466" spans="1:5" x14ac:dyDescent="0.3">
      <c r="A1466" s="8">
        <v>54</v>
      </c>
      <c r="B1466" s="8">
        <v>34</v>
      </c>
      <c r="C1466" s="8">
        <v>3042</v>
      </c>
      <c r="D1466" s="16">
        <v>6.7929210000000004E-3</v>
      </c>
      <c r="E1466" s="8">
        <v>3.3964605000000002E-3</v>
      </c>
    </row>
    <row r="1467" spans="1:5" x14ac:dyDescent="0.3">
      <c r="A1467" s="8">
        <v>54</v>
      </c>
      <c r="B1467" s="8">
        <v>35</v>
      </c>
      <c r="C1467" s="8">
        <v>3037</v>
      </c>
      <c r="D1467" s="16">
        <v>-2.023604E-2</v>
      </c>
      <c r="E1467" s="8">
        <v>-1.011802E-2</v>
      </c>
    </row>
    <row r="1468" spans="1:5" x14ac:dyDescent="0.3">
      <c r="A1468" s="8">
        <v>54</v>
      </c>
      <c r="B1468" s="8">
        <v>36</v>
      </c>
      <c r="C1468" s="8">
        <v>3048</v>
      </c>
      <c r="D1468" s="16">
        <v>-3.9759049999999997E-2</v>
      </c>
      <c r="E1468" s="8">
        <v>-1.9879524999999999E-2</v>
      </c>
    </row>
    <row r="1469" spans="1:5" x14ac:dyDescent="0.3">
      <c r="A1469" s="8">
        <v>54</v>
      </c>
      <c r="B1469" s="8">
        <v>37</v>
      </c>
      <c r="C1469" s="8">
        <v>3007</v>
      </c>
      <c r="D1469" s="16">
        <v>7.408909E-3</v>
      </c>
      <c r="E1469" s="8">
        <v>3.7044545E-3</v>
      </c>
    </row>
    <row r="1470" spans="1:5" x14ac:dyDescent="0.3">
      <c r="A1470" s="8">
        <v>54</v>
      </c>
      <c r="B1470" s="8">
        <v>38</v>
      </c>
      <c r="C1470" s="8">
        <v>3052</v>
      </c>
      <c r="D1470" s="16">
        <v>4.9242870000000003E-3</v>
      </c>
      <c r="E1470" s="8">
        <v>2.4621435000000001E-3</v>
      </c>
    </row>
    <row r="1471" spans="1:5" x14ac:dyDescent="0.3">
      <c r="A1471" s="8">
        <v>54</v>
      </c>
      <c r="B1471" s="8">
        <v>39</v>
      </c>
      <c r="C1471" s="8">
        <v>3045</v>
      </c>
      <c r="D1471" s="16">
        <v>-1.010613E-2</v>
      </c>
      <c r="E1471" s="8">
        <v>-5.0530649999999998E-3</v>
      </c>
    </row>
    <row r="1472" spans="1:5" x14ac:dyDescent="0.3">
      <c r="A1472" s="8">
        <v>54</v>
      </c>
      <c r="B1472" s="8">
        <v>40</v>
      </c>
      <c r="C1472" s="8">
        <v>3036</v>
      </c>
      <c r="D1472" s="16">
        <v>-2.114201E-3</v>
      </c>
      <c r="E1472" s="8">
        <v>-1.0571005E-3</v>
      </c>
    </row>
    <row r="1473" spans="1:5" x14ac:dyDescent="0.3">
      <c r="A1473" s="8">
        <v>54</v>
      </c>
      <c r="B1473" s="8">
        <v>41</v>
      </c>
      <c r="C1473" s="8">
        <v>3014</v>
      </c>
      <c r="D1473" s="16">
        <v>-2.400026E-3</v>
      </c>
      <c r="E1473" s="8">
        <v>-1.200013E-3</v>
      </c>
    </row>
    <row r="1474" spans="1:5" x14ac:dyDescent="0.3">
      <c r="A1474" s="8">
        <v>54</v>
      </c>
      <c r="B1474" s="8">
        <v>42</v>
      </c>
      <c r="C1474" s="8">
        <v>3010</v>
      </c>
      <c r="D1474" s="16">
        <v>-2.6448840000000001E-2</v>
      </c>
      <c r="E1474" s="8">
        <v>-1.3224420000000001E-2</v>
      </c>
    </row>
    <row r="1475" spans="1:5" x14ac:dyDescent="0.3">
      <c r="A1475" s="8">
        <v>54</v>
      </c>
      <c r="B1475" s="8">
        <v>43</v>
      </c>
      <c r="C1475" s="8">
        <v>3027</v>
      </c>
      <c r="D1475" s="16">
        <v>-2.5661360000000001E-2</v>
      </c>
      <c r="E1475" s="8">
        <v>-1.2830680000000001E-2</v>
      </c>
    </row>
    <row r="1476" spans="1:5" x14ac:dyDescent="0.3">
      <c r="A1476" s="8">
        <v>54</v>
      </c>
      <c r="B1476" s="8">
        <v>44</v>
      </c>
      <c r="C1476" s="8">
        <v>3005</v>
      </c>
      <c r="D1476" s="16">
        <v>-3.5908540000000003E-2</v>
      </c>
      <c r="E1476" s="8">
        <v>-1.7954270000000001E-2</v>
      </c>
    </row>
    <row r="1477" spans="1:5" x14ac:dyDescent="0.3">
      <c r="A1477" s="8">
        <v>54</v>
      </c>
      <c r="B1477" s="8">
        <v>45</v>
      </c>
      <c r="C1477" s="8">
        <v>3038</v>
      </c>
      <c r="D1477" s="16">
        <v>-1.8224110000000002E-2</v>
      </c>
      <c r="E1477" s="8">
        <v>-9.1120550000000008E-3</v>
      </c>
    </row>
    <row r="1478" spans="1:5" x14ac:dyDescent="0.3">
      <c r="A1478" s="8">
        <v>54</v>
      </c>
      <c r="B1478" s="8">
        <v>46</v>
      </c>
      <c r="C1478" s="8">
        <v>3028</v>
      </c>
      <c r="D1478" s="16">
        <v>-7.6469479999999998E-3</v>
      </c>
      <c r="E1478" s="8">
        <v>-3.8234739999999999E-3</v>
      </c>
    </row>
    <row r="1479" spans="1:5" x14ac:dyDescent="0.3">
      <c r="A1479" s="8">
        <v>54</v>
      </c>
      <c r="B1479" s="8">
        <v>47</v>
      </c>
      <c r="C1479" s="8">
        <v>3015</v>
      </c>
      <c r="D1479" s="16">
        <v>-3.062869E-2</v>
      </c>
      <c r="E1479" s="8">
        <v>-1.5314345E-2</v>
      </c>
    </row>
    <row r="1480" spans="1:5" x14ac:dyDescent="0.3">
      <c r="A1480" s="8">
        <v>54</v>
      </c>
      <c r="B1480" s="8">
        <v>48</v>
      </c>
      <c r="C1480" s="8">
        <v>3034</v>
      </c>
      <c r="D1480" s="16">
        <v>2.9476459999999999E-2</v>
      </c>
      <c r="E1480" s="8">
        <v>1.473823E-2</v>
      </c>
    </row>
    <row r="1481" spans="1:5" x14ac:dyDescent="0.3">
      <c r="A1481" s="8">
        <v>54</v>
      </c>
      <c r="B1481" s="8">
        <v>49</v>
      </c>
      <c r="C1481" s="8">
        <v>3012</v>
      </c>
      <c r="D1481" s="16">
        <v>5.2985940000000002E-2</v>
      </c>
      <c r="E1481" s="8">
        <v>2.6492970000000001E-2</v>
      </c>
    </row>
    <row r="1482" spans="1:5" x14ac:dyDescent="0.3">
      <c r="A1482" s="8">
        <v>54</v>
      </c>
      <c r="B1482" s="8">
        <v>50</v>
      </c>
      <c r="C1482" s="8">
        <v>3050</v>
      </c>
      <c r="D1482" s="16">
        <v>-3.068249E-2</v>
      </c>
      <c r="E1482" s="8">
        <v>-1.5341245E-2</v>
      </c>
    </row>
    <row r="1483" spans="1:5" x14ac:dyDescent="0.3">
      <c r="A1483" s="8">
        <v>54</v>
      </c>
      <c r="B1483" s="8">
        <v>51</v>
      </c>
      <c r="C1483" s="8">
        <v>3029</v>
      </c>
      <c r="D1483" s="16">
        <v>6.4830240000000004E-3</v>
      </c>
      <c r="E1483" s="8">
        <v>3.2415120000000002E-3</v>
      </c>
    </row>
    <row r="1484" spans="1:5" x14ac:dyDescent="0.3">
      <c r="A1484" s="8">
        <v>54</v>
      </c>
      <c r="B1484" s="8">
        <v>52</v>
      </c>
      <c r="C1484" s="8">
        <v>3034</v>
      </c>
      <c r="D1484" s="16">
        <v>1.082928E-2</v>
      </c>
      <c r="E1484" s="8">
        <v>5.4146400000000001E-3</v>
      </c>
    </row>
    <row r="1485" spans="1:5" x14ac:dyDescent="0.3">
      <c r="A1485" s="8">
        <v>54</v>
      </c>
      <c r="B1485" s="8">
        <v>53</v>
      </c>
      <c r="C1485" s="8">
        <v>3031</v>
      </c>
      <c r="D1485" s="16">
        <v>-2.8266240000000002E-2</v>
      </c>
      <c r="E1485" s="8">
        <v>-1.4133120000000001E-2</v>
      </c>
    </row>
    <row r="1486" spans="1:5" x14ac:dyDescent="0.3">
      <c r="A1486" s="8">
        <v>54</v>
      </c>
      <c r="B1486" s="8">
        <v>54</v>
      </c>
      <c r="C1486" s="8">
        <v>3134</v>
      </c>
      <c r="D1486" s="16">
        <v>1.139078</v>
      </c>
      <c r="E1486" s="8"/>
    </row>
    <row r="1487" spans="1:5" x14ac:dyDescent="0.3">
      <c r="A1487" s="8">
        <v>55</v>
      </c>
      <c r="B1487" s="8">
        <v>1</v>
      </c>
      <c r="C1487" s="8">
        <v>3071</v>
      </c>
      <c r="D1487" s="16">
        <v>-4.5941310000000004E-3</v>
      </c>
      <c r="E1487" s="8">
        <v>-2.2970655000000002E-3</v>
      </c>
    </row>
    <row r="1488" spans="1:5" x14ac:dyDescent="0.3">
      <c r="A1488" s="8">
        <v>55</v>
      </c>
      <c r="B1488" s="8">
        <v>2</v>
      </c>
      <c r="C1488" s="8">
        <v>3042</v>
      </c>
      <c r="D1488" s="16">
        <v>1.5824109999999999E-3</v>
      </c>
      <c r="E1488" s="8">
        <v>7.9120549999999997E-4</v>
      </c>
    </row>
    <row r="1489" spans="1:5" x14ac:dyDescent="0.3">
      <c r="A1489" s="8">
        <v>55</v>
      </c>
      <c r="B1489" s="8">
        <v>3</v>
      </c>
      <c r="C1489" s="8">
        <v>3068</v>
      </c>
      <c r="D1489" s="16">
        <v>-4.4669359999999998E-2</v>
      </c>
      <c r="E1489" s="8">
        <v>-2.2334679999999999E-2</v>
      </c>
    </row>
    <row r="1490" spans="1:5" x14ac:dyDescent="0.3">
      <c r="A1490" s="8">
        <v>55</v>
      </c>
      <c r="B1490" s="8">
        <v>4</v>
      </c>
      <c r="C1490" s="8">
        <v>3046</v>
      </c>
      <c r="D1490" s="16">
        <v>1.317287E-2</v>
      </c>
      <c r="E1490" s="8">
        <v>6.5864349999999999E-3</v>
      </c>
    </row>
    <row r="1491" spans="1:5" x14ac:dyDescent="0.3">
      <c r="A1491" s="8">
        <v>55</v>
      </c>
      <c r="B1491" s="8">
        <v>5</v>
      </c>
      <c r="C1491" s="8">
        <v>3037</v>
      </c>
      <c r="D1491" s="16">
        <v>-3.7526619999999997E-2</v>
      </c>
      <c r="E1491" s="8">
        <v>-1.8763309999999998E-2</v>
      </c>
    </row>
    <row r="1492" spans="1:5" x14ac:dyDescent="0.3">
      <c r="A1492" s="8">
        <v>55</v>
      </c>
      <c r="B1492" s="8">
        <v>6</v>
      </c>
      <c r="C1492" s="8">
        <v>3054</v>
      </c>
      <c r="D1492" s="16">
        <v>-4.1476350000000002E-2</v>
      </c>
      <c r="E1492" s="8">
        <v>-2.0738175000000001E-2</v>
      </c>
    </row>
    <row r="1493" spans="1:5" x14ac:dyDescent="0.3">
      <c r="A1493" s="8">
        <v>55</v>
      </c>
      <c r="B1493" s="8">
        <v>7</v>
      </c>
      <c r="C1493" s="8">
        <v>3049</v>
      </c>
      <c r="D1493" s="16">
        <v>-1.52304E-2</v>
      </c>
      <c r="E1493" s="8">
        <v>-7.6151999999999999E-3</v>
      </c>
    </row>
    <row r="1494" spans="1:5" x14ac:dyDescent="0.3">
      <c r="A1494" s="8">
        <v>55</v>
      </c>
      <c r="B1494" s="8">
        <v>8</v>
      </c>
      <c r="C1494" s="8">
        <v>3064</v>
      </c>
      <c r="D1494" s="16">
        <v>6.4999189999999998E-3</v>
      </c>
      <c r="E1494" s="8">
        <v>3.2499594999999999E-3</v>
      </c>
    </row>
    <row r="1495" spans="1:5" x14ac:dyDescent="0.3">
      <c r="A1495" s="8">
        <v>55</v>
      </c>
      <c r="B1495" s="8">
        <v>9</v>
      </c>
      <c r="C1495" s="8">
        <v>3058</v>
      </c>
      <c r="D1495" s="16">
        <v>-4.5201100000000001E-2</v>
      </c>
      <c r="E1495" s="8">
        <v>-2.2600550000000001E-2</v>
      </c>
    </row>
    <row r="1496" spans="1:5" x14ac:dyDescent="0.3">
      <c r="A1496" s="8">
        <v>55</v>
      </c>
      <c r="B1496" s="8">
        <v>10</v>
      </c>
      <c r="C1496" s="8">
        <v>3046</v>
      </c>
      <c r="D1496" s="16">
        <v>-2.7799549999999999E-2</v>
      </c>
      <c r="E1496" s="8">
        <v>-1.3899775E-2</v>
      </c>
    </row>
    <row r="1497" spans="1:5" x14ac:dyDescent="0.3">
      <c r="A1497" s="8">
        <v>55</v>
      </c>
      <c r="B1497" s="8">
        <v>11</v>
      </c>
      <c r="C1497" s="8">
        <v>3045</v>
      </c>
      <c r="D1497" s="16">
        <v>-2.7500139999999999E-2</v>
      </c>
      <c r="E1497" s="8">
        <v>-1.375007E-2</v>
      </c>
    </row>
    <row r="1498" spans="1:5" x14ac:dyDescent="0.3">
      <c r="A1498" s="8">
        <v>55</v>
      </c>
      <c r="B1498" s="8">
        <v>12</v>
      </c>
      <c r="C1498" s="8">
        <v>3073</v>
      </c>
      <c r="D1498" s="16">
        <v>-1.6273200000000002E-2</v>
      </c>
      <c r="E1498" s="8">
        <v>-8.1366000000000008E-3</v>
      </c>
    </row>
    <row r="1499" spans="1:5" x14ac:dyDescent="0.3">
      <c r="A1499" s="8">
        <v>55</v>
      </c>
      <c r="B1499" s="8">
        <v>13</v>
      </c>
      <c r="C1499" s="8">
        <v>3045</v>
      </c>
      <c r="D1499" s="16">
        <v>-7.3546189999999997E-3</v>
      </c>
      <c r="E1499" s="8">
        <v>-3.6773094999999999E-3</v>
      </c>
    </row>
    <row r="1500" spans="1:5" x14ac:dyDescent="0.3">
      <c r="A1500" s="8">
        <v>55</v>
      </c>
      <c r="B1500" s="8">
        <v>14</v>
      </c>
      <c r="C1500" s="8">
        <v>3047</v>
      </c>
      <c r="D1500" s="16">
        <v>-7.5323179999999997E-3</v>
      </c>
      <c r="E1500" s="8">
        <v>-3.7661589999999998E-3</v>
      </c>
    </row>
    <row r="1501" spans="1:5" x14ac:dyDescent="0.3">
      <c r="A1501" s="8">
        <v>55</v>
      </c>
      <c r="B1501" s="8">
        <v>15</v>
      </c>
      <c r="C1501" s="8">
        <v>3054</v>
      </c>
      <c r="D1501" s="16">
        <v>-4.4984639999999999E-2</v>
      </c>
      <c r="E1501" s="8">
        <v>-2.249232E-2</v>
      </c>
    </row>
    <row r="1502" spans="1:5" x14ac:dyDescent="0.3">
      <c r="A1502" s="8">
        <v>55</v>
      </c>
      <c r="B1502" s="8">
        <v>16</v>
      </c>
      <c r="C1502" s="8">
        <v>3056</v>
      </c>
      <c r="D1502" s="16">
        <v>-1.1199590000000001E-2</v>
      </c>
      <c r="E1502" s="8">
        <v>-5.5997950000000003E-3</v>
      </c>
    </row>
    <row r="1503" spans="1:5" x14ac:dyDescent="0.3">
      <c r="A1503" s="8">
        <v>55</v>
      </c>
      <c r="B1503" s="8">
        <v>17</v>
      </c>
      <c r="C1503" s="8">
        <v>3051</v>
      </c>
      <c r="D1503" s="16">
        <v>-1.176018E-2</v>
      </c>
      <c r="E1503" s="8">
        <v>-5.8800900000000001E-3</v>
      </c>
    </row>
    <row r="1504" spans="1:5" x14ac:dyDescent="0.3">
      <c r="A1504" s="8">
        <v>55</v>
      </c>
      <c r="B1504" s="8">
        <v>18</v>
      </c>
      <c r="C1504" s="8">
        <v>3071</v>
      </c>
      <c r="D1504" s="16">
        <v>-1.590043E-2</v>
      </c>
      <c r="E1504" s="8">
        <v>-7.9502150000000001E-3</v>
      </c>
    </row>
    <row r="1505" spans="1:5" x14ac:dyDescent="0.3">
      <c r="A1505" s="8">
        <v>55</v>
      </c>
      <c r="B1505" s="8">
        <v>19</v>
      </c>
      <c r="C1505" s="8">
        <v>3054</v>
      </c>
      <c r="D1505" s="16">
        <v>8.7646930000000005E-3</v>
      </c>
      <c r="E1505" s="8">
        <v>4.3823465000000002E-3</v>
      </c>
    </row>
    <row r="1506" spans="1:5" x14ac:dyDescent="0.3">
      <c r="A1506" s="8">
        <v>55</v>
      </c>
      <c r="B1506" s="8">
        <v>20</v>
      </c>
      <c r="C1506" s="8">
        <v>3060</v>
      </c>
      <c r="D1506" s="16">
        <v>-1.516728E-2</v>
      </c>
      <c r="E1506" s="8">
        <v>-7.58364E-3</v>
      </c>
    </row>
    <row r="1507" spans="1:5" x14ac:dyDescent="0.3">
      <c r="A1507" s="8">
        <v>55</v>
      </c>
      <c r="B1507" s="8">
        <v>21</v>
      </c>
      <c r="C1507" s="8">
        <v>3061</v>
      </c>
      <c r="D1507" s="16">
        <v>-2.1973079999999998E-3</v>
      </c>
      <c r="E1507" s="8">
        <v>-1.0986539999999999E-3</v>
      </c>
    </row>
    <row r="1508" spans="1:5" x14ac:dyDescent="0.3">
      <c r="A1508" s="8">
        <v>55</v>
      </c>
      <c r="B1508" s="8">
        <v>22</v>
      </c>
      <c r="C1508" s="8">
        <v>3052</v>
      </c>
      <c r="D1508" s="16">
        <v>-6.763247E-3</v>
      </c>
      <c r="E1508" s="8">
        <v>-3.3816235E-3</v>
      </c>
    </row>
    <row r="1509" spans="1:5" x14ac:dyDescent="0.3">
      <c r="A1509" s="8">
        <v>55</v>
      </c>
      <c r="B1509" s="8">
        <v>23</v>
      </c>
      <c r="C1509" s="8">
        <v>3043</v>
      </c>
      <c r="D1509" s="16">
        <v>-1.5203990000000001E-2</v>
      </c>
      <c r="E1509" s="8">
        <v>-7.6019950000000003E-3</v>
      </c>
    </row>
    <row r="1510" spans="1:5" x14ac:dyDescent="0.3">
      <c r="A1510" s="8">
        <v>55</v>
      </c>
      <c r="B1510" s="8">
        <v>24</v>
      </c>
      <c r="C1510" s="8">
        <v>3074</v>
      </c>
      <c r="D1510" s="16">
        <v>-2.0675740000000001E-2</v>
      </c>
      <c r="E1510" s="8">
        <v>-1.0337870000000001E-2</v>
      </c>
    </row>
    <row r="1511" spans="1:5" x14ac:dyDescent="0.3">
      <c r="A1511" s="8">
        <v>55</v>
      </c>
      <c r="B1511" s="8">
        <v>25</v>
      </c>
      <c r="C1511" s="8">
        <v>3055</v>
      </c>
      <c r="D1511" s="16">
        <v>-2.7228789999999999E-2</v>
      </c>
      <c r="E1511" s="8">
        <v>-1.3614395E-2</v>
      </c>
    </row>
    <row r="1512" spans="1:5" x14ac:dyDescent="0.3">
      <c r="A1512" s="8">
        <v>55</v>
      </c>
      <c r="B1512" s="8">
        <v>26</v>
      </c>
      <c r="C1512" s="8">
        <v>3065</v>
      </c>
      <c r="D1512" s="16">
        <v>3.4613439999999999E-3</v>
      </c>
      <c r="E1512" s="8">
        <v>1.7306719999999999E-3</v>
      </c>
    </row>
    <row r="1513" spans="1:5" x14ac:dyDescent="0.3">
      <c r="A1513" s="8">
        <v>55</v>
      </c>
      <c r="B1513" s="8">
        <v>27</v>
      </c>
      <c r="C1513" s="8">
        <v>3073</v>
      </c>
      <c r="D1513" s="16">
        <v>1.4015929999999999E-2</v>
      </c>
      <c r="E1513" s="8">
        <v>7.0079649999999997E-3</v>
      </c>
    </row>
    <row r="1514" spans="1:5" x14ac:dyDescent="0.3">
      <c r="A1514" s="8">
        <v>55</v>
      </c>
      <c r="B1514" s="8">
        <v>28</v>
      </c>
      <c r="C1514" s="8">
        <v>3040</v>
      </c>
      <c r="D1514" s="16">
        <v>-5.3085540000000001E-3</v>
      </c>
      <c r="E1514" s="8">
        <v>-2.654277E-3</v>
      </c>
    </row>
    <row r="1515" spans="1:5" x14ac:dyDescent="0.3">
      <c r="A1515" s="8">
        <v>55</v>
      </c>
      <c r="B1515" s="8">
        <v>29</v>
      </c>
      <c r="C1515" s="8">
        <v>3046</v>
      </c>
      <c r="D1515" s="16">
        <v>-3.2662539999999997E-2</v>
      </c>
      <c r="E1515" s="8">
        <v>-1.6331269999999998E-2</v>
      </c>
    </row>
    <row r="1516" spans="1:5" x14ac:dyDescent="0.3">
      <c r="A1516" s="8">
        <v>55</v>
      </c>
      <c r="B1516" s="8">
        <v>30</v>
      </c>
      <c r="C1516" s="8">
        <v>3054</v>
      </c>
      <c r="D1516" s="16">
        <v>2.6361319999999998E-3</v>
      </c>
      <c r="E1516" s="8">
        <v>1.3180659999999999E-3</v>
      </c>
    </row>
    <row r="1517" spans="1:5" x14ac:dyDescent="0.3">
      <c r="A1517" s="8">
        <v>55</v>
      </c>
      <c r="B1517" s="8">
        <v>31</v>
      </c>
      <c r="C1517" s="8">
        <v>2980</v>
      </c>
      <c r="D1517" s="16">
        <v>-6.3920489999999996E-2</v>
      </c>
      <c r="E1517" s="8">
        <v>-3.1960244999999998E-2</v>
      </c>
    </row>
    <row r="1518" spans="1:5" x14ac:dyDescent="0.3">
      <c r="A1518" s="8">
        <v>55</v>
      </c>
      <c r="B1518" s="8">
        <v>32</v>
      </c>
      <c r="C1518" s="8">
        <v>3044</v>
      </c>
      <c r="D1518" s="16">
        <v>1.8759310000000001E-2</v>
      </c>
      <c r="E1518" s="8">
        <v>9.3796550000000006E-3</v>
      </c>
    </row>
    <row r="1519" spans="1:5" x14ac:dyDescent="0.3">
      <c r="A1519" s="8">
        <v>55</v>
      </c>
      <c r="B1519" s="8">
        <v>33</v>
      </c>
      <c r="C1519" s="8">
        <v>3073</v>
      </c>
      <c r="D1519" s="16">
        <v>8.1954580000000003E-4</v>
      </c>
      <c r="E1519" s="8">
        <v>4.0977290000000001E-4</v>
      </c>
    </row>
    <row r="1520" spans="1:5" x14ac:dyDescent="0.3">
      <c r="A1520" s="8">
        <v>55</v>
      </c>
      <c r="B1520" s="8">
        <v>34</v>
      </c>
      <c r="C1520" s="8">
        <v>3062</v>
      </c>
      <c r="D1520" s="16">
        <v>-3.6198010000000002E-3</v>
      </c>
      <c r="E1520" s="8">
        <v>-1.8099005000000001E-3</v>
      </c>
    </row>
    <row r="1521" spans="1:5" x14ac:dyDescent="0.3">
      <c r="A1521" s="8">
        <v>55</v>
      </c>
      <c r="B1521" s="8">
        <v>35</v>
      </c>
      <c r="C1521" s="8">
        <v>3053</v>
      </c>
      <c r="D1521" s="16">
        <v>-4.4174230000000002E-2</v>
      </c>
      <c r="E1521" s="8">
        <v>-2.2087115000000001E-2</v>
      </c>
    </row>
    <row r="1522" spans="1:5" x14ac:dyDescent="0.3">
      <c r="A1522" s="8">
        <v>55</v>
      </c>
      <c r="B1522" s="8">
        <v>36</v>
      </c>
      <c r="C1522" s="8">
        <v>3064</v>
      </c>
      <c r="D1522" s="16">
        <v>-2.4843560000000001E-2</v>
      </c>
      <c r="E1522" s="8">
        <v>-1.242178E-2</v>
      </c>
    </row>
    <row r="1523" spans="1:5" x14ac:dyDescent="0.3">
      <c r="A1523" s="8">
        <v>55</v>
      </c>
      <c r="B1523" s="8">
        <v>37</v>
      </c>
      <c r="C1523" s="8">
        <v>3036</v>
      </c>
      <c r="D1523" s="16">
        <v>-3.092495E-2</v>
      </c>
      <c r="E1523" s="8">
        <v>-1.5462475E-2</v>
      </c>
    </row>
    <row r="1524" spans="1:5" x14ac:dyDescent="0.3">
      <c r="A1524" s="8">
        <v>55</v>
      </c>
      <c r="B1524" s="8">
        <v>38</v>
      </c>
      <c r="C1524" s="8">
        <v>3076</v>
      </c>
      <c r="D1524" s="16">
        <v>1.189312E-2</v>
      </c>
      <c r="E1524" s="8">
        <v>5.94656E-3</v>
      </c>
    </row>
    <row r="1525" spans="1:5" x14ac:dyDescent="0.3">
      <c r="A1525" s="8">
        <v>55</v>
      </c>
      <c r="B1525" s="8">
        <v>39</v>
      </c>
      <c r="C1525" s="8">
        <v>3064</v>
      </c>
      <c r="D1525" s="16">
        <v>7.6200290000000004E-3</v>
      </c>
      <c r="E1525" s="8">
        <v>3.8100145000000002E-3</v>
      </c>
    </row>
    <row r="1526" spans="1:5" x14ac:dyDescent="0.3">
      <c r="A1526" s="8">
        <v>55</v>
      </c>
      <c r="B1526" s="8">
        <v>40</v>
      </c>
      <c r="C1526" s="8">
        <v>3062</v>
      </c>
      <c r="D1526" s="16">
        <v>-2.867389E-2</v>
      </c>
      <c r="E1526" s="8">
        <v>-1.4336945E-2</v>
      </c>
    </row>
    <row r="1527" spans="1:5" x14ac:dyDescent="0.3">
      <c r="A1527" s="8">
        <v>55</v>
      </c>
      <c r="B1527" s="8">
        <v>41</v>
      </c>
      <c r="C1527" s="8">
        <v>3036</v>
      </c>
      <c r="D1527" s="16">
        <v>1.3831319999999999E-2</v>
      </c>
      <c r="E1527" s="8">
        <v>6.9156599999999997E-3</v>
      </c>
    </row>
    <row r="1528" spans="1:5" x14ac:dyDescent="0.3">
      <c r="A1528" s="8">
        <v>55</v>
      </c>
      <c r="B1528" s="8">
        <v>42</v>
      </c>
      <c r="C1528" s="8">
        <v>3029</v>
      </c>
      <c r="D1528" s="16">
        <v>-5.4113240000000003E-3</v>
      </c>
      <c r="E1528" s="8">
        <v>-2.7056620000000002E-3</v>
      </c>
    </row>
    <row r="1529" spans="1:5" x14ac:dyDescent="0.3">
      <c r="A1529" s="8">
        <v>55</v>
      </c>
      <c r="B1529" s="8">
        <v>43</v>
      </c>
      <c r="C1529" s="8">
        <v>3046</v>
      </c>
      <c r="D1529" s="16">
        <v>1.028535E-2</v>
      </c>
      <c r="E1529" s="8">
        <v>5.1426750000000002E-3</v>
      </c>
    </row>
    <row r="1530" spans="1:5" x14ac:dyDescent="0.3">
      <c r="A1530" s="8">
        <v>55</v>
      </c>
      <c r="B1530" s="8">
        <v>44</v>
      </c>
      <c r="C1530" s="8">
        <v>3031</v>
      </c>
      <c r="D1530" s="16">
        <v>-2.222147E-2</v>
      </c>
      <c r="E1530" s="8">
        <v>-1.1110735E-2</v>
      </c>
    </row>
    <row r="1531" spans="1:5" x14ac:dyDescent="0.3">
      <c r="A1531" s="8">
        <v>55</v>
      </c>
      <c r="B1531" s="8">
        <v>45</v>
      </c>
      <c r="C1531" s="8">
        <v>3057</v>
      </c>
      <c r="D1531" s="16">
        <v>-2.9150680000000002E-2</v>
      </c>
      <c r="E1531" s="8">
        <v>-1.4575340000000001E-2</v>
      </c>
    </row>
    <row r="1532" spans="1:5" x14ac:dyDescent="0.3">
      <c r="A1532" s="8">
        <v>55</v>
      </c>
      <c r="B1532" s="8">
        <v>46</v>
      </c>
      <c r="C1532" s="8">
        <v>3048</v>
      </c>
      <c r="D1532" s="16">
        <v>4.0038779999999998E-3</v>
      </c>
      <c r="E1532" s="8">
        <v>2.0019389999999999E-3</v>
      </c>
    </row>
    <row r="1533" spans="1:5" x14ac:dyDescent="0.3">
      <c r="A1533" s="8">
        <v>55</v>
      </c>
      <c r="B1533" s="8">
        <v>47</v>
      </c>
      <c r="C1533" s="8">
        <v>3040</v>
      </c>
      <c r="D1533" s="16">
        <v>1.298787E-3</v>
      </c>
      <c r="E1533" s="8">
        <v>6.4939350000000002E-4</v>
      </c>
    </row>
    <row r="1534" spans="1:5" x14ac:dyDescent="0.3">
      <c r="A1534" s="8">
        <v>55</v>
      </c>
      <c r="B1534" s="8">
        <v>48</v>
      </c>
      <c r="C1534" s="8">
        <v>3054</v>
      </c>
      <c r="D1534" s="16">
        <v>-4.5473899999999998E-2</v>
      </c>
      <c r="E1534" s="8">
        <v>-2.2736949999999999E-2</v>
      </c>
    </row>
    <row r="1535" spans="1:5" x14ac:dyDescent="0.3">
      <c r="A1535" s="8">
        <v>55</v>
      </c>
      <c r="B1535" s="8">
        <v>49</v>
      </c>
      <c r="C1535" s="8">
        <v>3024</v>
      </c>
      <c r="D1535" s="16">
        <v>-1.457864E-2</v>
      </c>
      <c r="E1535" s="8">
        <v>-7.2893200000000002E-3</v>
      </c>
    </row>
    <row r="1536" spans="1:5" x14ac:dyDescent="0.3">
      <c r="A1536" s="8">
        <v>55</v>
      </c>
      <c r="B1536" s="8">
        <v>50</v>
      </c>
      <c r="C1536" s="8">
        <v>3071</v>
      </c>
      <c r="D1536" s="16">
        <v>-3.8266750000000002E-2</v>
      </c>
      <c r="E1536" s="8">
        <v>-1.9133375000000001E-2</v>
      </c>
    </row>
    <row r="1537" spans="1:5" x14ac:dyDescent="0.3">
      <c r="A1537" s="8">
        <v>55</v>
      </c>
      <c r="B1537" s="8">
        <v>51</v>
      </c>
      <c r="C1537" s="8">
        <v>3051</v>
      </c>
      <c r="D1537" s="16">
        <v>-3.7838860000000002E-2</v>
      </c>
      <c r="E1537" s="8">
        <v>-1.8919430000000001E-2</v>
      </c>
    </row>
    <row r="1538" spans="1:5" x14ac:dyDescent="0.3">
      <c r="A1538" s="8">
        <v>55</v>
      </c>
      <c r="B1538" s="8">
        <v>52</v>
      </c>
      <c r="C1538" s="8">
        <v>3052</v>
      </c>
      <c r="D1538" s="16">
        <v>-4.0864259999999998E-3</v>
      </c>
      <c r="E1538" s="8">
        <v>-2.0432129999999999E-3</v>
      </c>
    </row>
    <row r="1539" spans="1:5" x14ac:dyDescent="0.3">
      <c r="A1539" s="8">
        <v>55</v>
      </c>
      <c r="B1539" s="8">
        <v>53</v>
      </c>
      <c r="C1539" s="8">
        <v>3052</v>
      </c>
      <c r="D1539" s="16">
        <v>-5.5031070000000001E-3</v>
      </c>
      <c r="E1539" s="8">
        <v>-2.7515535000000001E-3</v>
      </c>
    </row>
    <row r="1540" spans="1:5" x14ac:dyDescent="0.3">
      <c r="A1540" s="8">
        <v>55</v>
      </c>
      <c r="B1540" s="8">
        <v>54</v>
      </c>
      <c r="C1540" s="8">
        <v>3046</v>
      </c>
      <c r="D1540" s="16">
        <v>-2.8572630000000002E-2</v>
      </c>
      <c r="E1540" s="8">
        <v>-1.4286315000000001E-2</v>
      </c>
    </row>
    <row r="1541" spans="1:5" x14ac:dyDescent="0.3">
      <c r="A1541" s="8">
        <v>55</v>
      </c>
      <c r="B1541" s="8">
        <v>55</v>
      </c>
      <c r="C1541" s="8">
        <v>3155</v>
      </c>
      <c r="D1541" s="16">
        <v>1.1361270000000001</v>
      </c>
      <c r="E1541" s="8"/>
    </row>
    <row r="1542" spans="1:5" x14ac:dyDescent="0.3">
      <c r="A1542" s="8">
        <v>56</v>
      </c>
      <c r="B1542" s="8">
        <v>1</v>
      </c>
      <c r="C1542" s="8">
        <v>3080</v>
      </c>
      <c r="D1542" s="16">
        <v>-4.9530329999999999E-3</v>
      </c>
      <c r="E1542" s="8">
        <v>-2.4765165E-3</v>
      </c>
    </row>
    <row r="1543" spans="1:5" x14ac:dyDescent="0.3">
      <c r="A1543" s="8">
        <v>56</v>
      </c>
      <c r="B1543" s="8">
        <v>2</v>
      </c>
      <c r="C1543" s="8">
        <v>3051</v>
      </c>
      <c r="D1543" s="16">
        <v>-2.6390859999999999E-2</v>
      </c>
      <c r="E1543" s="8">
        <v>-1.3195429999999999E-2</v>
      </c>
    </row>
    <row r="1544" spans="1:5" x14ac:dyDescent="0.3">
      <c r="A1544" s="8">
        <v>56</v>
      </c>
      <c r="B1544" s="8">
        <v>3</v>
      </c>
      <c r="C1544" s="8">
        <v>3070</v>
      </c>
      <c r="D1544" s="16">
        <v>-5.701912E-2</v>
      </c>
      <c r="E1544" s="8">
        <v>-2.850956E-2</v>
      </c>
    </row>
    <row r="1545" spans="1:5" x14ac:dyDescent="0.3">
      <c r="A1545" s="8">
        <v>56</v>
      </c>
      <c r="B1545" s="8">
        <v>4</v>
      </c>
      <c r="C1545" s="8">
        <v>3045</v>
      </c>
      <c r="D1545" s="16">
        <v>-7.3875360000000001E-2</v>
      </c>
      <c r="E1545" s="8">
        <v>-3.6937680000000001E-2</v>
      </c>
    </row>
    <row r="1546" spans="1:5" x14ac:dyDescent="0.3">
      <c r="A1546" s="8">
        <v>56</v>
      </c>
      <c r="B1546" s="8">
        <v>5</v>
      </c>
      <c r="C1546" s="8">
        <v>3037</v>
      </c>
      <c r="D1546" s="16">
        <v>-7.4090740000000001E-5</v>
      </c>
      <c r="E1546" s="8">
        <v>-3.7045370000000001E-5</v>
      </c>
    </row>
    <row r="1547" spans="1:5" x14ac:dyDescent="0.3">
      <c r="A1547" s="8">
        <v>56</v>
      </c>
      <c r="B1547" s="8">
        <v>6</v>
      </c>
      <c r="C1547" s="8">
        <v>3056</v>
      </c>
      <c r="D1547" s="16">
        <v>-1.847623E-2</v>
      </c>
      <c r="E1547" s="8">
        <v>-9.2381149999999999E-3</v>
      </c>
    </row>
    <row r="1548" spans="1:5" x14ac:dyDescent="0.3">
      <c r="A1548" s="8">
        <v>56</v>
      </c>
      <c r="B1548" s="8">
        <v>7</v>
      </c>
      <c r="C1548" s="8">
        <v>3047</v>
      </c>
      <c r="D1548" s="16">
        <v>-1.372683E-3</v>
      </c>
      <c r="E1548" s="8">
        <v>-6.8634149999999999E-4</v>
      </c>
    </row>
    <row r="1549" spans="1:5" x14ac:dyDescent="0.3">
      <c r="A1549" s="8">
        <v>56</v>
      </c>
      <c r="B1549" s="8">
        <v>8</v>
      </c>
      <c r="C1549" s="8">
        <v>3068</v>
      </c>
      <c r="D1549" s="16">
        <v>-3.2524409999999997E-2</v>
      </c>
      <c r="E1549" s="8">
        <v>-1.6262204999999998E-2</v>
      </c>
    </row>
    <row r="1550" spans="1:5" x14ac:dyDescent="0.3">
      <c r="A1550" s="8">
        <v>56</v>
      </c>
      <c r="B1550" s="8">
        <v>9</v>
      </c>
      <c r="C1550" s="8">
        <v>3059</v>
      </c>
      <c r="D1550" s="16">
        <v>-6.288299E-4</v>
      </c>
      <c r="E1550" s="8">
        <v>-3.1441495E-4</v>
      </c>
    </row>
    <row r="1551" spans="1:5" x14ac:dyDescent="0.3">
      <c r="A1551" s="8">
        <v>56</v>
      </c>
      <c r="B1551" s="8">
        <v>10</v>
      </c>
      <c r="C1551" s="8">
        <v>3047</v>
      </c>
      <c r="D1551" s="16">
        <v>2.1797819999999999E-2</v>
      </c>
      <c r="E1551" s="8">
        <v>1.089891E-2</v>
      </c>
    </row>
    <row r="1552" spans="1:5" x14ac:dyDescent="0.3">
      <c r="A1552" s="8">
        <v>56</v>
      </c>
      <c r="B1552" s="8">
        <v>11</v>
      </c>
      <c r="C1552" s="8">
        <v>3051</v>
      </c>
      <c r="D1552" s="16">
        <v>2.8293809999999999E-2</v>
      </c>
      <c r="E1552" s="8">
        <v>1.4146905E-2</v>
      </c>
    </row>
    <row r="1553" spans="1:5" x14ac:dyDescent="0.3">
      <c r="A1553" s="8">
        <v>56</v>
      </c>
      <c r="B1553" s="8">
        <v>12</v>
      </c>
      <c r="C1553" s="8">
        <v>3069</v>
      </c>
      <c r="D1553" s="16">
        <v>-3.1930579999999999E-3</v>
      </c>
      <c r="E1553" s="8">
        <v>-1.596529E-3</v>
      </c>
    </row>
    <row r="1554" spans="1:5" x14ac:dyDescent="0.3">
      <c r="A1554" s="8">
        <v>56</v>
      </c>
      <c r="B1554" s="8">
        <v>13</v>
      </c>
      <c r="C1554" s="8">
        <v>3048</v>
      </c>
      <c r="D1554" s="16">
        <v>2.0157060000000001E-2</v>
      </c>
      <c r="E1554" s="8">
        <v>1.007853E-2</v>
      </c>
    </row>
    <row r="1555" spans="1:5" x14ac:dyDescent="0.3">
      <c r="A1555" s="8">
        <v>56</v>
      </c>
      <c r="B1555" s="8">
        <v>14</v>
      </c>
      <c r="C1555" s="8">
        <v>3048</v>
      </c>
      <c r="D1555" s="16">
        <v>1.1154560000000001E-2</v>
      </c>
      <c r="E1555" s="8">
        <v>5.5772800000000004E-3</v>
      </c>
    </row>
    <row r="1556" spans="1:5" x14ac:dyDescent="0.3">
      <c r="A1556" s="8">
        <v>56</v>
      </c>
      <c r="B1556" s="8">
        <v>15</v>
      </c>
      <c r="C1556" s="8">
        <v>3058</v>
      </c>
      <c r="D1556" s="16">
        <v>-6.386297E-3</v>
      </c>
      <c r="E1556" s="8">
        <v>-3.1931485E-3</v>
      </c>
    </row>
    <row r="1557" spans="1:5" x14ac:dyDescent="0.3">
      <c r="A1557" s="8">
        <v>56</v>
      </c>
      <c r="B1557" s="8">
        <v>16</v>
      </c>
      <c r="C1557" s="8">
        <v>3061</v>
      </c>
      <c r="D1557" s="16">
        <v>-5.2118299999999999E-2</v>
      </c>
      <c r="E1557" s="8">
        <v>-2.605915E-2</v>
      </c>
    </row>
    <row r="1558" spans="1:5" x14ac:dyDescent="0.3">
      <c r="A1558" s="8">
        <v>56</v>
      </c>
      <c r="B1558" s="8">
        <v>17</v>
      </c>
      <c r="C1558" s="8">
        <v>3062</v>
      </c>
      <c r="D1558" s="16">
        <v>-4.406728E-2</v>
      </c>
      <c r="E1558" s="8">
        <v>-2.203364E-2</v>
      </c>
    </row>
    <row r="1559" spans="1:5" x14ac:dyDescent="0.3">
      <c r="A1559" s="8">
        <v>56</v>
      </c>
      <c r="B1559" s="8">
        <v>18</v>
      </c>
      <c r="C1559" s="8">
        <v>3071</v>
      </c>
      <c r="D1559" s="16">
        <v>-5.1038689999999998E-2</v>
      </c>
      <c r="E1559" s="8">
        <v>-2.5519344999999999E-2</v>
      </c>
    </row>
    <row r="1560" spans="1:5" x14ac:dyDescent="0.3">
      <c r="A1560" s="8">
        <v>56</v>
      </c>
      <c r="B1560" s="8">
        <v>19</v>
      </c>
      <c r="C1560" s="8">
        <v>3055</v>
      </c>
      <c r="D1560" s="16">
        <v>-3.80442E-2</v>
      </c>
      <c r="E1560" s="8">
        <v>-1.90221E-2</v>
      </c>
    </row>
    <row r="1561" spans="1:5" x14ac:dyDescent="0.3">
      <c r="A1561" s="8">
        <v>56</v>
      </c>
      <c r="B1561" s="8">
        <v>20</v>
      </c>
      <c r="C1561" s="8">
        <v>3063</v>
      </c>
      <c r="D1561" s="16">
        <v>8.1249370000000005E-3</v>
      </c>
      <c r="E1561" s="8">
        <v>4.0624685000000002E-3</v>
      </c>
    </row>
    <row r="1562" spans="1:5" x14ac:dyDescent="0.3">
      <c r="A1562" s="8">
        <v>56</v>
      </c>
      <c r="B1562" s="8">
        <v>21</v>
      </c>
      <c r="C1562" s="8">
        <v>3065</v>
      </c>
      <c r="D1562" s="16">
        <v>-3.2714430000000003E-2</v>
      </c>
      <c r="E1562" s="8">
        <v>-1.6357215000000001E-2</v>
      </c>
    </row>
    <row r="1563" spans="1:5" x14ac:dyDescent="0.3">
      <c r="A1563" s="8">
        <v>56</v>
      </c>
      <c r="B1563" s="8">
        <v>22</v>
      </c>
      <c r="C1563" s="8">
        <v>3050</v>
      </c>
      <c r="D1563" s="16">
        <v>2.0022109999999999E-2</v>
      </c>
      <c r="E1563" s="8">
        <v>1.0011055E-2</v>
      </c>
    </row>
    <row r="1564" spans="1:5" x14ac:dyDescent="0.3">
      <c r="A1564" s="8">
        <v>56</v>
      </c>
      <c r="B1564" s="8">
        <v>23</v>
      </c>
      <c r="C1564" s="8">
        <v>3048</v>
      </c>
      <c r="D1564" s="16">
        <v>-3.8873320000000003E-2</v>
      </c>
      <c r="E1564" s="8">
        <v>-1.9436660000000001E-2</v>
      </c>
    </row>
    <row r="1565" spans="1:5" x14ac:dyDescent="0.3">
      <c r="A1565" s="8">
        <v>56</v>
      </c>
      <c r="B1565" s="8">
        <v>24</v>
      </c>
      <c r="C1565" s="8">
        <v>3075</v>
      </c>
      <c r="D1565" s="16">
        <v>-2.5615430000000002E-2</v>
      </c>
      <c r="E1565" s="8">
        <v>-1.2807715000000001E-2</v>
      </c>
    </row>
    <row r="1566" spans="1:5" x14ac:dyDescent="0.3">
      <c r="A1566" s="8">
        <v>56</v>
      </c>
      <c r="B1566" s="8">
        <v>25</v>
      </c>
      <c r="C1566" s="8">
        <v>3064</v>
      </c>
      <c r="D1566" s="16">
        <v>-2.8228570000000001E-2</v>
      </c>
      <c r="E1566" s="8">
        <v>-1.4114285000000001E-2</v>
      </c>
    </row>
    <row r="1567" spans="1:5" x14ac:dyDescent="0.3">
      <c r="A1567" s="8">
        <v>56</v>
      </c>
      <c r="B1567" s="8">
        <v>26</v>
      </c>
      <c r="C1567" s="8">
        <v>3067</v>
      </c>
      <c r="D1567" s="16">
        <v>-2.2041829999999998E-2</v>
      </c>
      <c r="E1567" s="8">
        <v>-1.1020914999999999E-2</v>
      </c>
    </row>
    <row r="1568" spans="1:5" x14ac:dyDescent="0.3">
      <c r="A1568" s="8">
        <v>56</v>
      </c>
      <c r="B1568" s="8">
        <v>27</v>
      </c>
      <c r="C1568" s="8">
        <v>3079</v>
      </c>
      <c r="D1568" s="16">
        <v>-4.7957419999999999E-4</v>
      </c>
      <c r="E1568" s="8">
        <v>-2.3978709999999999E-4</v>
      </c>
    </row>
    <row r="1569" spans="1:5" x14ac:dyDescent="0.3">
      <c r="A1569" s="8">
        <v>56</v>
      </c>
      <c r="B1569" s="8">
        <v>28</v>
      </c>
      <c r="C1569" s="8">
        <v>3041</v>
      </c>
      <c r="D1569" s="16">
        <v>-4.730434E-2</v>
      </c>
      <c r="E1569" s="8">
        <v>-2.365217E-2</v>
      </c>
    </row>
    <row r="1570" spans="1:5" x14ac:dyDescent="0.3">
      <c r="A1570" s="8">
        <v>56</v>
      </c>
      <c r="B1570" s="8">
        <v>29</v>
      </c>
      <c r="C1570" s="8">
        <v>3053</v>
      </c>
      <c r="D1570" s="16">
        <v>-3.8401499999999998E-2</v>
      </c>
      <c r="E1570" s="8">
        <v>-1.9200749999999999E-2</v>
      </c>
    </row>
    <row r="1571" spans="1:5" x14ac:dyDescent="0.3">
      <c r="A1571" s="8">
        <v>56</v>
      </c>
      <c r="B1571" s="8">
        <v>30</v>
      </c>
      <c r="C1571" s="8">
        <v>3058</v>
      </c>
      <c r="D1571" s="16">
        <v>-2.8585590000000001E-2</v>
      </c>
      <c r="E1571" s="8">
        <v>-1.4292795E-2</v>
      </c>
    </row>
    <row r="1572" spans="1:5" x14ac:dyDescent="0.3">
      <c r="A1572" s="8">
        <v>56</v>
      </c>
      <c r="B1572" s="8">
        <v>31</v>
      </c>
      <c r="C1572" s="8">
        <v>2977</v>
      </c>
      <c r="D1572" s="16">
        <v>-2.7384869999999999E-2</v>
      </c>
      <c r="E1572" s="8">
        <v>-1.3692434999999999E-2</v>
      </c>
    </row>
    <row r="1573" spans="1:5" x14ac:dyDescent="0.3">
      <c r="A1573" s="8">
        <v>56</v>
      </c>
      <c r="B1573" s="8">
        <v>32</v>
      </c>
      <c r="C1573" s="8">
        <v>3045</v>
      </c>
      <c r="D1573" s="16">
        <v>-2.5976470000000002E-2</v>
      </c>
      <c r="E1573" s="8">
        <v>-1.2988235000000001E-2</v>
      </c>
    </row>
    <row r="1574" spans="1:5" x14ac:dyDescent="0.3">
      <c r="A1574" s="8">
        <v>56</v>
      </c>
      <c r="B1574" s="8">
        <v>33</v>
      </c>
      <c r="C1574" s="8">
        <v>3071</v>
      </c>
      <c r="D1574" s="16">
        <v>-2.3742889999999999E-2</v>
      </c>
      <c r="E1574" s="8">
        <v>-1.1871445E-2</v>
      </c>
    </row>
    <row r="1575" spans="1:5" x14ac:dyDescent="0.3">
      <c r="A1575" s="8">
        <v>56</v>
      </c>
      <c r="B1575" s="8">
        <v>34</v>
      </c>
      <c r="C1575" s="8">
        <v>3066</v>
      </c>
      <c r="D1575" s="16">
        <v>1.428839E-2</v>
      </c>
      <c r="E1575" s="8">
        <v>7.1441949999999999E-3</v>
      </c>
    </row>
    <row r="1576" spans="1:5" x14ac:dyDescent="0.3">
      <c r="A1576" s="8">
        <v>56</v>
      </c>
      <c r="B1576" s="8">
        <v>35</v>
      </c>
      <c r="C1576" s="8">
        <v>3061</v>
      </c>
      <c r="D1576" s="16">
        <v>-5.225927E-3</v>
      </c>
      <c r="E1576" s="8">
        <v>-2.6129635E-3</v>
      </c>
    </row>
    <row r="1577" spans="1:5" x14ac:dyDescent="0.3">
      <c r="A1577" s="8">
        <v>56</v>
      </c>
      <c r="B1577" s="8">
        <v>36</v>
      </c>
      <c r="C1577" s="8">
        <v>3066</v>
      </c>
      <c r="D1577" s="16">
        <v>5.4636859999999997E-3</v>
      </c>
      <c r="E1577" s="8">
        <v>2.7318429999999999E-3</v>
      </c>
    </row>
    <row r="1578" spans="1:5" x14ac:dyDescent="0.3">
      <c r="A1578" s="8">
        <v>56</v>
      </c>
      <c r="B1578" s="8">
        <v>37</v>
      </c>
      <c r="C1578" s="8">
        <v>3035</v>
      </c>
      <c r="D1578" s="16">
        <v>-2.4799849999999998E-2</v>
      </c>
      <c r="E1578" s="8">
        <v>-1.2399924999999999E-2</v>
      </c>
    </row>
    <row r="1579" spans="1:5" x14ac:dyDescent="0.3">
      <c r="A1579" s="8">
        <v>56</v>
      </c>
      <c r="B1579" s="8">
        <v>38</v>
      </c>
      <c r="C1579" s="8">
        <v>3077</v>
      </c>
      <c r="D1579" s="16">
        <v>-4.6976749999999998E-2</v>
      </c>
      <c r="E1579" s="8">
        <v>-2.3488374999999999E-2</v>
      </c>
    </row>
    <row r="1580" spans="1:5" x14ac:dyDescent="0.3">
      <c r="A1580" s="8">
        <v>56</v>
      </c>
      <c r="B1580" s="8">
        <v>39</v>
      </c>
      <c r="C1580" s="8">
        <v>3070</v>
      </c>
      <c r="D1580" s="16">
        <v>-2.5044750000000001E-2</v>
      </c>
      <c r="E1580" s="8">
        <v>-1.2522375000000001E-2</v>
      </c>
    </row>
    <row r="1581" spans="1:5" x14ac:dyDescent="0.3">
      <c r="A1581" s="8">
        <v>56</v>
      </c>
      <c r="B1581" s="8">
        <v>40</v>
      </c>
      <c r="C1581" s="8">
        <v>3063</v>
      </c>
      <c r="D1581" s="16">
        <v>-3.1095859999999999E-2</v>
      </c>
      <c r="E1581" s="8">
        <v>-1.554793E-2</v>
      </c>
    </row>
    <row r="1582" spans="1:5" x14ac:dyDescent="0.3">
      <c r="A1582" s="8">
        <v>56</v>
      </c>
      <c r="B1582" s="8">
        <v>41</v>
      </c>
      <c r="C1582" s="8">
        <v>3038</v>
      </c>
      <c r="D1582" s="16">
        <v>-2.493418E-2</v>
      </c>
      <c r="E1582" s="8">
        <v>-1.246709E-2</v>
      </c>
    </row>
    <row r="1583" spans="1:5" x14ac:dyDescent="0.3">
      <c r="A1583" s="8">
        <v>56</v>
      </c>
      <c r="B1583" s="8">
        <v>42</v>
      </c>
      <c r="C1583" s="8">
        <v>3034</v>
      </c>
      <c r="D1583" s="16">
        <v>-2.079168E-2</v>
      </c>
      <c r="E1583" s="8">
        <v>-1.039584E-2</v>
      </c>
    </row>
    <row r="1584" spans="1:5" x14ac:dyDescent="0.3">
      <c r="A1584" s="8">
        <v>56</v>
      </c>
      <c r="B1584" s="8">
        <v>43</v>
      </c>
      <c r="C1584" s="8">
        <v>3050</v>
      </c>
      <c r="D1584" s="16">
        <v>-6.5595640000000004E-3</v>
      </c>
      <c r="E1584" s="8">
        <v>-3.2797820000000002E-3</v>
      </c>
    </row>
    <row r="1585" spans="1:5" x14ac:dyDescent="0.3">
      <c r="A1585" s="8">
        <v>56</v>
      </c>
      <c r="B1585" s="8">
        <v>44</v>
      </c>
      <c r="C1585" s="8">
        <v>3031</v>
      </c>
      <c r="D1585" s="16">
        <v>2.972696E-2</v>
      </c>
      <c r="E1585" s="8">
        <v>1.486348E-2</v>
      </c>
    </row>
    <row r="1586" spans="1:5" x14ac:dyDescent="0.3">
      <c r="A1586" s="8">
        <v>56</v>
      </c>
      <c r="B1586" s="8">
        <v>45</v>
      </c>
      <c r="C1586" s="8">
        <v>3062</v>
      </c>
      <c r="D1586" s="16">
        <v>-4.6683419999999998E-3</v>
      </c>
      <c r="E1586" s="8">
        <v>-2.3341709999999999E-3</v>
      </c>
    </row>
    <row r="1587" spans="1:5" x14ac:dyDescent="0.3">
      <c r="A1587" s="8">
        <v>56</v>
      </c>
      <c r="B1587" s="8">
        <v>46</v>
      </c>
      <c r="C1587" s="8">
        <v>3050</v>
      </c>
      <c r="D1587" s="16">
        <v>1.418179E-2</v>
      </c>
      <c r="E1587" s="8">
        <v>7.0908949999999998E-3</v>
      </c>
    </row>
    <row r="1588" spans="1:5" x14ac:dyDescent="0.3">
      <c r="A1588" s="8">
        <v>56</v>
      </c>
      <c r="B1588" s="8">
        <v>47</v>
      </c>
      <c r="C1588" s="8">
        <v>3035</v>
      </c>
      <c r="D1588" s="16">
        <v>-9.5777120000000004E-3</v>
      </c>
      <c r="E1588" s="8">
        <v>-4.7888560000000002E-3</v>
      </c>
    </row>
    <row r="1589" spans="1:5" x14ac:dyDescent="0.3">
      <c r="A1589" s="8">
        <v>56</v>
      </c>
      <c r="B1589" s="8">
        <v>48</v>
      </c>
      <c r="C1589" s="8">
        <v>3056</v>
      </c>
      <c r="D1589" s="16">
        <v>-3.3940779999999997E-2</v>
      </c>
      <c r="E1589" s="8">
        <v>-1.6970389999999998E-2</v>
      </c>
    </row>
    <row r="1590" spans="1:5" x14ac:dyDescent="0.3">
      <c r="A1590" s="8">
        <v>56</v>
      </c>
      <c r="B1590" s="8">
        <v>49</v>
      </c>
      <c r="C1590" s="8">
        <v>3031</v>
      </c>
      <c r="D1590" s="16">
        <v>-4.8330989999999997E-2</v>
      </c>
      <c r="E1590" s="8">
        <v>-2.4165494999999999E-2</v>
      </c>
    </row>
    <row r="1591" spans="1:5" x14ac:dyDescent="0.3">
      <c r="A1591" s="8">
        <v>56</v>
      </c>
      <c r="B1591" s="8">
        <v>50</v>
      </c>
      <c r="C1591" s="8">
        <v>3073</v>
      </c>
      <c r="D1591" s="16">
        <v>-3.0928409999999998E-3</v>
      </c>
      <c r="E1591" s="8">
        <v>-1.5464204999999999E-3</v>
      </c>
    </row>
    <row r="1592" spans="1:5" x14ac:dyDescent="0.3">
      <c r="A1592" s="8">
        <v>56</v>
      </c>
      <c r="B1592" s="8">
        <v>51</v>
      </c>
      <c r="C1592" s="8">
        <v>3054</v>
      </c>
      <c r="D1592" s="16">
        <v>-6.9490220000000005E-2</v>
      </c>
      <c r="E1592" s="8">
        <v>-3.4745110000000003E-2</v>
      </c>
    </row>
    <row r="1593" spans="1:5" x14ac:dyDescent="0.3">
      <c r="A1593" s="8">
        <v>56</v>
      </c>
      <c r="B1593" s="8">
        <v>52</v>
      </c>
      <c r="C1593" s="8">
        <v>3056</v>
      </c>
      <c r="D1593" s="16">
        <v>-8.2260459999999994E-2</v>
      </c>
      <c r="E1593" s="8">
        <v>-4.1130229999999997E-2</v>
      </c>
    </row>
    <row r="1594" spans="1:5" x14ac:dyDescent="0.3">
      <c r="A1594" s="8">
        <v>56</v>
      </c>
      <c r="B1594" s="8">
        <v>53</v>
      </c>
      <c r="C1594" s="8">
        <v>3053</v>
      </c>
      <c r="D1594" s="16">
        <v>-2.1386550000000001E-2</v>
      </c>
      <c r="E1594" s="8">
        <v>-1.0693275E-2</v>
      </c>
    </row>
    <row r="1595" spans="1:5" x14ac:dyDescent="0.3">
      <c r="A1595" s="8">
        <v>56</v>
      </c>
      <c r="B1595" s="8">
        <v>54</v>
      </c>
      <c r="C1595" s="8">
        <v>3042</v>
      </c>
      <c r="D1595" s="16">
        <v>9.9701960000000006E-3</v>
      </c>
      <c r="E1595" s="8">
        <v>4.9850980000000003E-3</v>
      </c>
    </row>
    <row r="1596" spans="1:5" x14ac:dyDescent="0.3">
      <c r="A1596" s="8">
        <v>56</v>
      </c>
      <c r="B1596" s="8">
        <v>55</v>
      </c>
      <c r="C1596" s="8">
        <v>3065</v>
      </c>
      <c r="D1596" s="16">
        <v>5.2530340000000002E-2</v>
      </c>
      <c r="E1596" s="8">
        <v>2.6265170000000001E-2</v>
      </c>
    </row>
    <row r="1597" spans="1:5" x14ac:dyDescent="0.3">
      <c r="A1597" s="8">
        <v>56</v>
      </c>
      <c r="B1597" s="8">
        <v>56</v>
      </c>
      <c r="C1597" s="8">
        <v>3159</v>
      </c>
      <c r="D1597" s="16">
        <v>1.072516</v>
      </c>
      <c r="E1597" s="8"/>
    </row>
    <row r="1598" spans="1:5" x14ac:dyDescent="0.3">
      <c r="A1598" s="8">
        <v>57</v>
      </c>
      <c r="B1598" s="8">
        <v>1</v>
      </c>
      <c r="C1598" s="8">
        <v>3090</v>
      </c>
      <c r="D1598" s="16">
        <v>4.9484189999999999E-3</v>
      </c>
      <c r="E1598" s="8">
        <v>2.4742095E-3</v>
      </c>
    </row>
    <row r="1599" spans="1:5" x14ac:dyDescent="0.3">
      <c r="A1599" s="8">
        <v>57</v>
      </c>
      <c r="B1599" s="8">
        <v>2</v>
      </c>
      <c r="C1599" s="8">
        <v>3058</v>
      </c>
      <c r="D1599" s="16">
        <v>-2.6244239999999999E-2</v>
      </c>
      <c r="E1599" s="8">
        <v>-1.3122119999999999E-2</v>
      </c>
    </row>
    <row r="1600" spans="1:5" x14ac:dyDescent="0.3">
      <c r="A1600" s="8">
        <v>57</v>
      </c>
      <c r="B1600" s="8">
        <v>3</v>
      </c>
      <c r="C1600" s="8">
        <v>3089</v>
      </c>
      <c r="D1600" s="16">
        <v>-4.8065989999999999E-3</v>
      </c>
      <c r="E1600" s="8">
        <v>-2.4032995E-3</v>
      </c>
    </row>
    <row r="1601" spans="1:5" x14ac:dyDescent="0.3">
      <c r="A1601" s="8">
        <v>57</v>
      </c>
      <c r="B1601" s="8">
        <v>4</v>
      </c>
      <c r="C1601" s="8">
        <v>3061</v>
      </c>
      <c r="D1601" s="16">
        <v>2.733437E-3</v>
      </c>
      <c r="E1601" s="8">
        <v>1.3667185E-3</v>
      </c>
    </row>
    <row r="1602" spans="1:5" x14ac:dyDescent="0.3">
      <c r="A1602" s="8">
        <v>57</v>
      </c>
      <c r="B1602" s="8">
        <v>5</v>
      </c>
      <c r="C1602" s="8">
        <v>3048</v>
      </c>
      <c r="D1602" s="16">
        <v>-4.3139139999999999E-2</v>
      </c>
      <c r="E1602" s="8">
        <v>-2.156957E-2</v>
      </c>
    </row>
    <row r="1603" spans="1:5" x14ac:dyDescent="0.3">
      <c r="A1603" s="8">
        <v>57</v>
      </c>
      <c r="B1603" s="8">
        <v>6</v>
      </c>
      <c r="C1603" s="8">
        <v>3071</v>
      </c>
      <c r="D1603" s="16">
        <v>-2.9068529999999999E-2</v>
      </c>
      <c r="E1603" s="8">
        <v>-1.4534264999999999E-2</v>
      </c>
    </row>
    <row r="1604" spans="1:5" x14ac:dyDescent="0.3">
      <c r="A1604" s="8">
        <v>57</v>
      </c>
      <c r="B1604" s="8">
        <v>7</v>
      </c>
      <c r="C1604" s="8">
        <v>3060</v>
      </c>
      <c r="D1604" s="16">
        <v>1.02576E-2</v>
      </c>
      <c r="E1604" s="8">
        <v>5.1288000000000002E-3</v>
      </c>
    </row>
    <row r="1605" spans="1:5" x14ac:dyDescent="0.3">
      <c r="A1605" s="8">
        <v>57</v>
      </c>
      <c r="B1605" s="8">
        <v>8</v>
      </c>
      <c r="C1605" s="8">
        <v>3080</v>
      </c>
      <c r="D1605" s="16">
        <v>-5.353306E-2</v>
      </c>
      <c r="E1605" s="8">
        <v>-2.676653E-2</v>
      </c>
    </row>
    <row r="1606" spans="1:5" x14ac:dyDescent="0.3">
      <c r="A1606" s="8">
        <v>57</v>
      </c>
      <c r="B1606" s="8">
        <v>9</v>
      </c>
      <c r="C1606" s="8">
        <v>3071</v>
      </c>
      <c r="D1606" s="16">
        <v>-2.416691E-2</v>
      </c>
      <c r="E1606" s="8">
        <v>-1.2083455E-2</v>
      </c>
    </row>
    <row r="1607" spans="1:5" x14ac:dyDescent="0.3">
      <c r="A1607" s="8">
        <v>57</v>
      </c>
      <c r="B1607" s="8">
        <v>10</v>
      </c>
      <c r="C1607" s="8">
        <v>3061</v>
      </c>
      <c r="D1607" s="16">
        <v>-4.5186530000000003E-2</v>
      </c>
      <c r="E1607" s="8">
        <v>-2.2593265000000001E-2</v>
      </c>
    </row>
    <row r="1608" spans="1:5" x14ac:dyDescent="0.3">
      <c r="A1608" s="8">
        <v>57</v>
      </c>
      <c r="B1608" s="8">
        <v>11</v>
      </c>
      <c r="C1608" s="8">
        <v>3067</v>
      </c>
      <c r="D1608" s="16">
        <v>2.5003290000000001E-2</v>
      </c>
      <c r="E1608" s="8">
        <v>1.2501645E-2</v>
      </c>
    </row>
    <row r="1609" spans="1:5" x14ac:dyDescent="0.3">
      <c r="A1609" s="8">
        <v>57</v>
      </c>
      <c r="B1609" s="8">
        <v>12</v>
      </c>
      <c r="C1609" s="8">
        <v>3081</v>
      </c>
      <c r="D1609" s="16">
        <v>-6.6840559999999993E-2</v>
      </c>
      <c r="E1609" s="8">
        <v>-3.3420279999999997E-2</v>
      </c>
    </row>
    <row r="1610" spans="1:5" x14ac:dyDescent="0.3">
      <c r="A1610" s="8">
        <v>57</v>
      </c>
      <c r="B1610" s="8">
        <v>13</v>
      </c>
      <c r="C1610" s="8">
        <v>3062</v>
      </c>
      <c r="D1610" s="16">
        <v>2.322215E-2</v>
      </c>
      <c r="E1610" s="8">
        <v>1.1611075E-2</v>
      </c>
    </row>
    <row r="1611" spans="1:5" x14ac:dyDescent="0.3">
      <c r="A1611" s="8">
        <v>57</v>
      </c>
      <c r="B1611" s="8">
        <v>14</v>
      </c>
      <c r="C1611" s="8">
        <v>3059</v>
      </c>
      <c r="D1611" s="16">
        <v>1.0388100000000001E-2</v>
      </c>
      <c r="E1611" s="8">
        <v>5.1940500000000004E-3</v>
      </c>
    </row>
    <row r="1612" spans="1:5" x14ac:dyDescent="0.3">
      <c r="A1612" s="8">
        <v>57</v>
      </c>
      <c r="B1612" s="8">
        <v>15</v>
      </c>
      <c r="C1612" s="8">
        <v>3070</v>
      </c>
      <c r="D1612" s="16">
        <v>-1.9863470000000001E-2</v>
      </c>
      <c r="E1612" s="8">
        <v>-9.9317350000000006E-3</v>
      </c>
    </row>
    <row r="1613" spans="1:5" x14ac:dyDescent="0.3">
      <c r="A1613" s="8">
        <v>57</v>
      </c>
      <c r="B1613" s="8">
        <v>16</v>
      </c>
      <c r="C1613" s="8">
        <v>3076</v>
      </c>
      <c r="D1613" s="16">
        <v>7.7638710000000003E-3</v>
      </c>
      <c r="E1613" s="8">
        <v>3.8819355000000002E-3</v>
      </c>
    </row>
    <row r="1614" spans="1:5" x14ac:dyDescent="0.3">
      <c r="A1614" s="8">
        <v>57</v>
      </c>
      <c r="B1614" s="8">
        <v>17</v>
      </c>
      <c r="C1614" s="8">
        <v>3070</v>
      </c>
      <c r="D1614" s="16">
        <v>1.7841309999999999E-2</v>
      </c>
      <c r="E1614" s="8">
        <v>8.9206549999999996E-3</v>
      </c>
    </row>
    <row r="1615" spans="1:5" x14ac:dyDescent="0.3">
      <c r="A1615" s="8">
        <v>57</v>
      </c>
      <c r="B1615" s="8">
        <v>18</v>
      </c>
      <c r="C1615" s="8">
        <v>3087</v>
      </c>
      <c r="D1615" s="16">
        <v>-7.7844020000000002E-3</v>
      </c>
      <c r="E1615" s="8">
        <v>-3.8922010000000001E-3</v>
      </c>
    </row>
    <row r="1616" spans="1:5" x14ac:dyDescent="0.3">
      <c r="A1616" s="8">
        <v>57</v>
      </c>
      <c r="B1616" s="8">
        <v>19</v>
      </c>
      <c r="C1616" s="8">
        <v>3071</v>
      </c>
      <c r="D1616" s="16">
        <v>-3.6562169999999998E-2</v>
      </c>
      <c r="E1616" s="8">
        <v>-1.8281084999999999E-2</v>
      </c>
    </row>
    <row r="1617" spans="1:5" x14ac:dyDescent="0.3">
      <c r="A1617" s="8">
        <v>57</v>
      </c>
      <c r="B1617" s="8">
        <v>20</v>
      </c>
      <c r="C1617" s="8">
        <v>3075</v>
      </c>
      <c r="D1617" s="16">
        <v>-3.0318580000000001E-2</v>
      </c>
      <c r="E1617" s="8">
        <v>-1.5159290000000001E-2</v>
      </c>
    </row>
    <row r="1618" spans="1:5" x14ac:dyDescent="0.3">
      <c r="A1618" s="8">
        <v>57</v>
      </c>
      <c r="B1618" s="8">
        <v>21</v>
      </c>
      <c r="C1618" s="8">
        <v>3074</v>
      </c>
      <c r="D1618" s="16">
        <v>-1.471691E-2</v>
      </c>
      <c r="E1618" s="8">
        <v>-7.3584549999999999E-3</v>
      </c>
    </row>
    <row r="1619" spans="1:5" x14ac:dyDescent="0.3">
      <c r="A1619" s="8">
        <v>57</v>
      </c>
      <c r="B1619" s="8">
        <v>22</v>
      </c>
      <c r="C1619" s="8">
        <v>3063</v>
      </c>
      <c r="D1619" s="16">
        <v>-1.46196E-2</v>
      </c>
      <c r="E1619" s="8">
        <v>-7.3098E-3</v>
      </c>
    </row>
    <row r="1620" spans="1:5" x14ac:dyDescent="0.3">
      <c r="A1620" s="8">
        <v>57</v>
      </c>
      <c r="B1620" s="8">
        <v>23</v>
      </c>
      <c r="C1620" s="8">
        <v>3065</v>
      </c>
      <c r="D1620" s="16">
        <v>3.6815029999999999E-2</v>
      </c>
      <c r="E1620" s="8">
        <v>1.8407514999999999E-2</v>
      </c>
    </row>
    <row r="1621" spans="1:5" x14ac:dyDescent="0.3">
      <c r="A1621" s="8">
        <v>57</v>
      </c>
      <c r="B1621" s="8">
        <v>24</v>
      </c>
      <c r="C1621" s="8">
        <v>3091</v>
      </c>
      <c r="D1621" s="16">
        <v>-1.0265460000000001E-2</v>
      </c>
      <c r="E1621" s="8">
        <v>-5.1327300000000003E-3</v>
      </c>
    </row>
    <row r="1622" spans="1:5" x14ac:dyDescent="0.3">
      <c r="A1622" s="8">
        <v>57</v>
      </c>
      <c r="B1622" s="8">
        <v>25</v>
      </c>
      <c r="C1622" s="8">
        <v>3076</v>
      </c>
      <c r="D1622" s="16">
        <v>-4.576582E-3</v>
      </c>
      <c r="E1622" s="8">
        <v>-2.288291E-3</v>
      </c>
    </row>
    <row r="1623" spans="1:5" x14ac:dyDescent="0.3">
      <c r="A1623" s="8">
        <v>57</v>
      </c>
      <c r="B1623" s="8">
        <v>26</v>
      </c>
      <c r="C1623" s="8">
        <v>3082</v>
      </c>
      <c r="D1623" s="16">
        <v>-1.501516E-2</v>
      </c>
      <c r="E1623" s="8">
        <v>-7.5075799999999998E-3</v>
      </c>
    </row>
    <row r="1624" spans="1:5" x14ac:dyDescent="0.3">
      <c r="A1624" s="8">
        <v>57</v>
      </c>
      <c r="B1624" s="8">
        <v>27</v>
      </c>
      <c r="C1624" s="8">
        <v>3090</v>
      </c>
      <c r="D1624" s="16">
        <v>2.7601540000000001E-2</v>
      </c>
      <c r="E1624" s="8">
        <v>1.380077E-2</v>
      </c>
    </row>
    <row r="1625" spans="1:5" x14ac:dyDescent="0.3">
      <c r="A1625" s="8">
        <v>57</v>
      </c>
      <c r="B1625" s="8">
        <v>28</v>
      </c>
      <c r="C1625" s="8">
        <v>3061</v>
      </c>
      <c r="D1625" s="16">
        <v>-1.8250160000000001E-2</v>
      </c>
      <c r="E1625" s="8">
        <v>-9.1250800000000007E-3</v>
      </c>
    </row>
    <row r="1626" spans="1:5" x14ac:dyDescent="0.3">
      <c r="A1626" s="8">
        <v>57</v>
      </c>
      <c r="B1626" s="8">
        <v>29</v>
      </c>
      <c r="C1626" s="8">
        <v>3062</v>
      </c>
      <c r="D1626" s="16">
        <v>-7.1225610000000003E-3</v>
      </c>
      <c r="E1626" s="8">
        <v>-3.5612805000000002E-3</v>
      </c>
    </row>
    <row r="1627" spans="1:5" x14ac:dyDescent="0.3">
      <c r="A1627" s="8">
        <v>57</v>
      </c>
      <c r="B1627" s="8">
        <v>30</v>
      </c>
      <c r="C1627" s="8">
        <v>3071</v>
      </c>
      <c r="D1627" s="16">
        <v>-2.0459669999999999E-2</v>
      </c>
      <c r="E1627" s="8">
        <v>-1.0229835E-2</v>
      </c>
    </row>
    <row r="1628" spans="1:5" x14ac:dyDescent="0.3">
      <c r="A1628" s="8">
        <v>57</v>
      </c>
      <c r="B1628" s="8">
        <v>31</v>
      </c>
      <c r="C1628" s="8">
        <v>2994</v>
      </c>
      <c r="D1628" s="16">
        <v>-2.6849689999999999E-2</v>
      </c>
      <c r="E1628" s="8">
        <v>-1.3424844999999999E-2</v>
      </c>
    </row>
    <row r="1629" spans="1:5" x14ac:dyDescent="0.3">
      <c r="A1629" s="8">
        <v>57</v>
      </c>
      <c r="B1629" s="8">
        <v>32</v>
      </c>
      <c r="C1629" s="8">
        <v>3060</v>
      </c>
      <c r="D1629" s="16">
        <v>-2.881974E-2</v>
      </c>
      <c r="E1629" s="8">
        <v>-1.440987E-2</v>
      </c>
    </row>
    <row r="1630" spans="1:5" x14ac:dyDescent="0.3">
      <c r="A1630" s="8">
        <v>57</v>
      </c>
      <c r="B1630" s="8">
        <v>33</v>
      </c>
      <c r="C1630" s="8">
        <v>3089</v>
      </c>
      <c r="D1630" s="16">
        <v>-1.079802E-2</v>
      </c>
      <c r="E1630" s="8">
        <v>-5.3990100000000001E-3</v>
      </c>
    </row>
    <row r="1631" spans="1:5" x14ac:dyDescent="0.3">
      <c r="A1631" s="8">
        <v>57</v>
      </c>
      <c r="B1631" s="8">
        <v>34</v>
      </c>
      <c r="C1631" s="8">
        <v>3077</v>
      </c>
      <c r="D1631" s="16">
        <v>2.9676559999999999E-3</v>
      </c>
      <c r="E1631" s="8">
        <v>1.483828E-3</v>
      </c>
    </row>
    <row r="1632" spans="1:5" x14ac:dyDescent="0.3">
      <c r="A1632" s="8">
        <v>57</v>
      </c>
      <c r="B1632" s="8">
        <v>35</v>
      </c>
      <c r="C1632" s="8">
        <v>3071</v>
      </c>
      <c r="D1632" s="16">
        <v>-2.294962E-2</v>
      </c>
      <c r="E1632" s="8">
        <v>-1.147481E-2</v>
      </c>
    </row>
    <row r="1633" spans="1:5" x14ac:dyDescent="0.3">
      <c r="A1633" s="8">
        <v>57</v>
      </c>
      <c r="B1633" s="8">
        <v>36</v>
      </c>
      <c r="C1633" s="8">
        <v>3082</v>
      </c>
      <c r="D1633" s="16">
        <v>1.4771629999999999E-2</v>
      </c>
      <c r="E1633" s="8">
        <v>7.3858149999999996E-3</v>
      </c>
    </row>
    <row r="1634" spans="1:5" x14ac:dyDescent="0.3">
      <c r="A1634" s="8">
        <v>57</v>
      </c>
      <c r="B1634" s="8">
        <v>37</v>
      </c>
      <c r="C1634" s="8">
        <v>3044</v>
      </c>
      <c r="D1634" s="16">
        <v>-1.7038169999999998E-2</v>
      </c>
      <c r="E1634" s="8">
        <v>-8.5190849999999992E-3</v>
      </c>
    </row>
    <row r="1635" spans="1:5" x14ac:dyDescent="0.3">
      <c r="A1635" s="8">
        <v>57</v>
      </c>
      <c r="B1635" s="8">
        <v>38</v>
      </c>
      <c r="C1635" s="8">
        <v>3091</v>
      </c>
      <c r="D1635" s="16">
        <v>-1.915799E-2</v>
      </c>
      <c r="E1635" s="8">
        <v>-9.5789949999999999E-3</v>
      </c>
    </row>
    <row r="1636" spans="1:5" x14ac:dyDescent="0.3">
      <c r="A1636" s="8">
        <v>57</v>
      </c>
      <c r="B1636" s="8">
        <v>39</v>
      </c>
      <c r="C1636" s="8">
        <v>3078</v>
      </c>
      <c r="D1636" s="16">
        <v>4.2172729999999997E-3</v>
      </c>
      <c r="E1636" s="8">
        <v>2.1086364999999998E-3</v>
      </c>
    </row>
    <row r="1637" spans="1:5" x14ac:dyDescent="0.3">
      <c r="A1637" s="8">
        <v>57</v>
      </c>
      <c r="B1637" s="8">
        <v>40</v>
      </c>
      <c r="C1637" s="8">
        <v>3074</v>
      </c>
      <c r="D1637" s="16">
        <v>-1.5257400000000001E-2</v>
      </c>
      <c r="E1637" s="8">
        <v>-7.6287000000000004E-3</v>
      </c>
    </row>
    <row r="1638" spans="1:5" x14ac:dyDescent="0.3">
      <c r="A1638" s="8">
        <v>57</v>
      </c>
      <c r="B1638" s="8">
        <v>41</v>
      </c>
      <c r="C1638" s="8">
        <v>3051</v>
      </c>
      <c r="D1638" s="16">
        <v>3.2847439999999999E-2</v>
      </c>
      <c r="E1638" s="8">
        <v>1.6423719999999999E-2</v>
      </c>
    </row>
    <row r="1639" spans="1:5" x14ac:dyDescent="0.3">
      <c r="A1639" s="8">
        <v>57</v>
      </c>
      <c r="B1639" s="8">
        <v>42</v>
      </c>
      <c r="C1639" s="8">
        <v>3044</v>
      </c>
      <c r="D1639" s="16">
        <v>-2.0242E-2</v>
      </c>
      <c r="E1639" s="8">
        <v>-1.0121E-2</v>
      </c>
    </row>
    <row r="1640" spans="1:5" x14ac:dyDescent="0.3">
      <c r="A1640" s="8">
        <v>57</v>
      </c>
      <c r="B1640" s="8">
        <v>43</v>
      </c>
      <c r="C1640" s="8">
        <v>3064</v>
      </c>
      <c r="D1640" s="16">
        <v>-4.5139890000000002E-2</v>
      </c>
      <c r="E1640" s="8">
        <v>-2.2569945000000001E-2</v>
      </c>
    </row>
    <row r="1641" spans="1:5" x14ac:dyDescent="0.3">
      <c r="A1641" s="8">
        <v>57</v>
      </c>
      <c r="B1641" s="8">
        <v>44</v>
      </c>
      <c r="C1641" s="8">
        <v>3044</v>
      </c>
      <c r="D1641" s="16">
        <v>-3.1898610000000001E-2</v>
      </c>
      <c r="E1641" s="8">
        <v>-1.5949305E-2</v>
      </c>
    </row>
    <row r="1642" spans="1:5" x14ac:dyDescent="0.3">
      <c r="A1642" s="8">
        <v>57</v>
      </c>
      <c r="B1642" s="8">
        <v>45</v>
      </c>
      <c r="C1642" s="8">
        <v>3075</v>
      </c>
      <c r="D1642" s="16">
        <v>-8.1914669999999995E-2</v>
      </c>
      <c r="E1642" s="8">
        <v>-4.0957334999999997E-2</v>
      </c>
    </row>
    <row r="1643" spans="1:5" x14ac:dyDescent="0.3">
      <c r="A1643" s="8">
        <v>57</v>
      </c>
      <c r="B1643" s="8">
        <v>46</v>
      </c>
      <c r="C1643" s="8">
        <v>3069</v>
      </c>
      <c r="D1643" s="16">
        <v>-3.618923E-3</v>
      </c>
      <c r="E1643" s="8">
        <v>-1.8094615E-3</v>
      </c>
    </row>
    <row r="1644" spans="1:5" x14ac:dyDescent="0.3">
      <c r="A1644" s="8">
        <v>57</v>
      </c>
      <c r="B1644" s="8">
        <v>47</v>
      </c>
      <c r="C1644" s="8">
        <v>3053</v>
      </c>
      <c r="D1644" s="16">
        <v>-1.080647E-2</v>
      </c>
      <c r="E1644" s="8">
        <v>-5.4032350000000002E-3</v>
      </c>
    </row>
    <row r="1645" spans="1:5" x14ac:dyDescent="0.3">
      <c r="A1645" s="8">
        <v>57</v>
      </c>
      <c r="B1645" s="8">
        <v>48</v>
      </c>
      <c r="C1645" s="8">
        <v>3070</v>
      </c>
      <c r="D1645" s="16">
        <v>-3.2775180000000001E-2</v>
      </c>
      <c r="E1645" s="8">
        <v>-1.638759E-2</v>
      </c>
    </row>
    <row r="1646" spans="1:5" x14ac:dyDescent="0.3">
      <c r="A1646" s="8">
        <v>57</v>
      </c>
      <c r="B1646" s="8">
        <v>49</v>
      </c>
      <c r="C1646" s="8">
        <v>3044</v>
      </c>
      <c r="D1646" s="16">
        <v>1.0466100000000001E-2</v>
      </c>
      <c r="E1646" s="8">
        <v>5.2330500000000004E-3</v>
      </c>
    </row>
    <row r="1647" spans="1:5" x14ac:dyDescent="0.3">
      <c r="A1647" s="8">
        <v>57</v>
      </c>
      <c r="B1647" s="8">
        <v>50</v>
      </c>
      <c r="C1647" s="8">
        <v>3085</v>
      </c>
      <c r="D1647" s="16">
        <v>-1.311932E-2</v>
      </c>
      <c r="E1647" s="8">
        <v>-6.5596600000000001E-3</v>
      </c>
    </row>
    <row r="1648" spans="1:5" x14ac:dyDescent="0.3">
      <c r="A1648" s="8">
        <v>57</v>
      </c>
      <c r="B1648" s="8">
        <v>51</v>
      </c>
      <c r="C1648" s="8">
        <v>3065</v>
      </c>
      <c r="D1648" s="16">
        <v>-2.8761740000000001E-2</v>
      </c>
      <c r="E1648" s="8">
        <v>-1.438087E-2</v>
      </c>
    </row>
    <row r="1649" spans="1:5" x14ac:dyDescent="0.3">
      <c r="A1649" s="8">
        <v>57</v>
      </c>
      <c r="B1649" s="8">
        <v>52</v>
      </c>
      <c r="C1649" s="8">
        <v>3072</v>
      </c>
      <c r="D1649" s="16">
        <v>1.311467E-2</v>
      </c>
      <c r="E1649" s="8">
        <v>6.5573350000000001E-3</v>
      </c>
    </row>
    <row r="1650" spans="1:5" x14ac:dyDescent="0.3">
      <c r="A1650" s="8">
        <v>57</v>
      </c>
      <c r="B1650" s="8">
        <v>53</v>
      </c>
      <c r="C1650" s="8">
        <v>3068</v>
      </c>
      <c r="D1650" s="16">
        <v>-2.6037609999999999E-2</v>
      </c>
      <c r="E1650" s="8">
        <v>-1.3018805E-2</v>
      </c>
    </row>
    <row r="1651" spans="1:5" x14ac:dyDescent="0.3">
      <c r="A1651" s="8">
        <v>57</v>
      </c>
      <c r="B1651" s="8">
        <v>54</v>
      </c>
      <c r="C1651" s="8">
        <v>3058</v>
      </c>
      <c r="D1651" s="16">
        <v>1.338889E-3</v>
      </c>
      <c r="E1651" s="8">
        <v>6.694445E-4</v>
      </c>
    </row>
    <row r="1652" spans="1:5" x14ac:dyDescent="0.3">
      <c r="A1652" s="8">
        <v>57</v>
      </c>
      <c r="B1652" s="8">
        <v>55</v>
      </c>
      <c r="C1652" s="8">
        <v>3079</v>
      </c>
      <c r="D1652" s="16">
        <v>2.8390849999999999E-2</v>
      </c>
      <c r="E1652" s="8">
        <v>1.4195424999999999E-2</v>
      </c>
    </row>
    <row r="1653" spans="1:5" x14ac:dyDescent="0.3">
      <c r="A1653" s="8">
        <v>57</v>
      </c>
      <c r="B1653" s="8">
        <v>56</v>
      </c>
      <c r="C1653" s="8">
        <v>3082</v>
      </c>
      <c r="D1653" s="16">
        <v>-3.8755289999999998E-2</v>
      </c>
      <c r="E1653" s="8">
        <v>-1.9377644999999999E-2</v>
      </c>
    </row>
    <row r="1654" spans="1:5" x14ac:dyDescent="0.3">
      <c r="A1654" s="8">
        <v>57</v>
      </c>
      <c r="B1654" s="8">
        <v>57</v>
      </c>
      <c r="C1654" s="8">
        <v>3173</v>
      </c>
      <c r="D1654" s="16">
        <v>1.0803959999999999</v>
      </c>
      <c r="E1654" s="8"/>
    </row>
    <row r="1655" spans="1:5" x14ac:dyDescent="0.3">
      <c r="A1655" s="8">
        <v>58</v>
      </c>
      <c r="B1655" s="8">
        <v>1</v>
      </c>
      <c r="C1655" s="8">
        <v>3075</v>
      </c>
      <c r="D1655" s="16">
        <v>2.2525940000000001E-2</v>
      </c>
      <c r="E1655" s="8">
        <v>1.1262970000000001E-2</v>
      </c>
    </row>
    <row r="1656" spans="1:5" x14ac:dyDescent="0.3">
      <c r="A1656" s="8">
        <v>58</v>
      </c>
      <c r="B1656" s="8">
        <v>2</v>
      </c>
      <c r="C1656" s="8">
        <v>3040</v>
      </c>
      <c r="D1656" s="16">
        <v>-4.5564800000000003E-2</v>
      </c>
      <c r="E1656" s="8">
        <v>-2.2782400000000001E-2</v>
      </c>
    </row>
    <row r="1657" spans="1:5" x14ac:dyDescent="0.3">
      <c r="A1657" s="8">
        <v>58</v>
      </c>
      <c r="B1657" s="8">
        <v>3</v>
      </c>
      <c r="C1657" s="8">
        <v>3067</v>
      </c>
      <c r="D1657" s="16">
        <v>-6.5931660000000001E-3</v>
      </c>
      <c r="E1657" s="8">
        <v>-3.2965830000000001E-3</v>
      </c>
    </row>
    <row r="1658" spans="1:5" x14ac:dyDescent="0.3">
      <c r="A1658" s="8">
        <v>58</v>
      </c>
      <c r="B1658" s="8">
        <v>4</v>
      </c>
      <c r="C1658" s="8">
        <v>3046</v>
      </c>
      <c r="D1658" s="16">
        <v>-3.2564019999999999E-2</v>
      </c>
      <c r="E1658" s="8">
        <v>-1.628201E-2</v>
      </c>
    </row>
    <row r="1659" spans="1:5" x14ac:dyDescent="0.3">
      <c r="A1659" s="8">
        <v>58</v>
      </c>
      <c r="B1659" s="8">
        <v>5</v>
      </c>
      <c r="C1659" s="8">
        <v>3037</v>
      </c>
      <c r="D1659" s="16">
        <v>3.4506710000000002E-3</v>
      </c>
      <c r="E1659" s="8">
        <v>1.7253355000000001E-3</v>
      </c>
    </row>
    <row r="1660" spans="1:5" x14ac:dyDescent="0.3">
      <c r="A1660" s="8">
        <v>58</v>
      </c>
      <c r="B1660" s="8">
        <v>6</v>
      </c>
      <c r="C1660" s="8">
        <v>3052</v>
      </c>
      <c r="D1660" s="16">
        <v>1.078348E-2</v>
      </c>
      <c r="E1660" s="8">
        <v>5.3917399999999999E-3</v>
      </c>
    </row>
    <row r="1661" spans="1:5" x14ac:dyDescent="0.3">
      <c r="A1661" s="8">
        <v>58</v>
      </c>
      <c r="B1661" s="8">
        <v>7</v>
      </c>
      <c r="C1661" s="8">
        <v>3044</v>
      </c>
      <c r="D1661" s="16">
        <v>-5.9372010000000003E-2</v>
      </c>
      <c r="E1661" s="8">
        <v>-2.9686005000000001E-2</v>
      </c>
    </row>
    <row r="1662" spans="1:5" x14ac:dyDescent="0.3">
      <c r="A1662" s="8">
        <v>58</v>
      </c>
      <c r="B1662" s="8">
        <v>8</v>
      </c>
      <c r="C1662" s="8">
        <v>3066</v>
      </c>
      <c r="D1662" s="16">
        <v>-4.7830350000000001E-2</v>
      </c>
      <c r="E1662" s="8">
        <v>-2.3915175E-2</v>
      </c>
    </row>
    <row r="1663" spans="1:5" x14ac:dyDescent="0.3">
      <c r="A1663" s="8">
        <v>58</v>
      </c>
      <c r="B1663" s="8">
        <v>9</v>
      </c>
      <c r="C1663" s="8">
        <v>3053</v>
      </c>
      <c r="D1663" s="16">
        <v>-1.666028E-2</v>
      </c>
      <c r="E1663" s="8">
        <v>-8.3301399999999998E-3</v>
      </c>
    </row>
    <row r="1664" spans="1:5" x14ac:dyDescent="0.3">
      <c r="A1664" s="8">
        <v>58</v>
      </c>
      <c r="B1664" s="8">
        <v>10</v>
      </c>
      <c r="C1664" s="8">
        <v>3045</v>
      </c>
      <c r="D1664" s="16">
        <v>-2.4712729999999999E-2</v>
      </c>
      <c r="E1664" s="8">
        <v>-1.2356364999999999E-2</v>
      </c>
    </row>
    <row r="1665" spans="1:5" x14ac:dyDescent="0.3">
      <c r="A1665" s="8">
        <v>58</v>
      </c>
      <c r="B1665" s="8">
        <v>11</v>
      </c>
      <c r="C1665" s="8">
        <v>3048</v>
      </c>
      <c r="D1665" s="16">
        <v>-3.3713849999999997E-2</v>
      </c>
      <c r="E1665" s="8">
        <v>-1.6856924999999998E-2</v>
      </c>
    </row>
    <row r="1666" spans="1:5" x14ac:dyDescent="0.3">
      <c r="A1666" s="8">
        <v>58</v>
      </c>
      <c r="B1666" s="8">
        <v>12</v>
      </c>
      <c r="C1666" s="8">
        <v>3068</v>
      </c>
      <c r="D1666" s="16">
        <v>6.3931910000000003E-3</v>
      </c>
      <c r="E1666" s="8">
        <v>3.1965955000000002E-3</v>
      </c>
    </row>
    <row r="1667" spans="1:5" x14ac:dyDescent="0.3">
      <c r="A1667" s="8">
        <v>58</v>
      </c>
      <c r="B1667" s="8">
        <v>13</v>
      </c>
      <c r="C1667" s="8">
        <v>3054</v>
      </c>
      <c r="D1667" s="16">
        <v>-8.1935359999999995E-3</v>
      </c>
      <c r="E1667" s="8">
        <v>-4.0967679999999998E-3</v>
      </c>
    </row>
    <row r="1668" spans="1:5" x14ac:dyDescent="0.3">
      <c r="A1668" s="8">
        <v>58</v>
      </c>
      <c r="B1668" s="8">
        <v>14</v>
      </c>
      <c r="C1668" s="8">
        <v>3048</v>
      </c>
      <c r="D1668" s="16">
        <v>2.7898530000000001E-2</v>
      </c>
      <c r="E1668" s="8">
        <v>1.3949265000000001E-2</v>
      </c>
    </row>
    <row r="1669" spans="1:5" x14ac:dyDescent="0.3">
      <c r="A1669" s="8">
        <v>58</v>
      </c>
      <c r="B1669" s="8">
        <v>15</v>
      </c>
      <c r="C1669" s="8">
        <v>3053</v>
      </c>
      <c r="D1669" s="16">
        <v>-5.4070300000000002E-3</v>
      </c>
      <c r="E1669" s="8">
        <v>-2.7035150000000001E-3</v>
      </c>
    </row>
    <row r="1670" spans="1:5" x14ac:dyDescent="0.3">
      <c r="A1670" s="8">
        <v>58</v>
      </c>
      <c r="B1670" s="8">
        <v>16</v>
      </c>
      <c r="C1670" s="8">
        <v>3059</v>
      </c>
      <c r="D1670" s="16">
        <v>-1.7234800000000002E-2</v>
      </c>
      <c r="E1670" s="8">
        <v>-8.6174000000000008E-3</v>
      </c>
    </row>
    <row r="1671" spans="1:5" x14ac:dyDescent="0.3">
      <c r="A1671" s="8">
        <v>58</v>
      </c>
      <c r="B1671" s="8">
        <v>17</v>
      </c>
      <c r="C1671" s="8">
        <v>3051</v>
      </c>
      <c r="D1671" s="16">
        <v>-4.7821740000000001E-2</v>
      </c>
      <c r="E1671" s="8">
        <v>-2.3910870000000001E-2</v>
      </c>
    </row>
    <row r="1672" spans="1:5" x14ac:dyDescent="0.3">
      <c r="A1672" s="8">
        <v>58</v>
      </c>
      <c r="B1672" s="8">
        <v>18</v>
      </c>
      <c r="C1672" s="8">
        <v>3071</v>
      </c>
      <c r="D1672" s="16">
        <v>-5.251724E-2</v>
      </c>
      <c r="E1672" s="8">
        <v>-2.625862E-2</v>
      </c>
    </row>
    <row r="1673" spans="1:5" x14ac:dyDescent="0.3">
      <c r="A1673" s="8">
        <v>58</v>
      </c>
      <c r="B1673" s="8">
        <v>19</v>
      </c>
      <c r="C1673" s="8">
        <v>3057</v>
      </c>
      <c r="D1673" s="16">
        <v>-5.8988840000000001E-3</v>
      </c>
      <c r="E1673" s="8">
        <v>-2.949442E-3</v>
      </c>
    </row>
    <row r="1674" spans="1:5" x14ac:dyDescent="0.3">
      <c r="A1674" s="8">
        <v>58</v>
      </c>
      <c r="B1674" s="8">
        <v>20</v>
      </c>
      <c r="C1674" s="8">
        <v>3057</v>
      </c>
      <c r="D1674" s="16">
        <v>-9.3941379999999998E-3</v>
      </c>
      <c r="E1674" s="8">
        <v>-4.6970689999999999E-3</v>
      </c>
    </row>
    <row r="1675" spans="1:5" x14ac:dyDescent="0.3">
      <c r="A1675" s="8">
        <v>58</v>
      </c>
      <c r="B1675" s="8">
        <v>21</v>
      </c>
      <c r="C1675" s="8">
        <v>3056</v>
      </c>
      <c r="D1675" s="16">
        <v>-3.6229049999999999E-2</v>
      </c>
      <c r="E1675" s="8">
        <v>-1.8114524999999999E-2</v>
      </c>
    </row>
    <row r="1676" spans="1:5" x14ac:dyDescent="0.3">
      <c r="A1676" s="8">
        <v>58</v>
      </c>
      <c r="B1676" s="8">
        <v>22</v>
      </c>
      <c r="C1676" s="8">
        <v>3046</v>
      </c>
      <c r="D1676" s="16">
        <v>-5.7056880000000004E-3</v>
      </c>
      <c r="E1676" s="8">
        <v>-2.8528440000000002E-3</v>
      </c>
    </row>
    <row r="1677" spans="1:5" x14ac:dyDescent="0.3">
      <c r="A1677" s="8">
        <v>58</v>
      </c>
      <c r="B1677" s="8">
        <v>23</v>
      </c>
      <c r="C1677" s="8">
        <v>3044</v>
      </c>
      <c r="D1677" s="16">
        <v>-1.3061069999999999E-2</v>
      </c>
      <c r="E1677" s="8">
        <v>-6.5305349999999996E-3</v>
      </c>
    </row>
    <row r="1678" spans="1:5" x14ac:dyDescent="0.3">
      <c r="A1678" s="8">
        <v>58</v>
      </c>
      <c r="B1678" s="8">
        <v>24</v>
      </c>
      <c r="C1678" s="8">
        <v>3076</v>
      </c>
      <c r="D1678" s="16">
        <v>-4.3017449999999999E-2</v>
      </c>
      <c r="E1678" s="8">
        <v>-2.1508724999999999E-2</v>
      </c>
    </row>
    <row r="1679" spans="1:5" x14ac:dyDescent="0.3">
      <c r="A1679" s="8">
        <v>58</v>
      </c>
      <c r="B1679" s="8">
        <v>25</v>
      </c>
      <c r="C1679" s="8">
        <v>3054</v>
      </c>
      <c r="D1679" s="16">
        <v>-5.9797219999999998E-2</v>
      </c>
      <c r="E1679" s="8">
        <v>-2.9898609999999999E-2</v>
      </c>
    </row>
    <row r="1680" spans="1:5" x14ac:dyDescent="0.3">
      <c r="A1680" s="8">
        <v>58</v>
      </c>
      <c r="B1680" s="8">
        <v>26</v>
      </c>
      <c r="C1680" s="8">
        <v>3068</v>
      </c>
      <c r="D1680" s="16">
        <v>1.958673E-2</v>
      </c>
      <c r="E1680" s="8">
        <v>9.7933650000000001E-3</v>
      </c>
    </row>
    <row r="1681" spans="1:5" x14ac:dyDescent="0.3">
      <c r="A1681" s="8">
        <v>58</v>
      </c>
      <c r="B1681" s="8">
        <v>27</v>
      </c>
      <c r="C1681" s="8">
        <v>3074</v>
      </c>
      <c r="D1681" s="16">
        <v>1.186634E-2</v>
      </c>
      <c r="E1681" s="8">
        <v>5.9331699999999998E-3</v>
      </c>
    </row>
    <row r="1682" spans="1:5" x14ac:dyDescent="0.3">
      <c r="A1682" s="8">
        <v>58</v>
      </c>
      <c r="B1682" s="8">
        <v>28</v>
      </c>
      <c r="C1682" s="8">
        <v>3042</v>
      </c>
      <c r="D1682" s="16">
        <v>-6.8482270000000001E-3</v>
      </c>
      <c r="E1682" s="8">
        <v>-3.4241135000000001E-3</v>
      </c>
    </row>
    <row r="1683" spans="1:5" x14ac:dyDescent="0.3">
      <c r="A1683" s="8">
        <v>58</v>
      </c>
      <c r="B1683" s="8">
        <v>29</v>
      </c>
      <c r="C1683" s="8">
        <v>3048</v>
      </c>
      <c r="D1683" s="16">
        <v>8.35434E-3</v>
      </c>
      <c r="E1683" s="8">
        <v>4.17717E-3</v>
      </c>
    </row>
    <row r="1684" spans="1:5" x14ac:dyDescent="0.3">
      <c r="A1684" s="8">
        <v>58</v>
      </c>
      <c r="B1684" s="8">
        <v>30</v>
      </c>
      <c r="C1684" s="8">
        <v>3052</v>
      </c>
      <c r="D1684" s="16">
        <v>-8.8121799999999993E-3</v>
      </c>
      <c r="E1684" s="8">
        <v>-4.4060899999999997E-3</v>
      </c>
    </row>
    <row r="1685" spans="1:5" x14ac:dyDescent="0.3">
      <c r="A1685" s="8">
        <v>58</v>
      </c>
      <c r="B1685" s="8">
        <v>31</v>
      </c>
      <c r="C1685" s="8">
        <v>2979</v>
      </c>
      <c r="D1685" s="16">
        <v>-2.7913090000000002E-2</v>
      </c>
      <c r="E1685" s="8">
        <v>-1.3956545000000001E-2</v>
      </c>
    </row>
    <row r="1686" spans="1:5" x14ac:dyDescent="0.3">
      <c r="A1686" s="8">
        <v>58</v>
      </c>
      <c r="B1686" s="8">
        <v>32</v>
      </c>
      <c r="C1686" s="8">
        <v>3044</v>
      </c>
      <c r="D1686" s="16">
        <v>-3.738553E-2</v>
      </c>
      <c r="E1686" s="8">
        <v>-1.8692765E-2</v>
      </c>
    </row>
    <row r="1687" spans="1:5" x14ac:dyDescent="0.3">
      <c r="A1687" s="8">
        <v>58</v>
      </c>
      <c r="B1687" s="8">
        <v>33</v>
      </c>
      <c r="C1687" s="8">
        <v>3075</v>
      </c>
      <c r="D1687" s="16">
        <v>-8.1123169999999994E-2</v>
      </c>
      <c r="E1687" s="8">
        <v>-4.0561584999999997E-2</v>
      </c>
    </row>
    <row r="1688" spans="1:5" x14ac:dyDescent="0.3">
      <c r="A1688" s="8">
        <v>58</v>
      </c>
      <c r="B1688" s="8">
        <v>34</v>
      </c>
      <c r="C1688" s="8">
        <v>3061</v>
      </c>
      <c r="D1688" s="16">
        <v>-3.840027E-2</v>
      </c>
      <c r="E1688" s="8">
        <v>-1.9200135E-2</v>
      </c>
    </row>
    <row r="1689" spans="1:5" x14ac:dyDescent="0.3">
      <c r="A1689" s="8">
        <v>58</v>
      </c>
      <c r="B1689" s="8">
        <v>35</v>
      </c>
      <c r="C1689" s="8">
        <v>3053</v>
      </c>
      <c r="D1689" s="16">
        <v>1.0627279999999999E-2</v>
      </c>
      <c r="E1689" s="8">
        <v>5.3136399999999997E-3</v>
      </c>
    </row>
    <row r="1690" spans="1:5" x14ac:dyDescent="0.3">
      <c r="A1690" s="8">
        <v>58</v>
      </c>
      <c r="B1690" s="8">
        <v>36</v>
      </c>
      <c r="C1690" s="8">
        <v>3063</v>
      </c>
      <c r="D1690" s="16">
        <v>1.192841E-2</v>
      </c>
      <c r="E1690" s="8">
        <v>5.9642050000000002E-3</v>
      </c>
    </row>
    <row r="1691" spans="1:5" x14ac:dyDescent="0.3">
      <c r="A1691" s="8">
        <v>58</v>
      </c>
      <c r="B1691" s="8">
        <v>37</v>
      </c>
      <c r="C1691" s="8">
        <v>3027</v>
      </c>
      <c r="D1691" s="16">
        <v>1.085115E-2</v>
      </c>
      <c r="E1691" s="8">
        <v>5.4255750000000002E-3</v>
      </c>
    </row>
    <row r="1692" spans="1:5" x14ac:dyDescent="0.3">
      <c r="A1692" s="8">
        <v>58</v>
      </c>
      <c r="B1692" s="8">
        <v>38</v>
      </c>
      <c r="C1692" s="8">
        <v>3071</v>
      </c>
      <c r="D1692" s="16">
        <v>-3.4145439999999999E-2</v>
      </c>
      <c r="E1692" s="8">
        <v>-1.707272E-2</v>
      </c>
    </row>
    <row r="1693" spans="1:5" x14ac:dyDescent="0.3">
      <c r="A1693" s="8">
        <v>58</v>
      </c>
      <c r="B1693" s="8">
        <v>39</v>
      </c>
      <c r="C1693" s="8">
        <v>3067</v>
      </c>
      <c r="D1693" s="16">
        <v>-4.9898820000000002E-3</v>
      </c>
      <c r="E1693" s="8">
        <v>-2.4949410000000001E-3</v>
      </c>
    </row>
    <row r="1694" spans="1:5" x14ac:dyDescent="0.3">
      <c r="A1694" s="8">
        <v>58</v>
      </c>
      <c r="B1694" s="8">
        <v>40</v>
      </c>
      <c r="C1694" s="8">
        <v>3060</v>
      </c>
      <c r="D1694" s="16">
        <v>4.7874969999999999E-3</v>
      </c>
      <c r="E1694" s="8">
        <v>2.3937485E-3</v>
      </c>
    </row>
    <row r="1695" spans="1:5" x14ac:dyDescent="0.3">
      <c r="A1695" s="8">
        <v>58</v>
      </c>
      <c r="B1695" s="8">
        <v>41</v>
      </c>
      <c r="C1695" s="8">
        <v>3036</v>
      </c>
      <c r="D1695" s="16">
        <v>-3.7779319999999998E-2</v>
      </c>
      <c r="E1695" s="8">
        <v>-1.8889659999999999E-2</v>
      </c>
    </row>
    <row r="1696" spans="1:5" x14ac:dyDescent="0.3">
      <c r="A1696" s="8">
        <v>58</v>
      </c>
      <c r="B1696" s="8">
        <v>42</v>
      </c>
      <c r="C1696" s="8">
        <v>3030</v>
      </c>
      <c r="D1696" s="16">
        <v>-2.1533960000000001E-2</v>
      </c>
      <c r="E1696" s="8">
        <v>-1.0766980000000001E-2</v>
      </c>
    </row>
    <row r="1697" spans="1:5" x14ac:dyDescent="0.3">
      <c r="A1697" s="8">
        <v>58</v>
      </c>
      <c r="B1697" s="8">
        <v>43</v>
      </c>
      <c r="C1697" s="8">
        <v>3049</v>
      </c>
      <c r="D1697" s="16">
        <v>2.543575E-2</v>
      </c>
      <c r="E1697" s="8">
        <v>1.2717875E-2</v>
      </c>
    </row>
    <row r="1698" spans="1:5" x14ac:dyDescent="0.3">
      <c r="A1698" s="8">
        <v>58</v>
      </c>
      <c r="B1698" s="8">
        <v>44</v>
      </c>
      <c r="C1698" s="8">
        <v>3029</v>
      </c>
      <c r="D1698" s="16">
        <v>1.312599E-3</v>
      </c>
      <c r="E1698" s="8">
        <v>6.5629950000000001E-4</v>
      </c>
    </row>
    <row r="1699" spans="1:5" x14ac:dyDescent="0.3">
      <c r="A1699" s="8">
        <v>58</v>
      </c>
      <c r="B1699" s="8">
        <v>45</v>
      </c>
      <c r="C1699" s="8">
        <v>3058</v>
      </c>
      <c r="D1699" s="16">
        <v>-5.026597E-2</v>
      </c>
      <c r="E1699" s="8">
        <v>-2.5132985E-2</v>
      </c>
    </row>
    <row r="1700" spans="1:5" x14ac:dyDescent="0.3">
      <c r="A1700" s="8">
        <v>58</v>
      </c>
      <c r="B1700" s="8">
        <v>46</v>
      </c>
      <c r="C1700" s="8">
        <v>3048</v>
      </c>
      <c r="D1700" s="16">
        <v>-9.0761769999999995E-3</v>
      </c>
      <c r="E1700" s="8">
        <v>-4.5380884999999998E-3</v>
      </c>
    </row>
    <row r="1701" spans="1:5" x14ac:dyDescent="0.3">
      <c r="A1701" s="8">
        <v>58</v>
      </c>
      <c r="B1701" s="8">
        <v>47</v>
      </c>
      <c r="C1701" s="8">
        <v>3033</v>
      </c>
      <c r="D1701" s="16">
        <v>-2.9207980000000001E-2</v>
      </c>
      <c r="E1701" s="8">
        <v>-1.4603990000000001E-2</v>
      </c>
    </row>
    <row r="1702" spans="1:5" x14ac:dyDescent="0.3">
      <c r="A1702" s="8">
        <v>58</v>
      </c>
      <c r="B1702" s="8">
        <v>48</v>
      </c>
      <c r="C1702" s="8">
        <v>3055</v>
      </c>
      <c r="D1702" s="16">
        <v>1.888254E-3</v>
      </c>
      <c r="E1702" s="8">
        <v>9.4412700000000001E-4</v>
      </c>
    </row>
    <row r="1703" spans="1:5" x14ac:dyDescent="0.3">
      <c r="A1703" s="8">
        <v>58</v>
      </c>
      <c r="B1703" s="8">
        <v>49</v>
      </c>
      <c r="C1703" s="8">
        <v>3026</v>
      </c>
      <c r="D1703" s="16">
        <v>-2.291723E-2</v>
      </c>
      <c r="E1703" s="8">
        <v>-1.1458615E-2</v>
      </c>
    </row>
    <row r="1704" spans="1:5" x14ac:dyDescent="0.3">
      <c r="A1704" s="8">
        <v>58</v>
      </c>
      <c r="B1704" s="8">
        <v>50</v>
      </c>
      <c r="C1704" s="8">
        <v>3069</v>
      </c>
      <c r="D1704" s="16">
        <v>7.2437059999999999E-3</v>
      </c>
      <c r="E1704" s="8">
        <v>3.621853E-3</v>
      </c>
    </row>
    <row r="1705" spans="1:5" x14ac:dyDescent="0.3">
      <c r="A1705" s="8">
        <v>58</v>
      </c>
      <c r="B1705" s="8">
        <v>51</v>
      </c>
      <c r="C1705" s="8">
        <v>3047</v>
      </c>
      <c r="D1705" s="16">
        <v>-2.3080400000000001E-2</v>
      </c>
      <c r="E1705" s="8">
        <v>-1.15402E-2</v>
      </c>
    </row>
    <row r="1706" spans="1:5" x14ac:dyDescent="0.3">
      <c r="A1706" s="8">
        <v>58</v>
      </c>
      <c r="B1706" s="8">
        <v>52</v>
      </c>
      <c r="C1706" s="8">
        <v>3054</v>
      </c>
      <c r="D1706" s="16">
        <v>-5.3047669999999998E-2</v>
      </c>
      <c r="E1706" s="8">
        <v>-2.6523834999999999E-2</v>
      </c>
    </row>
    <row r="1707" spans="1:5" x14ac:dyDescent="0.3">
      <c r="A1707" s="8">
        <v>58</v>
      </c>
      <c r="B1707" s="8">
        <v>53</v>
      </c>
      <c r="C1707" s="8">
        <v>3056</v>
      </c>
      <c r="D1707" s="16">
        <v>-3.4958099999999999E-2</v>
      </c>
      <c r="E1707" s="8">
        <v>-1.7479049999999999E-2</v>
      </c>
    </row>
    <row r="1708" spans="1:5" x14ac:dyDescent="0.3">
      <c r="A1708" s="8">
        <v>58</v>
      </c>
      <c r="B1708" s="8">
        <v>54</v>
      </c>
      <c r="C1708" s="8">
        <v>3042</v>
      </c>
      <c r="D1708" s="16">
        <v>-3.9085219999999997E-2</v>
      </c>
      <c r="E1708" s="8">
        <v>-1.9542609999999998E-2</v>
      </c>
    </row>
    <row r="1709" spans="1:5" x14ac:dyDescent="0.3">
      <c r="A1709" s="8">
        <v>58</v>
      </c>
      <c r="B1709" s="8">
        <v>55</v>
      </c>
      <c r="C1709" s="8">
        <v>3060</v>
      </c>
      <c r="D1709" s="16">
        <v>-2.3630709999999999E-2</v>
      </c>
      <c r="E1709" s="8">
        <v>-1.1815355E-2</v>
      </c>
    </row>
    <row r="1710" spans="1:5" x14ac:dyDescent="0.3">
      <c r="A1710" s="8">
        <v>58</v>
      </c>
      <c r="B1710" s="8">
        <v>56</v>
      </c>
      <c r="C1710" s="8">
        <v>3062</v>
      </c>
      <c r="D1710" s="16">
        <v>1.985895E-2</v>
      </c>
      <c r="E1710" s="8">
        <v>9.9294750000000001E-3</v>
      </c>
    </row>
    <row r="1711" spans="1:5" x14ac:dyDescent="0.3">
      <c r="A1711" s="8">
        <v>58</v>
      </c>
      <c r="B1711" s="8">
        <v>57</v>
      </c>
      <c r="C1711" s="8">
        <v>3074</v>
      </c>
      <c r="D1711" s="16">
        <v>-1.550165E-2</v>
      </c>
      <c r="E1711" s="8">
        <v>-7.7508250000000002E-3</v>
      </c>
    </row>
    <row r="1712" spans="1:5" x14ac:dyDescent="0.3">
      <c r="A1712" s="8">
        <v>58</v>
      </c>
      <c r="B1712" s="8">
        <v>58</v>
      </c>
      <c r="C1712" s="8">
        <v>3155</v>
      </c>
      <c r="D1712" s="16">
        <v>1.0823910000000001</v>
      </c>
      <c r="E1712" s="8"/>
    </row>
    <row r="1713" spans="1:5" x14ac:dyDescent="0.3">
      <c r="A1713" s="8">
        <v>59</v>
      </c>
      <c r="B1713" s="8">
        <v>1</v>
      </c>
      <c r="C1713" s="8">
        <v>3076</v>
      </c>
      <c r="D1713" s="16">
        <v>1.134249E-2</v>
      </c>
      <c r="E1713" s="8">
        <v>5.6712450000000001E-3</v>
      </c>
    </row>
    <row r="1714" spans="1:5" x14ac:dyDescent="0.3">
      <c r="A1714" s="8">
        <v>59</v>
      </c>
      <c r="B1714" s="8">
        <v>2</v>
      </c>
      <c r="C1714" s="8">
        <v>3046</v>
      </c>
      <c r="D1714" s="16">
        <v>-4.3585730000000003E-2</v>
      </c>
      <c r="E1714" s="8">
        <v>-2.1792865000000002E-2</v>
      </c>
    </row>
    <row r="1715" spans="1:5" x14ac:dyDescent="0.3">
      <c r="A1715" s="8">
        <v>59</v>
      </c>
      <c r="B1715" s="8">
        <v>3</v>
      </c>
      <c r="C1715" s="8">
        <v>3067</v>
      </c>
      <c r="D1715" s="16">
        <v>2.3603209999999999E-3</v>
      </c>
      <c r="E1715" s="8">
        <v>1.1801604999999999E-3</v>
      </c>
    </row>
    <row r="1716" spans="1:5" x14ac:dyDescent="0.3">
      <c r="A1716" s="8">
        <v>59</v>
      </c>
      <c r="B1716" s="8">
        <v>4</v>
      </c>
      <c r="C1716" s="8">
        <v>3046</v>
      </c>
      <c r="D1716" s="16">
        <v>-2.943979E-2</v>
      </c>
      <c r="E1716" s="8">
        <v>-1.4719895E-2</v>
      </c>
    </row>
    <row r="1717" spans="1:5" x14ac:dyDescent="0.3">
      <c r="A1717" s="8">
        <v>59</v>
      </c>
      <c r="B1717" s="8">
        <v>5</v>
      </c>
      <c r="C1717" s="8">
        <v>3034</v>
      </c>
      <c r="D1717" s="16">
        <v>1.4620889999999999E-2</v>
      </c>
      <c r="E1717" s="8">
        <v>7.3104449999999996E-3</v>
      </c>
    </row>
    <row r="1718" spans="1:5" x14ac:dyDescent="0.3">
      <c r="A1718" s="8">
        <v>59</v>
      </c>
      <c r="B1718" s="8">
        <v>6</v>
      </c>
      <c r="C1718" s="8">
        <v>3052</v>
      </c>
      <c r="D1718" s="16">
        <v>1.808839E-3</v>
      </c>
      <c r="E1718" s="8">
        <v>9.0441950000000001E-4</v>
      </c>
    </row>
    <row r="1719" spans="1:5" x14ac:dyDescent="0.3">
      <c r="A1719" s="8">
        <v>59</v>
      </c>
      <c r="B1719" s="8">
        <v>7</v>
      </c>
      <c r="C1719" s="8">
        <v>3049</v>
      </c>
      <c r="D1719" s="16">
        <v>-5.0256290000000002E-2</v>
      </c>
      <c r="E1719" s="8">
        <v>-2.5128145000000001E-2</v>
      </c>
    </row>
    <row r="1720" spans="1:5" x14ac:dyDescent="0.3">
      <c r="A1720" s="8">
        <v>59</v>
      </c>
      <c r="B1720" s="8">
        <v>8</v>
      </c>
      <c r="C1720" s="8">
        <v>3067</v>
      </c>
      <c r="D1720" s="16">
        <v>-0.1006094</v>
      </c>
      <c r="E1720" s="8">
        <v>-5.0304700000000001E-2</v>
      </c>
    </row>
    <row r="1721" spans="1:5" x14ac:dyDescent="0.3">
      <c r="A1721" s="8">
        <v>59</v>
      </c>
      <c r="B1721" s="8">
        <v>9</v>
      </c>
      <c r="C1721" s="8">
        <v>3057</v>
      </c>
      <c r="D1721" s="16">
        <v>-7.5928690000000004E-3</v>
      </c>
      <c r="E1721" s="8">
        <v>-3.7964345000000002E-3</v>
      </c>
    </row>
    <row r="1722" spans="1:5" x14ac:dyDescent="0.3">
      <c r="A1722" s="8">
        <v>59</v>
      </c>
      <c r="B1722" s="8">
        <v>10</v>
      </c>
      <c r="C1722" s="8">
        <v>3045</v>
      </c>
      <c r="D1722" s="16">
        <v>1.9704280000000001E-2</v>
      </c>
      <c r="E1722" s="8">
        <v>9.8521400000000005E-3</v>
      </c>
    </row>
    <row r="1723" spans="1:5" x14ac:dyDescent="0.3">
      <c r="A1723" s="8">
        <v>59</v>
      </c>
      <c r="B1723" s="8">
        <v>11</v>
      </c>
      <c r="C1723" s="8">
        <v>3048</v>
      </c>
      <c r="D1723" s="16">
        <v>-3.4901840000000003E-2</v>
      </c>
      <c r="E1723" s="8">
        <v>-1.7450920000000002E-2</v>
      </c>
    </row>
    <row r="1724" spans="1:5" x14ac:dyDescent="0.3">
      <c r="A1724" s="8">
        <v>59</v>
      </c>
      <c r="B1724" s="8">
        <v>12</v>
      </c>
      <c r="C1724" s="8">
        <v>3069</v>
      </c>
      <c r="D1724" s="16">
        <v>9.5065770000000004E-3</v>
      </c>
      <c r="E1724" s="8">
        <v>4.7532885000000002E-3</v>
      </c>
    </row>
    <row r="1725" spans="1:5" x14ac:dyDescent="0.3">
      <c r="A1725" s="8">
        <v>59</v>
      </c>
      <c r="B1725" s="8">
        <v>13</v>
      </c>
      <c r="C1725" s="8">
        <v>3053</v>
      </c>
      <c r="D1725" s="16">
        <v>-2.8280659999999999E-2</v>
      </c>
      <c r="E1725" s="8">
        <v>-1.414033E-2</v>
      </c>
    </row>
    <row r="1726" spans="1:5" x14ac:dyDescent="0.3">
      <c r="A1726" s="8">
        <v>59</v>
      </c>
      <c r="B1726" s="8">
        <v>14</v>
      </c>
      <c r="C1726" s="8">
        <v>3043</v>
      </c>
      <c r="D1726" s="16">
        <v>-1.588378E-2</v>
      </c>
      <c r="E1726" s="8">
        <v>-7.9418900000000001E-3</v>
      </c>
    </row>
    <row r="1727" spans="1:5" x14ac:dyDescent="0.3">
      <c r="A1727" s="8">
        <v>59</v>
      </c>
      <c r="B1727" s="8">
        <v>15</v>
      </c>
      <c r="C1727" s="8">
        <v>3060</v>
      </c>
      <c r="D1727" s="16">
        <v>-1.6543289999999999E-2</v>
      </c>
      <c r="E1727" s="8">
        <v>-8.2716449999999993E-3</v>
      </c>
    </row>
    <row r="1728" spans="1:5" x14ac:dyDescent="0.3">
      <c r="A1728" s="8">
        <v>59</v>
      </c>
      <c r="B1728" s="8">
        <v>16</v>
      </c>
      <c r="C1728" s="8">
        <v>3058</v>
      </c>
      <c r="D1728" s="16">
        <v>-4.2543289999999997E-2</v>
      </c>
      <c r="E1728" s="8">
        <v>-2.1271644999999999E-2</v>
      </c>
    </row>
    <row r="1729" spans="1:5" x14ac:dyDescent="0.3">
      <c r="A1729" s="8">
        <v>59</v>
      </c>
      <c r="B1729" s="8">
        <v>17</v>
      </c>
      <c r="C1729" s="8">
        <v>3056</v>
      </c>
      <c r="D1729" s="16">
        <v>-5.0982939999999997E-2</v>
      </c>
      <c r="E1729" s="8">
        <v>-2.5491469999999999E-2</v>
      </c>
    </row>
    <row r="1730" spans="1:5" x14ac:dyDescent="0.3">
      <c r="A1730" s="8">
        <v>59</v>
      </c>
      <c r="B1730" s="8">
        <v>18</v>
      </c>
      <c r="C1730" s="8">
        <v>3075</v>
      </c>
      <c r="D1730" s="16">
        <v>-8.8912499999999998E-3</v>
      </c>
      <c r="E1730" s="8">
        <v>-4.4456249999999999E-3</v>
      </c>
    </row>
    <row r="1731" spans="1:5" x14ac:dyDescent="0.3">
      <c r="A1731" s="8">
        <v>59</v>
      </c>
      <c r="B1731" s="8">
        <v>19</v>
      </c>
      <c r="C1731" s="8">
        <v>3057</v>
      </c>
      <c r="D1731" s="16">
        <v>-1.970266E-2</v>
      </c>
      <c r="E1731" s="8">
        <v>-9.8513300000000002E-3</v>
      </c>
    </row>
    <row r="1732" spans="1:5" x14ac:dyDescent="0.3">
      <c r="A1732" s="8">
        <v>59</v>
      </c>
      <c r="B1732" s="8">
        <v>20</v>
      </c>
      <c r="C1732" s="8">
        <v>3065</v>
      </c>
      <c r="D1732" s="16">
        <v>-4.1971849999999998E-2</v>
      </c>
      <c r="E1732" s="8">
        <v>-2.0985924999999999E-2</v>
      </c>
    </row>
    <row r="1733" spans="1:5" x14ac:dyDescent="0.3">
      <c r="A1733" s="8">
        <v>59</v>
      </c>
      <c r="B1733" s="8">
        <v>21</v>
      </c>
      <c r="C1733" s="8">
        <v>3063</v>
      </c>
      <c r="D1733" s="16">
        <v>-5.3967800000000003E-2</v>
      </c>
      <c r="E1733" s="8">
        <v>-2.6983900000000002E-2</v>
      </c>
    </row>
    <row r="1734" spans="1:5" x14ac:dyDescent="0.3">
      <c r="A1734" s="8">
        <v>59</v>
      </c>
      <c r="B1734" s="8">
        <v>22</v>
      </c>
      <c r="C1734" s="8">
        <v>3051</v>
      </c>
      <c r="D1734" s="16">
        <v>-2.8591129999999999E-2</v>
      </c>
      <c r="E1734" s="8">
        <v>-1.4295565E-2</v>
      </c>
    </row>
    <row r="1735" spans="1:5" x14ac:dyDescent="0.3">
      <c r="A1735" s="8">
        <v>59</v>
      </c>
      <c r="B1735" s="8">
        <v>23</v>
      </c>
      <c r="C1735" s="8">
        <v>3052</v>
      </c>
      <c r="D1735" s="16">
        <v>-3.3356950000000003E-2</v>
      </c>
      <c r="E1735" s="8">
        <v>-1.6678475000000002E-2</v>
      </c>
    </row>
    <row r="1736" spans="1:5" x14ac:dyDescent="0.3">
      <c r="A1736" s="8">
        <v>59</v>
      </c>
      <c r="B1736" s="8">
        <v>24</v>
      </c>
      <c r="C1736" s="8">
        <v>3079</v>
      </c>
      <c r="D1736" s="16">
        <v>-6.154768E-2</v>
      </c>
      <c r="E1736" s="8">
        <v>-3.077384E-2</v>
      </c>
    </row>
    <row r="1737" spans="1:5" x14ac:dyDescent="0.3">
      <c r="A1737" s="8">
        <v>59</v>
      </c>
      <c r="B1737" s="8">
        <v>25</v>
      </c>
      <c r="C1737" s="8">
        <v>3058</v>
      </c>
      <c r="D1737" s="16">
        <v>-5.2092470000000002E-2</v>
      </c>
      <c r="E1737" s="8">
        <v>-2.6046235000000001E-2</v>
      </c>
    </row>
    <row r="1738" spans="1:5" x14ac:dyDescent="0.3">
      <c r="A1738" s="8">
        <v>59</v>
      </c>
      <c r="B1738" s="8">
        <v>26</v>
      </c>
      <c r="C1738" s="8">
        <v>3070</v>
      </c>
      <c r="D1738" s="16">
        <v>-8.1351519999999997E-3</v>
      </c>
      <c r="E1738" s="8">
        <v>-4.0675759999999998E-3</v>
      </c>
    </row>
    <row r="1739" spans="1:5" x14ac:dyDescent="0.3">
      <c r="A1739" s="8">
        <v>59</v>
      </c>
      <c r="B1739" s="8">
        <v>27</v>
      </c>
      <c r="C1739" s="8">
        <v>3076</v>
      </c>
      <c r="D1739" s="16">
        <v>-3.1595409999999997E-2</v>
      </c>
      <c r="E1739" s="8">
        <v>-1.5797704999999999E-2</v>
      </c>
    </row>
    <row r="1740" spans="1:5" x14ac:dyDescent="0.3">
      <c r="A1740" s="8">
        <v>59</v>
      </c>
      <c r="B1740" s="8">
        <v>28</v>
      </c>
      <c r="C1740" s="8">
        <v>3041</v>
      </c>
      <c r="D1740" s="16">
        <v>2.8655259999999998E-2</v>
      </c>
      <c r="E1740" s="8">
        <v>1.4327629999999999E-2</v>
      </c>
    </row>
    <row r="1741" spans="1:5" x14ac:dyDescent="0.3">
      <c r="A1741" s="8">
        <v>59</v>
      </c>
      <c r="B1741" s="8">
        <v>29</v>
      </c>
      <c r="C1741" s="8">
        <v>3053</v>
      </c>
      <c r="D1741" s="16">
        <v>-3.1270680000000002E-3</v>
      </c>
      <c r="E1741" s="8">
        <v>-1.5635340000000001E-3</v>
      </c>
    </row>
    <row r="1742" spans="1:5" x14ac:dyDescent="0.3">
      <c r="A1742" s="8">
        <v>59</v>
      </c>
      <c r="B1742" s="8">
        <v>30</v>
      </c>
      <c r="C1742" s="8">
        <v>3058</v>
      </c>
      <c r="D1742" s="16">
        <v>-1.4139290000000001E-2</v>
      </c>
      <c r="E1742" s="8">
        <v>-7.0696450000000003E-3</v>
      </c>
    </row>
    <row r="1743" spans="1:5" x14ac:dyDescent="0.3">
      <c r="A1743" s="8">
        <v>59</v>
      </c>
      <c r="B1743" s="8">
        <v>31</v>
      </c>
      <c r="C1743" s="8">
        <v>2982</v>
      </c>
      <c r="D1743" s="16">
        <v>-3.9383300000000003E-3</v>
      </c>
      <c r="E1743" s="8">
        <v>-1.9691650000000002E-3</v>
      </c>
    </row>
    <row r="1744" spans="1:5" x14ac:dyDescent="0.3">
      <c r="A1744" s="8">
        <v>59</v>
      </c>
      <c r="B1744" s="8">
        <v>32</v>
      </c>
      <c r="C1744" s="8">
        <v>3047</v>
      </c>
      <c r="D1744" s="16">
        <v>-9.6732199999999997E-3</v>
      </c>
      <c r="E1744" s="8">
        <v>-4.8366099999999999E-3</v>
      </c>
    </row>
    <row r="1745" spans="1:5" x14ac:dyDescent="0.3">
      <c r="A1745" s="8">
        <v>59</v>
      </c>
      <c r="B1745" s="8">
        <v>33</v>
      </c>
      <c r="C1745" s="8">
        <v>3074</v>
      </c>
      <c r="D1745" s="16">
        <v>-1.6820470000000001E-2</v>
      </c>
      <c r="E1745" s="8">
        <v>-8.4102350000000003E-3</v>
      </c>
    </row>
    <row r="1746" spans="1:5" x14ac:dyDescent="0.3">
      <c r="A1746" s="8">
        <v>59</v>
      </c>
      <c r="B1746" s="8">
        <v>34</v>
      </c>
      <c r="C1746" s="8">
        <v>3066</v>
      </c>
      <c r="D1746" s="16">
        <v>-1.6837779999999999E-3</v>
      </c>
      <c r="E1746" s="8">
        <v>-8.4188899999999996E-4</v>
      </c>
    </row>
    <row r="1747" spans="1:5" x14ac:dyDescent="0.3">
      <c r="A1747" s="8">
        <v>59</v>
      </c>
      <c r="B1747" s="8">
        <v>35</v>
      </c>
      <c r="C1747" s="8">
        <v>3060</v>
      </c>
      <c r="D1747" s="16">
        <v>6.3675670000000004E-2</v>
      </c>
      <c r="E1747" s="8">
        <v>3.1837835000000002E-2</v>
      </c>
    </row>
    <row r="1748" spans="1:5" x14ac:dyDescent="0.3">
      <c r="A1748" s="8">
        <v>59</v>
      </c>
      <c r="B1748" s="8">
        <v>36</v>
      </c>
      <c r="C1748" s="8">
        <v>3067</v>
      </c>
      <c r="D1748" s="16">
        <v>-9.6555559999999992E-3</v>
      </c>
      <c r="E1748" s="8">
        <v>-4.8277779999999996E-3</v>
      </c>
    </row>
    <row r="1749" spans="1:5" x14ac:dyDescent="0.3">
      <c r="A1749" s="8">
        <v>59</v>
      </c>
      <c r="B1749" s="8">
        <v>37</v>
      </c>
      <c r="C1749" s="8">
        <v>3035</v>
      </c>
      <c r="D1749" s="16">
        <v>1.170211E-2</v>
      </c>
      <c r="E1749" s="8">
        <v>5.851055E-3</v>
      </c>
    </row>
    <row r="1750" spans="1:5" x14ac:dyDescent="0.3">
      <c r="A1750" s="8">
        <v>59</v>
      </c>
      <c r="B1750" s="8">
        <v>38</v>
      </c>
      <c r="C1750" s="8">
        <v>3080</v>
      </c>
      <c r="D1750" s="16">
        <v>5.8082509999999997E-2</v>
      </c>
      <c r="E1750" s="8">
        <v>2.9041254999999998E-2</v>
      </c>
    </row>
    <row r="1751" spans="1:5" x14ac:dyDescent="0.3">
      <c r="A1751" s="8">
        <v>59</v>
      </c>
      <c r="B1751" s="8">
        <v>39</v>
      </c>
      <c r="C1751" s="8">
        <v>3072</v>
      </c>
      <c r="D1751" s="16">
        <v>-5.5164530000000002E-3</v>
      </c>
      <c r="E1751" s="8">
        <v>-2.7582265000000001E-3</v>
      </c>
    </row>
    <row r="1752" spans="1:5" x14ac:dyDescent="0.3">
      <c r="A1752" s="8">
        <v>59</v>
      </c>
      <c r="B1752" s="8">
        <v>40</v>
      </c>
      <c r="C1752" s="8">
        <v>3062</v>
      </c>
      <c r="D1752" s="16">
        <v>-1.608849E-2</v>
      </c>
      <c r="E1752" s="8">
        <v>-8.0442450000000002E-3</v>
      </c>
    </row>
    <row r="1753" spans="1:5" x14ac:dyDescent="0.3">
      <c r="A1753" s="8">
        <v>59</v>
      </c>
      <c r="B1753" s="8">
        <v>41</v>
      </c>
      <c r="C1753" s="8">
        <v>3036</v>
      </c>
      <c r="D1753" s="16">
        <v>-1.0237639999999999E-2</v>
      </c>
      <c r="E1753" s="8">
        <v>-5.1188199999999996E-3</v>
      </c>
    </row>
    <row r="1754" spans="1:5" x14ac:dyDescent="0.3">
      <c r="A1754" s="8">
        <v>59</v>
      </c>
      <c r="B1754" s="8">
        <v>42</v>
      </c>
      <c r="C1754" s="8">
        <v>3033</v>
      </c>
      <c r="D1754" s="16">
        <v>-1.5189080000000001E-2</v>
      </c>
      <c r="E1754" s="8">
        <v>-7.5945400000000003E-3</v>
      </c>
    </row>
    <row r="1755" spans="1:5" x14ac:dyDescent="0.3">
      <c r="A1755" s="8">
        <v>59</v>
      </c>
      <c r="B1755" s="8">
        <v>43</v>
      </c>
      <c r="C1755" s="8">
        <v>3053</v>
      </c>
      <c r="D1755" s="16">
        <v>-4.527105E-2</v>
      </c>
      <c r="E1755" s="8">
        <v>-2.2635525E-2</v>
      </c>
    </row>
    <row r="1756" spans="1:5" x14ac:dyDescent="0.3">
      <c r="A1756" s="8">
        <v>59</v>
      </c>
      <c r="B1756" s="8">
        <v>44</v>
      </c>
      <c r="C1756" s="8">
        <v>3031</v>
      </c>
      <c r="D1756" s="16">
        <v>1.627044E-3</v>
      </c>
      <c r="E1756" s="8">
        <v>8.1352200000000001E-4</v>
      </c>
    </row>
    <row r="1757" spans="1:5" x14ac:dyDescent="0.3">
      <c r="A1757" s="8">
        <v>59</v>
      </c>
      <c r="B1757" s="8">
        <v>45</v>
      </c>
      <c r="C1757" s="8">
        <v>3061</v>
      </c>
      <c r="D1757" s="16">
        <v>1.4474550000000001E-3</v>
      </c>
      <c r="E1757" s="8">
        <v>7.2372750000000003E-4</v>
      </c>
    </row>
    <row r="1758" spans="1:5" x14ac:dyDescent="0.3">
      <c r="A1758" s="8">
        <v>59</v>
      </c>
      <c r="B1758" s="8">
        <v>46</v>
      </c>
      <c r="C1758" s="8">
        <v>3048</v>
      </c>
      <c r="D1758" s="16">
        <v>1.5911249999999998E-2</v>
      </c>
      <c r="E1758" s="8">
        <v>7.9556249999999992E-3</v>
      </c>
    </row>
    <row r="1759" spans="1:5" x14ac:dyDescent="0.3">
      <c r="A1759" s="8">
        <v>59</v>
      </c>
      <c r="B1759" s="8">
        <v>47</v>
      </c>
      <c r="C1759" s="8">
        <v>3036</v>
      </c>
      <c r="D1759" s="16">
        <v>-4.4175020000000002E-2</v>
      </c>
      <c r="E1759" s="8">
        <v>-2.2087510000000001E-2</v>
      </c>
    </row>
    <row r="1760" spans="1:5" x14ac:dyDescent="0.3">
      <c r="A1760" s="8">
        <v>59</v>
      </c>
      <c r="B1760" s="8">
        <v>48</v>
      </c>
      <c r="C1760" s="8">
        <v>3055</v>
      </c>
      <c r="D1760" s="16">
        <v>-1.7247450000000001E-2</v>
      </c>
      <c r="E1760" s="8">
        <v>-8.6237250000000005E-3</v>
      </c>
    </row>
    <row r="1761" spans="1:5" x14ac:dyDescent="0.3">
      <c r="A1761" s="8">
        <v>59</v>
      </c>
      <c r="B1761" s="8">
        <v>49</v>
      </c>
      <c r="C1761" s="8">
        <v>3029</v>
      </c>
      <c r="D1761" s="16">
        <v>-4.2289859999999999E-2</v>
      </c>
      <c r="E1761" s="8">
        <v>-2.1144929999999999E-2</v>
      </c>
    </row>
    <row r="1762" spans="1:5" x14ac:dyDescent="0.3">
      <c r="A1762" s="8">
        <v>59</v>
      </c>
      <c r="B1762" s="8">
        <v>50</v>
      </c>
      <c r="C1762" s="8">
        <v>3070</v>
      </c>
      <c r="D1762" s="16">
        <v>6.8389699999999998E-3</v>
      </c>
      <c r="E1762" s="8">
        <v>3.4194849999999999E-3</v>
      </c>
    </row>
    <row r="1763" spans="1:5" x14ac:dyDescent="0.3">
      <c r="A1763" s="8">
        <v>59</v>
      </c>
      <c r="B1763" s="8">
        <v>51</v>
      </c>
      <c r="C1763" s="8">
        <v>3052</v>
      </c>
      <c r="D1763" s="16">
        <v>-4.9241710000000001E-2</v>
      </c>
      <c r="E1763" s="8">
        <v>-2.4620855000000001E-2</v>
      </c>
    </row>
    <row r="1764" spans="1:5" x14ac:dyDescent="0.3">
      <c r="A1764" s="8">
        <v>59</v>
      </c>
      <c r="B1764" s="8">
        <v>52</v>
      </c>
      <c r="C1764" s="8">
        <v>3054</v>
      </c>
      <c r="D1764" s="16">
        <v>-6.2216559999999997E-2</v>
      </c>
      <c r="E1764" s="8">
        <v>-3.1108279999999999E-2</v>
      </c>
    </row>
    <row r="1765" spans="1:5" x14ac:dyDescent="0.3">
      <c r="A1765" s="8">
        <v>59</v>
      </c>
      <c r="B1765" s="8">
        <v>53</v>
      </c>
      <c r="C1765" s="8">
        <v>3058</v>
      </c>
      <c r="D1765" s="16">
        <v>5.6453129999999999E-3</v>
      </c>
      <c r="E1765" s="8">
        <v>2.8226564999999999E-3</v>
      </c>
    </row>
    <row r="1766" spans="1:5" x14ac:dyDescent="0.3">
      <c r="A1766" s="8">
        <v>59</v>
      </c>
      <c r="B1766" s="8">
        <v>54</v>
      </c>
      <c r="C1766" s="8">
        <v>3042</v>
      </c>
      <c r="D1766" s="16">
        <v>-3.0580510000000002E-2</v>
      </c>
      <c r="E1766" s="8">
        <v>-1.5290255000000001E-2</v>
      </c>
    </row>
    <row r="1767" spans="1:5" x14ac:dyDescent="0.3">
      <c r="A1767" s="8">
        <v>59</v>
      </c>
      <c r="B1767" s="8">
        <v>55</v>
      </c>
      <c r="C1767" s="8">
        <v>3062</v>
      </c>
      <c r="D1767" s="16">
        <v>-1.659588E-2</v>
      </c>
      <c r="E1767" s="8">
        <v>-8.2979400000000002E-3</v>
      </c>
    </row>
    <row r="1768" spans="1:5" x14ac:dyDescent="0.3">
      <c r="A1768" s="8">
        <v>59</v>
      </c>
      <c r="B1768" s="8">
        <v>56</v>
      </c>
      <c r="C1768" s="8">
        <v>3069</v>
      </c>
      <c r="D1768" s="16">
        <v>4.7502860000000001E-2</v>
      </c>
      <c r="E1768" s="8">
        <v>2.375143E-2</v>
      </c>
    </row>
    <row r="1769" spans="1:5" x14ac:dyDescent="0.3">
      <c r="A1769" s="8">
        <v>59</v>
      </c>
      <c r="B1769" s="8">
        <v>57</v>
      </c>
      <c r="C1769" s="8">
        <v>3080</v>
      </c>
      <c r="D1769" s="16">
        <v>-6.0039990000000001E-2</v>
      </c>
      <c r="E1769" s="8">
        <v>-3.0019995000000001E-2</v>
      </c>
    </row>
    <row r="1770" spans="1:5" x14ac:dyDescent="0.3">
      <c r="A1770" s="8">
        <v>59</v>
      </c>
      <c r="B1770" s="8">
        <v>58</v>
      </c>
      <c r="C1770" s="8">
        <v>3062</v>
      </c>
      <c r="D1770" s="16">
        <v>5.959739E-2</v>
      </c>
      <c r="E1770" s="8">
        <v>2.9798695E-2</v>
      </c>
    </row>
    <row r="1771" spans="1:5" x14ac:dyDescent="0.3">
      <c r="A1771" s="8">
        <v>59</v>
      </c>
      <c r="B1771" s="8">
        <v>59</v>
      </c>
      <c r="C1771" s="8">
        <v>3158</v>
      </c>
      <c r="D1771" s="16">
        <v>1.1151759999999999</v>
      </c>
      <c r="E1771" s="8"/>
    </row>
    <row r="1772" spans="1:5" x14ac:dyDescent="0.3">
      <c r="A1772" s="8">
        <v>60</v>
      </c>
      <c r="B1772" s="8">
        <v>1</v>
      </c>
      <c r="C1772" s="8">
        <v>3069</v>
      </c>
      <c r="D1772" s="16">
        <v>-4.929302E-2</v>
      </c>
      <c r="E1772" s="8">
        <v>-2.464651E-2</v>
      </c>
    </row>
    <row r="1773" spans="1:5" x14ac:dyDescent="0.3">
      <c r="A1773" s="8">
        <v>60</v>
      </c>
      <c r="B1773" s="8">
        <v>2</v>
      </c>
      <c r="C1773" s="8">
        <v>3042</v>
      </c>
      <c r="D1773" s="16">
        <v>-3.04766E-2</v>
      </c>
      <c r="E1773" s="8">
        <v>-1.52383E-2</v>
      </c>
    </row>
    <row r="1774" spans="1:5" x14ac:dyDescent="0.3">
      <c r="A1774" s="8">
        <v>60</v>
      </c>
      <c r="B1774" s="8">
        <v>3</v>
      </c>
      <c r="C1774" s="8">
        <v>3064</v>
      </c>
      <c r="D1774" s="16">
        <v>-4.0796060000000002E-2</v>
      </c>
      <c r="E1774" s="8">
        <v>-2.0398030000000001E-2</v>
      </c>
    </row>
    <row r="1775" spans="1:5" x14ac:dyDescent="0.3">
      <c r="A1775" s="8">
        <v>60</v>
      </c>
      <c r="B1775" s="8">
        <v>4</v>
      </c>
      <c r="C1775" s="8">
        <v>3041</v>
      </c>
      <c r="D1775" s="16">
        <v>-3.3052110000000002E-3</v>
      </c>
      <c r="E1775" s="8">
        <v>-1.6526055000000001E-3</v>
      </c>
    </row>
    <row r="1776" spans="1:5" x14ac:dyDescent="0.3">
      <c r="A1776" s="8">
        <v>60</v>
      </c>
      <c r="B1776" s="8">
        <v>5</v>
      </c>
      <c r="C1776" s="8">
        <v>3028</v>
      </c>
      <c r="D1776" s="16">
        <v>-6.2426970000000002E-3</v>
      </c>
      <c r="E1776" s="8">
        <v>-3.1213485000000001E-3</v>
      </c>
    </row>
    <row r="1777" spans="1:5" x14ac:dyDescent="0.3">
      <c r="A1777" s="8">
        <v>60</v>
      </c>
      <c r="B1777" s="8">
        <v>6</v>
      </c>
      <c r="C1777" s="8">
        <v>3048</v>
      </c>
      <c r="D1777" s="16">
        <v>-6.117819E-2</v>
      </c>
      <c r="E1777" s="8">
        <v>-3.0589095E-2</v>
      </c>
    </row>
    <row r="1778" spans="1:5" x14ac:dyDescent="0.3">
      <c r="A1778" s="8">
        <v>60</v>
      </c>
      <c r="B1778" s="8">
        <v>7</v>
      </c>
      <c r="C1778" s="8">
        <v>3042</v>
      </c>
      <c r="D1778" s="16">
        <v>-3.4552039999999999E-2</v>
      </c>
      <c r="E1778" s="8">
        <v>-1.727602E-2</v>
      </c>
    </row>
    <row r="1779" spans="1:5" x14ac:dyDescent="0.3">
      <c r="A1779" s="8">
        <v>60</v>
      </c>
      <c r="B1779" s="8">
        <v>8</v>
      </c>
      <c r="C1779" s="8">
        <v>3063</v>
      </c>
      <c r="D1779" s="16">
        <v>4.055388E-2</v>
      </c>
      <c r="E1779" s="8">
        <v>2.027694E-2</v>
      </c>
    </row>
    <row r="1780" spans="1:5" x14ac:dyDescent="0.3">
      <c r="A1780" s="8">
        <v>60</v>
      </c>
      <c r="B1780" s="8">
        <v>9</v>
      </c>
      <c r="C1780" s="8">
        <v>3046</v>
      </c>
      <c r="D1780" s="16">
        <v>-4.8213640000000002E-2</v>
      </c>
      <c r="E1780" s="8">
        <v>-2.4106820000000001E-2</v>
      </c>
    </row>
    <row r="1781" spans="1:5" x14ac:dyDescent="0.3">
      <c r="A1781" s="8">
        <v>60</v>
      </c>
      <c r="B1781" s="8">
        <v>10</v>
      </c>
      <c r="C1781" s="8">
        <v>3039</v>
      </c>
      <c r="D1781" s="16">
        <v>-1.466051E-2</v>
      </c>
      <c r="E1781" s="8">
        <v>-7.3302549999999999E-3</v>
      </c>
    </row>
    <row r="1782" spans="1:5" x14ac:dyDescent="0.3">
      <c r="A1782" s="8">
        <v>60</v>
      </c>
      <c r="B1782" s="8">
        <v>11</v>
      </c>
      <c r="C1782" s="8">
        <v>3049</v>
      </c>
      <c r="D1782" s="16">
        <v>-4.0319979999999998E-2</v>
      </c>
      <c r="E1782" s="8">
        <v>-2.0159989999999999E-2</v>
      </c>
    </row>
    <row r="1783" spans="1:5" x14ac:dyDescent="0.3">
      <c r="A1783" s="8">
        <v>60</v>
      </c>
      <c r="B1783" s="8">
        <v>12</v>
      </c>
      <c r="C1783" s="8">
        <v>3065</v>
      </c>
      <c r="D1783" s="16">
        <v>-6.323136E-2</v>
      </c>
      <c r="E1783" s="8">
        <v>-3.161568E-2</v>
      </c>
    </row>
    <row r="1784" spans="1:5" x14ac:dyDescent="0.3">
      <c r="A1784" s="8">
        <v>60</v>
      </c>
      <c r="B1784" s="8">
        <v>13</v>
      </c>
      <c r="C1784" s="8">
        <v>3044</v>
      </c>
      <c r="D1784" s="16">
        <v>-7.2230929999999999E-3</v>
      </c>
      <c r="E1784" s="8">
        <v>-3.6115464999999999E-3</v>
      </c>
    </row>
    <row r="1785" spans="1:5" x14ac:dyDescent="0.3">
      <c r="A1785" s="8">
        <v>60</v>
      </c>
      <c r="B1785" s="8">
        <v>14</v>
      </c>
      <c r="C1785" s="8">
        <v>3040</v>
      </c>
      <c r="D1785" s="16">
        <v>-1.8373960000000002E-2</v>
      </c>
      <c r="E1785" s="8">
        <v>-9.1869800000000008E-3</v>
      </c>
    </row>
    <row r="1786" spans="1:5" x14ac:dyDescent="0.3">
      <c r="A1786" s="8">
        <v>60</v>
      </c>
      <c r="B1786" s="8">
        <v>15</v>
      </c>
      <c r="C1786" s="8">
        <v>3047</v>
      </c>
      <c r="D1786" s="16">
        <v>2.2019790000000001E-2</v>
      </c>
      <c r="E1786" s="8">
        <v>1.1009895E-2</v>
      </c>
    </row>
    <row r="1787" spans="1:5" x14ac:dyDescent="0.3">
      <c r="A1787" s="8">
        <v>60</v>
      </c>
      <c r="B1787" s="8">
        <v>16</v>
      </c>
      <c r="C1787" s="8">
        <v>3053</v>
      </c>
      <c r="D1787" s="16">
        <v>-1.337061E-2</v>
      </c>
      <c r="E1787" s="8">
        <v>-6.6853049999999999E-3</v>
      </c>
    </row>
    <row r="1788" spans="1:5" x14ac:dyDescent="0.3">
      <c r="A1788" s="8">
        <v>60</v>
      </c>
      <c r="B1788" s="8">
        <v>17</v>
      </c>
      <c r="C1788" s="8">
        <v>3051</v>
      </c>
      <c r="D1788" s="16">
        <v>-6.4522910000000003E-2</v>
      </c>
      <c r="E1788" s="8">
        <v>-3.2261455000000001E-2</v>
      </c>
    </row>
    <row r="1789" spans="1:5" x14ac:dyDescent="0.3">
      <c r="A1789" s="8">
        <v>60</v>
      </c>
      <c r="B1789" s="8">
        <v>18</v>
      </c>
      <c r="C1789" s="8">
        <v>3066</v>
      </c>
      <c r="D1789" s="16">
        <v>-3.597939E-2</v>
      </c>
      <c r="E1789" s="8">
        <v>-1.7989695E-2</v>
      </c>
    </row>
    <row r="1790" spans="1:5" x14ac:dyDescent="0.3">
      <c r="A1790" s="8">
        <v>60</v>
      </c>
      <c r="B1790" s="8">
        <v>19</v>
      </c>
      <c r="C1790" s="8">
        <v>3047</v>
      </c>
      <c r="D1790" s="16">
        <v>2.2315310000000001E-2</v>
      </c>
      <c r="E1790" s="8">
        <v>1.1157655000000001E-2</v>
      </c>
    </row>
    <row r="1791" spans="1:5" x14ac:dyDescent="0.3">
      <c r="A1791" s="8">
        <v>60</v>
      </c>
      <c r="B1791" s="8">
        <v>20</v>
      </c>
      <c r="C1791" s="8">
        <v>3060</v>
      </c>
      <c r="D1791" s="16">
        <v>-4.9217089999999998E-2</v>
      </c>
      <c r="E1791" s="8">
        <v>-2.4608544999999999E-2</v>
      </c>
    </row>
    <row r="1792" spans="1:5" x14ac:dyDescent="0.3">
      <c r="A1792" s="8">
        <v>60</v>
      </c>
      <c r="B1792" s="8">
        <v>21</v>
      </c>
      <c r="C1792" s="8">
        <v>3058</v>
      </c>
      <c r="D1792" s="16">
        <v>1.718975E-2</v>
      </c>
      <c r="E1792" s="8">
        <v>8.5948750000000001E-3</v>
      </c>
    </row>
    <row r="1793" spans="1:5" x14ac:dyDescent="0.3">
      <c r="A1793" s="8">
        <v>60</v>
      </c>
      <c r="B1793" s="8">
        <v>22</v>
      </c>
      <c r="C1793" s="8">
        <v>3042</v>
      </c>
      <c r="D1793" s="16">
        <v>-4.2643800000000003E-2</v>
      </c>
      <c r="E1793" s="8">
        <v>-2.1321900000000001E-2</v>
      </c>
    </row>
    <row r="1794" spans="1:5" x14ac:dyDescent="0.3">
      <c r="A1794" s="8">
        <v>60</v>
      </c>
      <c r="B1794" s="8">
        <v>23</v>
      </c>
      <c r="C1794" s="8">
        <v>3043</v>
      </c>
      <c r="D1794" s="16">
        <v>-2.2428239999999999E-2</v>
      </c>
      <c r="E1794" s="8">
        <v>-1.1214119999999999E-2</v>
      </c>
    </row>
    <row r="1795" spans="1:5" x14ac:dyDescent="0.3">
      <c r="A1795" s="8">
        <v>60</v>
      </c>
      <c r="B1795" s="8">
        <v>24</v>
      </c>
      <c r="C1795" s="8">
        <v>3064</v>
      </c>
      <c r="D1795" s="16">
        <v>-1.0078470000000001E-2</v>
      </c>
      <c r="E1795" s="8">
        <v>-5.0392350000000004E-3</v>
      </c>
    </row>
    <row r="1796" spans="1:5" x14ac:dyDescent="0.3">
      <c r="A1796" s="8">
        <v>60</v>
      </c>
      <c r="B1796" s="8">
        <v>25</v>
      </c>
      <c r="C1796" s="8">
        <v>3053</v>
      </c>
      <c r="D1796" s="16">
        <v>-2.353858E-2</v>
      </c>
      <c r="E1796" s="8">
        <v>-1.176929E-2</v>
      </c>
    </row>
    <row r="1797" spans="1:5" x14ac:dyDescent="0.3">
      <c r="A1797" s="8">
        <v>60</v>
      </c>
      <c r="B1797" s="8">
        <v>26</v>
      </c>
      <c r="C1797" s="8">
        <v>3061</v>
      </c>
      <c r="D1797" s="16">
        <v>2.4665610000000001E-2</v>
      </c>
      <c r="E1797" s="8">
        <v>1.2332805000000001E-2</v>
      </c>
    </row>
    <row r="1798" spans="1:5" x14ac:dyDescent="0.3">
      <c r="A1798" s="8">
        <v>60</v>
      </c>
      <c r="B1798" s="8">
        <v>27</v>
      </c>
      <c r="C1798" s="8">
        <v>3066</v>
      </c>
      <c r="D1798" s="16">
        <v>-3.6978249999999997E-2</v>
      </c>
      <c r="E1798" s="8">
        <v>-1.8489124999999999E-2</v>
      </c>
    </row>
    <row r="1799" spans="1:5" x14ac:dyDescent="0.3">
      <c r="A1799" s="8">
        <v>60</v>
      </c>
      <c r="B1799" s="8">
        <v>28</v>
      </c>
      <c r="C1799" s="8">
        <v>3039</v>
      </c>
      <c r="D1799" s="16">
        <v>2.642748E-2</v>
      </c>
      <c r="E1799" s="8">
        <v>1.321374E-2</v>
      </c>
    </row>
    <row r="1800" spans="1:5" x14ac:dyDescent="0.3">
      <c r="A1800" s="8">
        <v>60</v>
      </c>
      <c r="B1800" s="8">
        <v>29</v>
      </c>
      <c r="C1800" s="8">
        <v>3041</v>
      </c>
      <c r="D1800" s="16">
        <v>3.5738509999999997E-4</v>
      </c>
      <c r="E1800" s="8">
        <v>1.7869254999999999E-4</v>
      </c>
    </row>
    <row r="1801" spans="1:5" x14ac:dyDescent="0.3">
      <c r="A1801" s="8">
        <v>60</v>
      </c>
      <c r="B1801" s="8">
        <v>30</v>
      </c>
      <c r="C1801" s="8">
        <v>3055</v>
      </c>
      <c r="D1801" s="16">
        <v>1.5520050000000001E-2</v>
      </c>
      <c r="E1801" s="8">
        <v>7.7600250000000003E-3</v>
      </c>
    </row>
    <row r="1802" spans="1:5" x14ac:dyDescent="0.3">
      <c r="A1802" s="8">
        <v>60</v>
      </c>
      <c r="B1802" s="8">
        <v>31</v>
      </c>
      <c r="C1802" s="8">
        <v>2974</v>
      </c>
      <c r="D1802" s="16">
        <v>-3.2941890000000001E-2</v>
      </c>
      <c r="E1802" s="8">
        <v>-1.6470945000000001E-2</v>
      </c>
    </row>
    <row r="1803" spans="1:5" x14ac:dyDescent="0.3">
      <c r="A1803" s="8">
        <v>60</v>
      </c>
      <c r="B1803" s="8">
        <v>32</v>
      </c>
      <c r="C1803" s="8">
        <v>3037</v>
      </c>
      <c r="D1803" s="16">
        <v>6.8454400000000004E-4</v>
      </c>
      <c r="E1803" s="8">
        <v>3.4227200000000002E-4</v>
      </c>
    </row>
    <row r="1804" spans="1:5" x14ac:dyDescent="0.3">
      <c r="A1804" s="8">
        <v>60</v>
      </c>
      <c r="B1804" s="8">
        <v>33</v>
      </c>
      <c r="C1804" s="8">
        <v>3068</v>
      </c>
      <c r="D1804" s="16">
        <v>1.0276560000000001E-2</v>
      </c>
      <c r="E1804" s="8">
        <v>5.1382800000000003E-3</v>
      </c>
    </row>
    <row r="1805" spans="1:5" x14ac:dyDescent="0.3">
      <c r="A1805" s="8">
        <v>60</v>
      </c>
      <c r="B1805" s="8">
        <v>34</v>
      </c>
      <c r="C1805" s="8">
        <v>3054</v>
      </c>
      <c r="D1805" s="16">
        <v>8.4465029999999993E-3</v>
      </c>
      <c r="E1805" s="8">
        <v>4.2232514999999997E-3</v>
      </c>
    </row>
    <row r="1806" spans="1:5" x14ac:dyDescent="0.3">
      <c r="A1806" s="8">
        <v>60</v>
      </c>
      <c r="B1806" s="8">
        <v>35</v>
      </c>
      <c r="C1806" s="8">
        <v>3050</v>
      </c>
      <c r="D1806" s="16">
        <v>1.8502890000000001E-2</v>
      </c>
      <c r="E1806" s="8">
        <v>9.2514450000000005E-3</v>
      </c>
    </row>
    <row r="1807" spans="1:5" x14ac:dyDescent="0.3">
      <c r="A1807" s="8">
        <v>60</v>
      </c>
      <c r="B1807" s="8">
        <v>36</v>
      </c>
      <c r="C1807" s="8">
        <v>3063</v>
      </c>
      <c r="D1807" s="16">
        <v>1.0372610000000001E-2</v>
      </c>
      <c r="E1807" s="8">
        <v>5.1863050000000004E-3</v>
      </c>
    </row>
    <row r="1808" spans="1:5" x14ac:dyDescent="0.3">
      <c r="A1808" s="8">
        <v>60</v>
      </c>
      <c r="B1808" s="8">
        <v>37</v>
      </c>
      <c r="C1808" s="8">
        <v>3026</v>
      </c>
      <c r="D1808" s="16">
        <v>-3.005099E-2</v>
      </c>
      <c r="E1808" s="8">
        <v>-1.5025495E-2</v>
      </c>
    </row>
    <row r="1809" spans="1:5" x14ac:dyDescent="0.3">
      <c r="A1809" s="8">
        <v>60</v>
      </c>
      <c r="B1809" s="8">
        <v>38</v>
      </c>
      <c r="C1809" s="8">
        <v>3066</v>
      </c>
      <c r="D1809" s="16">
        <v>2.6253890000000001E-3</v>
      </c>
      <c r="E1809" s="8">
        <v>1.3126945000000001E-3</v>
      </c>
    </row>
    <row r="1810" spans="1:5" x14ac:dyDescent="0.3">
      <c r="A1810" s="8">
        <v>60</v>
      </c>
      <c r="B1810" s="8">
        <v>39</v>
      </c>
      <c r="C1810" s="8">
        <v>3061</v>
      </c>
      <c r="D1810" s="16">
        <v>-1.720737E-2</v>
      </c>
      <c r="E1810" s="8">
        <v>-8.6036849999999998E-3</v>
      </c>
    </row>
    <row r="1811" spans="1:5" x14ac:dyDescent="0.3">
      <c r="A1811" s="8">
        <v>60</v>
      </c>
      <c r="B1811" s="8">
        <v>40</v>
      </c>
      <c r="C1811" s="8">
        <v>3058</v>
      </c>
      <c r="D1811" s="16">
        <v>-1.7587800000000001E-2</v>
      </c>
      <c r="E1811" s="8">
        <v>-8.7939000000000003E-3</v>
      </c>
    </row>
    <row r="1812" spans="1:5" x14ac:dyDescent="0.3">
      <c r="A1812" s="8">
        <v>60</v>
      </c>
      <c r="B1812" s="8">
        <v>41</v>
      </c>
      <c r="C1812" s="8">
        <v>3024</v>
      </c>
      <c r="D1812" s="16">
        <v>-7.1505559999999996E-2</v>
      </c>
      <c r="E1812" s="8">
        <v>-3.5752779999999998E-2</v>
      </c>
    </row>
    <row r="1813" spans="1:5" x14ac:dyDescent="0.3">
      <c r="A1813" s="8">
        <v>60</v>
      </c>
      <c r="B1813" s="8">
        <v>42</v>
      </c>
      <c r="C1813" s="8">
        <v>3023</v>
      </c>
      <c r="D1813" s="16">
        <v>-7.6056650000000003E-2</v>
      </c>
      <c r="E1813" s="8">
        <v>-3.8028325000000002E-2</v>
      </c>
    </row>
    <row r="1814" spans="1:5" x14ac:dyDescent="0.3">
      <c r="A1814" s="8">
        <v>60</v>
      </c>
      <c r="B1814" s="8">
        <v>43</v>
      </c>
      <c r="C1814" s="8">
        <v>3043</v>
      </c>
      <c r="D1814" s="16">
        <v>-8.7645090000000002E-3</v>
      </c>
      <c r="E1814" s="8">
        <v>-4.3822545000000001E-3</v>
      </c>
    </row>
    <row r="1815" spans="1:5" x14ac:dyDescent="0.3">
      <c r="A1815" s="8">
        <v>60</v>
      </c>
      <c r="B1815" s="8">
        <v>44</v>
      </c>
      <c r="C1815" s="8">
        <v>3029</v>
      </c>
      <c r="D1815" s="16">
        <v>-1.769157E-2</v>
      </c>
      <c r="E1815" s="8">
        <v>-8.8457850000000001E-3</v>
      </c>
    </row>
    <row r="1816" spans="1:5" x14ac:dyDescent="0.3">
      <c r="A1816" s="8">
        <v>60</v>
      </c>
      <c r="B1816" s="8">
        <v>45</v>
      </c>
      <c r="C1816" s="8">
        <v>3052</v>
      </c>
      <c r="D1816" s="16">
        <v>-2.8898280000000001E-3</v>
      </c>
      <c r="E1816" s="8">
        <v>-1.4449140000000001E-3</v>
      </c>
    </row>
    <row r="1817" spans="1:5" x14ac:dyDescent="0.3">
      <c r="A1817" s="8">
        <v>60</v>
      </c>
      <c r="B1817" s="8">
        <v>46</v>
      </c>
      <c r="C1817" s="8">
        <v>3042</v>
      </c>
      <c r="D1817" s="16">
        <v>-4.4108969999999997E-2</v>
      </c>
      <c r="E1817" s="8">
        <v>-2.2054484999999999E-2</v>
      </c>
    </row>
    <row r="1818" spans="1:5" x14ac:dyDescent="0.3">
      <c r="A1818" s="8">
        <v>60</v>
      </c>
      <c r="B1818" s="8">
        <v>47</v>
      </c>
      <c r="C1818" s="8">
        <v>3032</v>
      </c>
      <c r="D1818" s="16">
        <v>-1.7660639999999998E-2</v>
      </c>
      <c r="E1818" s="8">
        <v>-8.8303199999999991E-3</v>
      </c>
    </row>
    <row r="1819" spans="1:5" x14ac:dyDescent="0.3">
      <c r="A1819" s="8">
        <v>60</v>
      </c>
      <c r="B1819" s="8">
        <v>48</v>
      </c>
      <c r="C1819" s="8">
        <v>3051</v>
      </c>
      <c r="D1819" s="16">
        <v>2.293922E-2</v>
      </c>
      <c r="E1819" s="8">
        <v>1.146961E-2</v>
      </c>
    </row>
    <row r="1820" spans="1:5" x14ac:dyDescent="0.3">
      <c r="A1820" s="8">
        <v>60</v>
      </c>
      <c r="B1820" s="8">
        <v>49</v>
      </c>
      <c r="C1820" s="8">
        <v>3025</v>
      </c>
      <c r="D1820" s="16">
        <v>-3.1288749999999997E-2</v>
      </c>
      <c r="E1820" s="8">
        <v>-1.5644374999999999E-2</v>
      </c>
    </row>
    <row r="1821" spans="1:5" x14ac:dyDescent="0.3">
      <c r="A1821" s="8">
        <v>60</v>
      </c>
      <c r="B1821" s="8">
        <v>50</v>
      </c>
      <c r="C1821" s="8">
        <v>3066</v>
      </c>
      <c r="D1821" s="16">
        <v>3.2782209999999999E-2</v>
      </c>
      <c r="E1821" s="8">
        <v>1.6391105E-2</v>
      </c>
    </row>
    <row r="1822" spans="1:5" x14ac:dyDescent="0.3">
      <c r="A1822" s="8">
        <v>60</v>
      </c>
      <c r="B1822" s="8">
        <v>51</v>
      </c>
      <c r="C1822" s="8">
        <v>3044</v>
      </c>
      <c r="D1822" s="16">
        <v>-2.87776E-2</v>
      </c>
      <c r="E1822" s="8">
        <v>-1.43888E-2</v>
      </c>
    </row>
    <row r="1823" spans="1:5" x14ac:dyDescent="0.3">
      <c r="A1823" s="8">
        <v>60</v>
      </c>
      <c r="B1823" s="8">
        <v>52</v>
      </c>
      <c r="C1823" s="8">
        <v>3045</v>
      </c>
      <c r="D1823" s="16">
        <v>1.8582930000000001E-2</v>
      </c>
      <c r="E1823" s="8">
        <v>9.2914650000000005E-3</v>
      </c>
    </row>
    <row r="1824" spans="1:5" x14ac:dyDescent="0.3">
      <c r="A1824" s="8">
        <v>60</v>
      </c>
      <c r="B1824" s="8">
        <v>53</v>
      </c>
      <c r="C1824" s="8">
        <v>3048</v>
      </c>
      <c r="D1824" s="16">
        <v>-2.9578340000000002E-2</v>
      </c>
      <c r="E1824" s="8">
        <v>-1.4789170000000001E-2</v>
      </c>
    </row>
    <row r="1825" spans="1:5" x14ac:dyDescent="0.3">
      <c r="A1825" s="8">
        <v>60</v>
      </c>
      <c r="B1825" s="8">
        <v>54</v>
      </c>
      <c r="C1825" s="8">
        <v>3038</v>
      </c>
      <c r="D1825" s="16">
        <v>-2.2114660000000001E-2</v>
      </c>
      <c r="E1825" s="8">
        <v>-1.1057330000000001E-2</v>
      </c>
    </row>
    <row r="1826" spans="1:5" x14ac:dyDescent="0.3">
      <c r="A1826" s="8">
        <v>60</v>
      </c>
      <c r="B1826" s="8">
        <v>55</v>
      </c>
      <c r="C1826" s="8">
        <v>3051</v>
      </c>
      <c r="D1826" s="16">
        <v>-5.1959730000000003E-2</v>
      </c>
      <c r="E1826" s="8">
        <v>-2.5979865000000001E-2</v>
      </c>
    </row>
    <row r="1827" spans="1:5" x14ac:dyDescent="0.3">
      <c r="A1827" s="8">
        <v>60</v>
      </c>
      <c r="B1827" s="8">
        <v>56</v>
      </c>
      <c r="C1827" s="8">
        <v>3055</v>
      </c>
      <c r="D1827" s="16">
        <v>-6.9593169999999996E-2</v>
      </c>
      <c r="E1827" s="8">
        <v>-3.4796584999999998E-2</v>
      </c>
    </row>
    <row r="1828" spans="1:5" x14ac:dyDescent="0.3">
      <c r="A1828" s="8">
        <v>60</v>
      </c>
      <c r="B1828" s="8">
        <v>57</v>
      </c>
      <c r="C1828" s="8">
        <v>3073</v>
      </c>
      <c r="D1828" s="16">
        <v>-3.5524649999999998E-2</v>
      </c>
      <c r="E1828" s="8">
        <v>-1.7762324999999999E-2</v>
      </c>
    </row>
    <row r="1829" spans="1:5" x14ac:dyDescent="0.3">
      <c r="A1829" s="8">
        <v>60</v>
      </c>
      <c r="B1829" s="8">
        <v>58</v>
      </c>
      <c r="C1829" s="8">
        <v>3055</v>
      </c>
      <c r="D1829" s="16">
        <v>3.8421009999999998E-2</v>
      </c>
      <c r="E1829" s="8">
        <v>1.9210504999999999E-2</v>
      </c>
    </row>
    <row r="1830" spans="1:5" x14ac:dyDescent="0.3">
      <c r="A1830" s="8">
        <v>60</v>
      </c>
      <c r="B1830" s="8">
        <v>59</v>
      </c>
      <c r="C1830" s="8">
        <v>3058</v>
      </c>
      <c r="D1830" s="16">
        <v>2.958529E-2</v>
      </c>
      <c r="E1830" s="8">
        <v>1.4792645E-2</v>
      </c>
    </row>
    <row r="1831" spans="1:5" x14ac:dyDescent="0.3">
      <c r="A1831" s="8">
        <v>60</v>
      </c>
      <c r="B1831" s="8">
        <v>60</v>
      </c>
      <c r="C1831" s="8">
        <v>3150</v>
      </c>
      <c r="D1831" s="16">
        <v>1.102109</v>
      </c>
      <c r="E1831" s="8"/>
    </row>
    <row r="1832" spans="1:5" x14ac:dyDescent="0.3">
      <c r="A1832" s="8">
        <v>61</v>
      </c>
      <c r="B1832" s="8">
        <v>1</v>
      </c>
      <c r="C1832" s="8">
        <v>3074</v>
      </c>
      <c r="D1832" s="16">
        <v>-2.0589719999999999E-2</v>
      </c>
      <c r="E1832" s="8">
        <v>-1.0294859999999999E-2</v>
      </c>
    </row>
    <row r="1833" spans="1:5" x14ac:dyDescent="0.3">
      <c r="A1833" s="8">
        <v>61</v>
      </c>
      <c r="B1833" s="8">
        <v>2</v>
      </c>
      <c r="C1833" s="8">
        <v>3035</v>
      </c>
      <c r="D1833" s="16">
        <v>6.5980460000000004E-4</v>
      </c>
      <c r="E1833" s="8">
        <v>3.2990230000000002E-4</v>
      </c>
    </row>
    <row r="1834" spans="1:5" x14ac:dyDescent="0.3">
      <c r="A1834" s="8">
        <v>61</v>
      </c>
      <c r="B1834" s="8">
        <v>3</v>
      </c>
      <c r="C1834" s="8">
        <v>3067</v>
      </c>
      <c r="D1834" s="16">
        <v>-1.0785990000000001E-2</v>
      </c>
      <c r="E1834" s="8">
        <v>-5.3929950000000003E-3</v>
      </c>
    </row>
    <row r="1835" spans="1:5" x14ac:dyDescent="0.3">
      <c r="A1835" s="8">
        <v>61</v>
      </c>
      <c r="B1835" s="8">
        <v>4</v>
      </c>
      <c r="C1835" s="8">
        <v>3044</v>
      </c>
      <c r="D1835" s="16">
        <v>3.1449570000000003E-2</v>
      </c>
      <c r="E1835" s="8">
        <v>1.5724785000000002E-2</v>
      </c>
    </row>
    <row r="1836" spans="1:5" x14ac:dyDescent="0.3">
      <c r="A1836" s="8">
        <v>61</v>
      </c>
      <c r="B1836" s="8">
        <v>5</v>
      </c>
      <c r="C1836" s="8">
        <v>3029</v>
      </c>
      <c r="D1836" s="16">
        <v>-3.7377840000000002E-2</v>
      </c>
      <c r="E1836" s="8">
        <v>-1.8688920000000001E-2</v>
      </c>
    </row>
    <row r="1837" spans="1:5" x14ac:dyDescent="0.3">
      <c r="A1837" s="8">
        <v>61</v>
      </c>
      <c r="B1837" s="8">
        <v>6</v>
      </c>
      <c r="C1837" s="8">
        <v>3047</v>
      </c>
      <c r="D1837" s="16">
        <v>-6.8400119999999995E-2</v>
      </c>
      <c r="E1837" s="8">
        <v>-3.4200059999999997E-2</v>
      </c>
    </row>
    <row r="1838" spans="1:5" x14ac:dyDescent="0.3">
      <c r="A1838" s="8">
        <v>61</v>
      </c>
      <c r="B1838" s="8">
        <v>7</v>
      </c>
      <c r="C1838" s="8">
        <v>3041</v>
      </c>
      <c r="D1838" s="16">
        <v>-2.445228E-2</v>
      </c>
      <c r="E1838" s="8">
        <v>-1.222614E-2</v>
      </c>
    </row>
    <row r="1839" spans="1:5" x14ac:dyDescent="0.3">
      <c r="A1839" s="8">
        <v>61</v>
      </c>
      <c r="B1839" s="8">
        <v>8</v>
      </c>
      <c r="C1839" s="8">
        <v>3062</v>
      </c>
      <c r="D1839" s="16">
        <v>2.4149319999999998E-2</v>
      </c>
      <c r="E1839" s="8">
        <v>1.2074659999999999E-2</v>
      </c>
    </row>
    <row r="1840" spans="1:5" x14ac:dyDescent="0.3">
      <c r="A1840" s="8">
        <v>61</v>
      </c>
      <c r="B1840" s="8">
        <v>9</v>
      </c>
      <c r="C1840" s="8">
        <v>3049</v>
      </c>
      <c r="D1840" s="16">
        <v>-2.1468890000000001E-2</v>
      </c>
      <c r="E1840" s="8">
        <v>-1.0734445E-2</v>
      </c>
    </row>
    <row r="1841" spans="1:5" x14ac:dyDescent="0.3">
      <c r="A1841" s="8">
        <v>61</v>
      </c>
      <c r="B1841" s="8">
        <v>10</v>
      </c>
      <c r="C1841" s="8">
        <v>3042</v>
      </c>
      <c r="D1841" s="16">
        <v>-1.0267220000000001E-2</v>
      </c>
      <c r="E1841" s="8">
        <v>-5.1336100000000003E-3</v>
      </c>
    </row>
    <row r="1842" spans="1:5" x14ac:dyDescent="0.3">
      <c r="A1842" s="8">
        <v>61</v>
      </c>
      <c r="B1842" s="8">
        <v>11</v>
      </c>
      <c r="C1842" s="8">
        <v>3048</v>
      </c>
      <c r="D1842" s="16">
        <v>-2.4522539999999999E-2</v>
      </c>
      <c r="E1842" s="8">
        <v>-1.2261269999999999E-2</v>
      </c>
    </row>
    <row r="1843" spans="1:5" x14ac:dyDescent="0.3">
      <c r="A1843" s="8">
        <v>61</v>
      </c>
      <c r="B1843" s="8">
        <v>12</v>
      </c>
      <c r="C1843" s="8">
        <v>3063</v>
      </c>
      <c r="D1843" s="16">
        <v>-5.6074520000000003E-2</v>
      </c>
      <c r="E1843" s="8">
        <v>-2.8037260000000001E-2</v>
      </c>
    </row>
    <row r="1844" spans="1:5" x14ac:dyDescent="0.3">
      <c r="A1844" s="8">
        <v>61</v>
      </c>
      <c r="B1844" s="8">
        <v>13</v>
      </c>
      <c r="C1844" s="8">
        <v>3045</v>
      </c>
      <c r="D1844" s="16">
        <v>3.016197E-2</v>
      </c>
      <c r="E1844" s="8">
        <v>1.5080985E-2</v>
      </c>
    </row>
    <row r="1845" spans="1:5" x14ac:dyDescent="0.3">
      <c r="A1845" s="8">
        <v>61</v>
      </c>
      <c r="B1845" s="8">
        <v>14</v>
      </c>
      <c r="C1845" s="8">
        <v>3037</v>
      </c>
      <c r="D1845" s="16">
        <v>-5.1558939999999998E-2</v>
      </c>
      <c r="E1845" s="8">
        <v>-2.5779469999999999E-2</v>
      </c>
    </row>
    <row r="1846" spans="1:5" x14ac:dyDescent="0.3">
      <c r="A1846" s="8">
        <v>61</v>
      </c>
      <c r="B1846" s="8">
        <v>15</v>
      </c>
      <c r="C1846" s="8">
        <v>3048</v>
      </c>
      <c r="D1846" s="16">
        <v>-1.4209899999999999E-2</v>
      </c>
      <c r="E1846" s="8">
        <v>-7.1049499999999996E-3</v>
      </c>
    </row>
    <row r="1847" spans="1:5" x14ac:dyDescent="0.3">
      <c r="A1847" s="8">
        <v>61</v>
      </c>
      <c r="B1847" s="8">
        <v>16</v>
      </c>
      <c r="C1847" s="8">
        <v>3051</v>
      </c>
      <c r="D1847" s="16">
        <v>-3.3087669999999998E-3</v>
      </c>
      <c r="E1847" s="8">
        <v>-1.6543834999999999E-3</v>
      </c>
    </row>
    <row r="1848" spans="1:5" x14ac:dyDescent="0.3">
      <c r="A1848" s="8">
        <v>61</v>
      </c>
      <c r="B1848" s="8">
        <v>17</v>
      </c>
      <c r="C1848" s="8">
        <v>3050</v>
      </c>
      <c r="D1848" s="16">
        <v>-7.4786019999999995E-2</v>
      </c>
      <c r="E1848" s="8">
        <v>-3.7393009999999997E-2</v>
      </c>
    </row>
    <row r="1849" spans="1:5" x14ac:dyDescent="0.3">
      <c r="A1849" s="8">
        <v>61</v>
      </c>
      <c r="B1849" s="8">
        <v>18</v>
      </c>
      <c r="C1849" s="8">
        <v>3068</v>
      </c>
      <c r="D1849" s="16">
        <v>-7.665186E-3</v>
      </c>
      <c r="E1849" s="8">
        <v>-3.832593E-3</v>
      </c>
    </row>
    <row r="1850" spans="1:5" x14ac:dyDescent="0.3">
      <c r="A1850" s="8">
        <v>61</v>
      </c>
      <c r="B1850" s="8">
        <v>19</v>
      </c>
      <c r="C1850" s="8">
        <v>3048</v>
      </c>
      <c r="D1850" s="16">
        <v>-2.2333530000000001E-2</v>
      </c>
      <c r="E1850" s="8">
        <v>-1.1166765E-2</v>
      </c>
    </row>
    <row r="1851" spans="1:5" x14ac:dyDescent="0.3">
      <c r="A1851" s="8">
        <v>61</v>
      </c>
      <c r="B1851" s="8">
        <v>20</v>
      </c>
      <c r="C1851" s="8">
        <v>3063</v>
      </c>
      <c r="D1851" s="16">
        <v>-5.1117719999999997E-3</v>
      </c>
      <c r="E1851" s="8">
        <v>-2.5558859999999998E-3</v>
      </c>
    </row>
    <row r="1852" spans="1:5" x14ac:dyDescent="0.3">
      <c r="A1852" s="8">
        <v>61</v>
      </c>
      <c r="B1852" s="8">
        <v>21</v>
      </c>
      <c r="C1852" s="8">
        <v>3063</v>
      </c>
      <c r="D1852" s="16">
        <v>-1.3925099999999999E-2</v>
      </c>
      <c r="E1852" s="8">
        <v>-6.9625499999999996E-3</v>
      </c>
    </row>
    <row r="1853" spans="1:5" x14ac:dyDescent="0.3">
      <c r="A1853" s="8">
        <v>61</v>
      </c>
      <c r="B1853" s="8">
        <v>22</v>
      </c>
      <c r="C1853" s="8">
        <v>3050</v>
      </c>
      <c r="D1853" s="16">
        <v>2.0586529999999999E-2</v>
      </c>
      <c r="E1853" s="8">
        <v>1.0293264999999999E-2</v>
      </c>
    </row>
    <row r="1854" spans="1:5" x14ac:dyDescent="0.3">
      <c r="A1854" s="8">
        <v>61</v>
      </c>
      <c r="B1854" s="8">
        <v>23</v>
      </c>
      <c r="C1854" s="8">
        <v>3042</v>
      </c>
      <c r="D1854" s="16">
        <v>1.437422E-3</v>
      </c>
      <c r="E1854" s="8">
        <v>7.1871100000000002E-4</v>
      </c>
    </row>
    <row r="1855" spans="1:5" x14ac:dyDescent="0.3">
      <c r="A1855" s="8">
        <v>61</v>
      </c>
      <c r="B1855" s="8">
        <v>24</v>
      </c>
      <c r="C1855" s="8">
        <v>3072</v>
      </c>
      <c r="D1855" s="16">
        <v>-8.0453030000000002E-3</v>
      </c>
      <c r="E1855" s="8">
        <v>-4.0226515000000001E-3</v>
      </c>
    </row>
    <row r="1856" spans="1:5" x14ac:dyDescent="0.3">
      <c r="A1856" s="8">
        <v>61</v>
      </c>
      <c r="B1856" s="8">
        <v>25</v>
      </c>
      <c r="C1856" s="8">
        <v>3049</v>
      </c>
      <c r="D1856" s="16">
        <v>1.520108E-2</v>
      </c>
      <c r="E1856" s="8">
        <v>7.6005400000000002E-3</v>
      </c>
    </row>
    <row r="1857" spans="1:5" x14ac:dyDescent="0.3">
      <c r="A1857" s="8">
        <v>61</v>
      </c>
      <c r="B1857" s="8">
        <v>26</v>
      </c>
      <c r="C1857" s="8">
        <v>3060</v>
      </c>
      <c r="D1857" s="16">
        <v>1.018967E-3</v>
      </c>
      <c r="E1857" s="8">
        <v>5.0948349999999998E-4</v>
      </c>
    </row>
    <row r="1858" spans="1:5" x14ac:dyDescent="0.3">
      <c r="A1858" s="8">
        <v>61</v>
      </c>
      <c r="B1858" s="8">
        <v>27</v>
      </c>
      <c r="C1858" s="8">
        <v>3066</v>
      </c>
      <c r="D1858" s="16">
        <v>2.9319209999999998E-2</v>
      </c>
      <c r="E1858" s="8">
        <v>1.4659604999999999E-2</v>
      </c>
    </row>
    <row r="1859" spans="1:5" x14ac:dyDescent="0.3">
      <c r="A1859" s="8">
        <v>61</v>
      </c>
      <c r="B1859" s="8">
        <v>28</v>
      </c>
      <c r="C1859" s="8">
        <v>3038</v>
      </c>
      <c r="D1859" s="16">
        <v>-3.3761880000000001E-2</v>
      </c>
      <c r="E1859" s="8">
        <v>-1.6880940000000001E-2</v>
      </c>
    </row>
    <row r="1860" spans="1:5" x14ac:dyDescent="0.3">
      <c r="A1860" s="8">
        <v>61</v>
      </c>
      <c r="B1860" s="8">
        <v>29</v>
      </c>
      <c r="C1860" s="8">
        <v>3044</v>
      </c>
      <c r="D1860" s="16">
        <v>5.8166520000000003E-3</v>
      </c>
      <c r="E1860" s="8">
        <v>2.9083260000000001E-3</v>
      </c>
    </row>
    <row r="1861" spans="1:5" x14ac:dyDescent="0.3">
      <c r="A1861" s="8">
        <v>61</v>
      </c>
      <c r="B1861" s="8">
        <v>30</v>
      </c>
      <c r="C1861" s="8">
        <v>3051</v>
      </c>
      <c r="D1861" s="16">
        <v>3.255258E-3</v>
      </c>
      <c r="E1861" s="8">
        <v>1.627629E-3</v>
      </c>
    </row>
    <row r="1862" spans="1:5" x14ac:dyDescent="0.3">
      <c r="A1862" s="8">
        <v>61</v>
      </c>
      <c r="B1862" s="8">
        <v>31</v>
      </c>
      <c r="C1862" s="8">
        <v>2973</v>
      </c>
      <c r="D1862" s="16">
        <v>-1.158235E-2</v>
      </c>
      <c r="E1862" s="8">
        <v>-5.791175E-3</v>
      </c>
    </row>
    <row r="1863" spans="1:5" x14ac:dyDescent="0.3">
      <c r="A1863" s="8">
        <v>61</v>
      </c>
      <c r="B1863" s="8">
        <v>32</v>
      </c>
      <c r="C1863" s="8">
        <v>3043</v>
      </c>
      <c r="D1863" s="16">
        <v>1.601681E-3</v>
      </c>
      <c r="E1863" s="8">
        <v>8.0084049999999999E-4</v>
      </c>
    </row>
    <row r="1864" spans="1:5" x14ac:dyDescent="0.3">
      <c r="A1864" s="8">
        <v>61</v>
      </c>
      <c r="B1864" s="8">
        <v>33</v>
      </c>
      <c r="C1864" s="8">
        <v>3068</v>
      </c>
      <c r="D1864" s="16">
        <v>2.4188230000000001E-3</v>
      </c>
      <c r="E1864" s="8">
        <v>1.2094115E-3</v>
      </c>
    </row>
    <row r="1865" spans="1:5" x14ac:dyDescent="0.3">
      <c r="A1865" s="8">
        <v>61</v>
      </c>
      <c r="B1865" s="8">
        <v>34</v>
      </c>
      <c r="C1865" s="8">
        <v>3056</v>
      </c>
      <c r="D1865" s="16">
        <v>-1.34086E-2</v>
      </c>
      <c r="E1865" s="8">
        <v>-6.7042999999999998E-3</v>
      </c>
    </row>
    <row r="1866" spans="1:5" x14ac:dyDescent="0.3">
      <c r="A1866" s="8">
        <v>61</v>
      </c>
      <c r="B1866" s="8">
        <v>35</v>
      </c>
      <c r="C1866" s="8">
        <v>3050</v>
      </c>
      <c r="D1866" s="16">
        <v>-6.9378640000000005E-2</v>
      </c>
      <c r="E1866" s="8">
        <v>-3.4689320000000003E-2</v>
      </c>
    </row>
    <row r="1867" spans="1:5" x14ac:dyDescent="0.3">
      <c r="A1867" s="8">
        <v>61</v>
      </c>
      <c r="B1867" s="8">
        <v>36</v>
      </c>
      <c r="C1867" s="8">
        <v>3057</v>
      </c>
      <c r="D1867" s="16">
        <v>-3.507227E-4</v>
      </c>
      <c r="E1867" s="8">
        <v>-1.7536135E-4</v>
      </c>
    </row>
    <row r="1868" spans="1:5" x14ac:dyDescent="0.3">
      <c r="A1868" s="8">
        <v>61</v>
      </c>
      <c r="B1868" s="8">
        <v>37</v>
      </c>
      <c r="C1868" s="8">
        <v>3027</v>
      </c>
      <c r="D1868" s="16">
        <v>-3.050629E-3</v>
      </c>
      <c r="E1868" s="8">
        <v>-1.5253145E-3</v>
      </c>
    </row>
    <row r="1869" spans="1:5" x14ac:dyDescent="0.3">
      <c r="A1869" s="8">
        <v>61</v>
      </c>
      <c r="B1869" s="8">
        <v>38</v>
      </c>
      <c r="C1869" s="8">
        <v>3069</v>
      </c>
      <c r="D1869" s="16">
        <v>-8.0243879999999999E-4</v>
      </c>
      <c r="E1869" s="8">
        <v>-4.012194E-4</v>
      </c>
    </row>
    <row r="1870" spans="1:5" x14ac:dyDescent="0.3">
      <c r="A1870" s="8">
        <v>61</v>
      </c>
      <c r="B1870" s="8">
        <v>39</v>
      </c>
      <c r="C1870" s="8">
        <v>3060</v>
      </c>
      <c r="D1870" s="16">
        <v>-1.999975E-2</v>
      </c>
      <c r="E1870" s="8">
        <v>-9.9998750000000001E-3</v>
      </c>
    </row>
    <row r="1871" spans="1:5" x14ac:dyDescent="0.3">
      <c r="A1871" s="8">
        <v>61</v>
      </c>
      <c r="B1871" s="8">
        <v>40</v>
      </c>
      <c r="C1871" s="8">
        <v>3059</v>
      </c>
      <c r="D1871" s="16">
        <v>-3.0369139999999999E-2</v>
      </c>
      <c r="E1871" s="8">
        <v>-1.518457E-2</v>
      </c>
    </row>
    <row r="1872" spans="1:5" x14ac:dyDescent="0.3">
      <c r="A1872" s="8">
        <v>61</v>
      </c>
      <c r="B1872" s="8">
        <v>41</v>
      </c>
      <c r="C1872" s="8">
        <v>3030</v>
      </c>
      <c r="D1872" s="16">
        <v>3.0274760000000001E-2</v>
      </c>
      <c r="E1872" s="8">
        <v>1.5137380000000001E-2</v>
      </c>
    </row>
    <row r="1873" spans="1:5" x14ac:dyDescent="0.3">
      <c r="A1873" s="8">
        <v>61</v>
      </c>
      <c r="B1873" s="8">
        <v>42</v>
      </c>
      <c r="C1873" s="8">
        <v>3023</v>
      </c>
      <c r="D1873" s="16">
        <v>-4.297339E-2</v>
      </c>
      <c r="E1873" s="8">
        <v>-2.1486695E-2</v>
      </c>
    </row>
    <row r="1874" spans="1:5" x14ac:dyDescent="0.3">
      <c r="A1874" s="8">
        <v>61</v>
      </c>
      <c r="B1874" s="8">
        <v>43</v>
      </c>
      <c r="C1874" s="8">
        <v>3042</v>
      </c>
      <c r="D1874" s="16">
        <v>2.438427E-3</v>
      </c>
      <c r="E1874" s="8">
        <v>1.2192135E-3</v>
      </c>
    </row>
    <row r="1875" spans="1:5" x14ac:dyDescent="0.3">
      <c r="A1875" s="8">
        <v>61</v>
      </c>
      <c r="B1875" s="8">
        <v>44</v>
      </c>
      <c r="C1875" s="8">
        <v>3026</v>
      </c>
      <c r="D1875" s="16">
        <v>-2.0172430000000002E-2</v>
      </c>
      <c r="E1875" s="8">
        <v>-1.0086215000000001E-2</v>
      </c>
    </row>
    <row r="1876" spans="1:5" x14ac:dyDescent="0.3">
      <c r="A1876" s="8">
        <v>61</v>
      </c>
      <c r="B1876" s="8">
        <v>45</v>
      </c>
      <c r="C1876" s="8">
        <v>3059</v>
      </c>
      <c r="D1876" s="16">
        <v>2.0949740000000001E-2</v>
      </c>
      <c r="E1876" s="8">
        <v>1.0474870000000001E-2</v>
      </c>
    </row>
    <row r="1877" spans="1:5" x14ac:dyDescent="0.3">
      <c r="A1877" s="8">
        <v>61</v>
      </c>
      <c r="B1877" s="8">
        <v>46</v>
      </c>
      <c r="C1877" s="8">
        <v>3047</v>
      </c>
      <c r="D1877" s="16">
        <v>4.1345949999999996E-3</v>
      </c>
      <c r="E1877" s="8">
        <v>2.0672974999999998E-3</v>
      </c>
    </row>
    <row r="1878" spans="1:5" x14ac:dyDescent="0.3">
      <c r="A1878" s="8">
        <v>61</v>
      </c>
      <c r="B1878" s="8">
        <v>47</v>
      </c>
      <c r="C1878" s="8">
        <v>3026</v>
      </c>
      <c r="D1878" s="16">
        <v>-2.9332500000000001E-3</v>
      </c>
      <c r="E1878" s="8">
        <v>-1.466625E-3</v>
      </c>
    </row>
    <row r="1879" spans="1:5" x14ac:dyDescent="0.3">
      <c r="A1879" s="8">
        <v>61</v>
      </c>
      <c r="B1879" s="8">
        <v>48</v>
      </c>
      <c r="C1879" s="8">
        <v>3053</v>
      </c>
      <c r="D1879" s="16">
        <v>-2.775211E-2</v>
      </c>
      <c r="E1879" s="8">
        <v>-1.3876055E-2</v>
      </c>
    </row>
    <row r="1880" spans="1:5" x14ac:dyDescent="0.3">
      <c r="A1880" s="8">
        <v>61</v>
      </c>
      <c r="B1880" s="8">
        <v>49</v>
      </c>
      <c r="C1880" s="8">
        <v>3023</v>
      </c>
      <c r="D1880" s="16">
        <v>-1.6559460000000002E-2</v>
      </c>
      <c r="E1880" s="8">
        <v>-8.2797300000000008E-3</v>
      </c>
    </row>
    <row r="1881" spans="1:5" x14ac:dyDescent="0.3">
      <c r="A1881" s="8">
        <v>61</v>
      </c>
      <c r="B1881" s="8">
        <v>50</v>
      </c>
      <c r="C1881" s="8">
        <v>3068</v>
      </c>
      <c r="D1881" s="16">
        <v>-9.8989900000000003E-4</v>
      </c>
      <c r="E1881" s="8">
        <v>-4.9494950000000002E-4</v>
      </c>
    </row>
    <row r="1882" spans="1:5" x14ac:dyDescent="0.3">
      <c r="A1882" s="8">
        <v>61</v>
      </c>
      <c r="B1882" s="8">
        <v>51</v>
      </c>
      <c r="C1882" s="8">
        <v>3046</v>
      </c>
      <c r="D1882" s="16">
        <v>3.6857019999999997E-2</v>
      </c>
      <c r="E1882" s="8">
        <v>1.8428509999999999E-2</v>
      </c>
    </row>
    <row r="1883" spans="1:5" x14ac:dyDescent="0.3">
      <c r="A1883" s="8">
        <v>61</v>
      </c>
      <c r="B1883" s="8">
        <v>52</v>
      </c>
      <c r="C1883" s="8">
        <v>3050</v>
      </c>
      <c r="D1883" s="16">
        <v>-3.6263839999999999E-2</v>
      </c>
      <c r="E1883" s="8">
        <v>-1.8131919999999999E-2</v>
      </c>
    </row>
    <row r="1884" spans="1:5" x14ac:dyDescent="0.3">
      <c r="A1884" s="8">
        <v>61</v>
      </c>
      <c r="B1884" s="8">
        <v>53</v>
      </c>
      <c r="C1884" s="8">
        <v>3052</v>
      </c>
      <c r="D1884" s="16">
        <v>-6.6839670000000004E-2</v>
      </c>
      <c r="E1884" s="8">
        <v>-3.3419835000000002E-2</v>
      </c>
    </row>
    <row r="1885" spans="1:5" x14ac:dyDescent="0.3">
      <c r="A1885" s="8">
        <v>61</v>
      </c>
      <c r="B1885" s="8">
        <v>54</v>
      </c>
      <c r="C1885" s="8">
        <v>3033</v>
      </c>
      <c r="D1885" s="16">
        <v>5.3365610000000001E-3</v>
      </c>
      <c r="E1885" s="8">
        <v>2.6682805E-3</v>
      </c>
    </row>
    <row r="1886" spans="1:5" x14ac:dyDescent="0.3">
      <c r="A1886" s="8">
        <v>61</v>
      </c>
      <c r="B1886" s="8">
        <v>55</v>
      </c>
      <c r="C1886" s="8">
        <v>3054</v>
      </c>
      <c r="D1886" s="16">
        <v>-4.0467009999999998E-2</v>
      </c>
      <c r="E1886" s="8">
        <v>-2.0233504999999999E-2</v>
      </c>
    </row>
    <row r="1887" spans="1:5" x14ac:dyDescent="0.3">
      <c r="A1887" s="8">
        <v>61</v>
      </c>
      <c r="B1887" s="8">
        <v>56</v>
      </c>
      <c r="C1887" s="8">
        <v>3057</v>
      </c>
      <c r="D1887" s="16">
        <v>-1.2452070000000001E-2</v>
      </c>
      <c r="E1887" s="8">
        <v>-6.2260350000000004E-3</v>
      </c>
    </row>
    <row r="1888" spans="1:5" x14ac:dyDescent="0.3">
      <c r="A1888" s="8">
        <v>61</v>
      </c>
      <c r="B1888" s="8">
        <v>57</v>
      </c>
      <c r="C1888" s="8">
        <v>3073</v>
      </c>
      <c r="D1888" s="16">
        <v>4.4472459999999998E-2</v>
      </c>
      <c r="E1888" s="8">
        <v>2.2236229999999999E-2</v>
      </c>
    </row>
    <row r="1889" spans="1:5" x14ac:dyDescent="0.3">
      <c r="A1889" s="8">
        <v>61</v>
      </c>
      <c r="B1889" s="8">
        <v>58</v>
      </c>
      <c r="C1889" s="8">
        <v>3056</v>
      </c>
      <c r="D1889" s="16">
        <v>-2.384379E-2</v>
      </c>
      <c r="E1889" s="8">
        <v>-1.1921895E-2</v>
      </c>
    </row>
    <row r="1890" spans="1:5" x14ac:dyDescent="0.3">
      <c r="A1890" s="8">
        <v>61</v>
      </c>
      <c r="B1890" s="8">
        <v>59</v>
      </c>
      <c r="C1890" s="8">
        <v>3056</v>
      </c>
      <c r="D1890" s="16">
        <v>-6.4979930000000005E-2</v>
      </c>
      <c r="E1890" s="8">
        <v>-3.2489965000000003E-2</v>
      </c>
    </row>
    <row r="1891" spans="1:5" x14ac:dyDescent="0.3">
      <c r="A1891" s="8">
        <v>61</v>
      </c>
      <c r="B1891" s="8">
        <v>60</v>
      </c>
      <c r="C1891" s="8">
        <v>3051</v>
      </c>
      <c r="D1891" s="16">
        <v>-1.010516E-2</v>
      </c>
      <c r="E1891" s="8">
        <v>-5.0525800000000001E-3</v>
      </c>
    </row>
    <row r="1892" spans="1:5" x14ac:dyDescent="0.3">
      <c r="A1892" s="8">
        <v>61</v>
      </c>
      <c r="B1892" s="8">
        <v>61</v>
      </c>
      <c r="C1892" s="8">
        <v>3152</v>
      </c>
      <c r="D1892" s="16">
        <v>1.058581</v>
      </c>
      <c r="E1892" s="8"/>
    </row>
    <row r="1893" spans="1:5" x14ac:dyDescent="0.3">
      <c r="A1893" s="8">
        <v>62</v>
      </c>
      <c r="B1893" s="8">
        <v>1</v>
      </c>
      <c r="C1893" s="8">
        <v>3076</v>
      </c>
      <c r="D1893" s="16">
        <v>-2.790513E-2</v>
      </c>
      <c r="E1893" s="8">
        <v>-1.3952565E-2</v>
      </c>
    </row>
    <row r="1894" spans="1:5" x14ac:dyDescent="0.3">
      <c r="A1894" s="8">
        <v>62</v>
      </c>
      <c r="B1894" s="8">
        <v>2</v>
      </c>
      <c r="C1894" s="8">
        <v>3047</v>
      </c>
      <c r="D1894" s="16">
        <v>-3.1733770000000001E-2</v>
      </c>
      <c r="E1894" s="8">
        <v>-1.5866885000000001E-2</v>
      </c>
    </row>
    <row r="1895" spans="1:5" x14ac:dyDescent="0.3">
      <c r="A1895" s="8">
        <v>62</v>
      </c>
      <c r="B1895" s="8">
        <v>3</v>
      </c>
      <c r="C1895" s="8">
        <v>3066</v>
      </c>
      <c r="D1895" s="16">
        <v>-6.6495929999999995E-2</v>
      </c>
      <c r="E1895" s="8">
        <v>-3.3247964999999997E-2</v>
      </c>
    </row>
    <row r="1896" spans="1:5" x14ac:dyDescent="0.3">
      <c r="A1896" s="8">
        <v>62</v>
      </c>
      <c r="B1896" s="8">
        <v>4</v>
      </c>
      <c r="C1896" s="8">
        <v>3047</v>
      </c>
      <c r="D1896" s="16">
        <v>-1.086997E-2</v>
      </c>
      <c r="E1896" s="8">
        <v>-5.4349849999999998E-3</v>
      </c>
    </row>
    <row r="1897" spans="1:5" x14ac:dyDescent="0.3">
      <c r="A1897" s="8">
        <v>62</v>
      </c>
      <c r="B1897" s="8">
        <v>5</v>
      </c>
      <c r="C1897" s="8">
        <v>3040</v>
      </c>
      <c r="D1897" s="16">
        <v>-6.0025249999999999E-3</v>
      </c>
      <c r="E1897" s="8">
        <v>-3.0012624999999999E-3</v>
      </c>
    </row>
    <row r="1898" spans="1:5" x14ac:dyDescent="0.3">
      <c r="A1898" s="8">
        <v>62</v>
      </c>
      <c r="B1898" s="8">
        <v>6</v>
      </c>
      <c r="C1898" s="8">
        <v>3056</v>
      </c>
      <c r="D1898" s="16">
        <v>2.4456720000000001E-2</v>
      </c>
      <c r="E1898" s="8">
        <v>1.2228360000000001E-2</v>
      </c>
    </row>
    <row r="1899" spans="1:5" x14ac:dyDescent="0.3">
      <c r="A1899" s="8">
        <v>62</v>
      </c>
      <c r="B1899" s="8">
        <v>7</v>
      </c>
      <c r="C1899" s="8">
        <v>3051</v>
      </c>
      <c r="D1899" s="16">
        <v>-3.6741160000000002E-2</v>
      </c>
      <c r="E1899" s="8">
        <v>-1.8370580000000001E-2</v>
      </c>
    </row>
    <row r="1900" spans="1:5" x14ac:dyDescent="0.3">
      <c r="A1900" s="8">
        <v>62</v>
      </c>
      <c r="B1900" s="8">
        <v>8</v>
      </c>
      <c r="C1900" s="8">
        <v>3066</v>
      </c>
      <c r="D1900" s="16">
        <v>-4.2980079999999997E-2</v>
      </c>
      <c r="E1900" s="8">
        <v>-2.1490039999999998E-2</v>
      </c>
    </row>
    <row r="1901" spans="1:5" x14ac:dyDescent="0.3">
      <c r="A1901" s="8">
        <v>62</v>
      </c>
      <c r="B1901" s="8">
        <v>9</v>
      </c>
      <c r="C1901" s="8">
        <v>3056</v>
      </c>
      <c r="D1901" s="16">
        <v>-3.2005739999999998E-2</v>
      </c>
      <c r="E1901" s="8">
        <v>-1.6002869999999999E-2</v>
      </c>
    </row>
    <row r="1902" spans="1:5" x14ac:dyDescent="0.3">
      <c r="A1902" s="8">
        <v>62</v>
      </c>
      <c r="B1902" s="8">
        <v>10</v>
      </c>
      <c r="C1902" s="8">
        <v>3050</v>
      </c>
      <c r="D1902" s="16">
        <v>1.7564360000000001E-2</v>
      </c>
      <c r="E1902" s="8">
        <v>8.7821800000000005E-3</v>
      </c>
    </row>
    <row r="1903" spans="1:5" x14ac:dyDescent="0.3">
      <c r="A1903" s="8">
        <v>62</v>
      </c>
      <c r="B1903" s="8">
        <v>11</v>
      </c>
      <c r="C1903" s="8">
        <v>3051</v>
      </c>
      <c r="D1903" s="16">
        <v>-1.445193E-2</v>
      </c>
      <c r="E1903" s="8">
        <v>-7.225965E-3</v>
      </c>
    </row>
    <row r="1904" spans="1:5" x14ac:dyDescent="0.3">
      <c r="A1904" s="8">
        <v>62</v>
      </c>
      <c r="B1904" s="8">
        <v>12</v>
      </c>
      <c r="C1904" s="8">
        <v>3070</v>
      </c>
      <c r="D1904" s="16">
        <v>2.5861259999999998E-3</v>
      </c>
      <c r="E1904" s="8">
        <v>1.2930629999999999E-3</v>
      </c>
    </row>
    <row r="1905" spans="1:5" x14ac:dyDescent="0.3">
      <c r="A1905" s="8">
        <v>62</v>
      </c>
      <c r="B1905" s="8">
        <v>13</v>
      </c>
      <c r="C1905" s="8">
        <v>3047</v>
      </c>
      <c r="D1905" s="16">
        <v>-2.988873E-3</v>
      </c>
      <c r="E1905" s="8">
        <v>-1.4944365E-3</v>
      </c>
    </row>
    <row r="1906" spans="1:5" x14ac:dyDescent="0.3">
      <c r="A1906" s="8">
        <v>62</v>
      </c>
      <c r="B1906" s="8">
        <v>14</v>
      </c>
      <c r="C1906" s="8">
        <v>3044</v>
      </c>
      <c r="D1906" s="16">
        <v>2.6242100000000001E-3</v>
      </c>
      <c r="E1906" s="8">
        <v>1.312105E-3</v>
      </c>
    </row>
    <row r="1907" spans="1:5" x14ac:dyDescent="0.3">
      <c r="A1907" s="8">
        <v>62</v>
      </c>
      <c r="B1907" s="8">
        <v>15</v>
      </c>
      <c r="C1907" s="8">
        <v>3058</v>
      </c>
      <c r="D1907" s="16">
        <v>7.5011699999999997E-3</v>
      </c>
      <c r="E1907" s="8">
        <v>3.7505849999999999E-3</v>
      </c>
    </row>
    <row r="1908" spans="1:5" x14ac:dyDescent="0.3">
      <c r="A1908" s="8">
        <v>62</v>
      </c>
      <c r="B1908" s="8">
        <v>16</v>
      </c>
      <c r="C1908" s="8">
        <v>3059</v>
      </c>
      <c r="D1908" s="16">
        <v>-5.5607530000000002E-2</v>
      </c>
      <c r="E1908" s="8">
        <v>-2.7803765000000001E-2</v>
      </c>
    </row>
    <row r="1909" spans="1:5" x14ac:dyDescent="0.3">
      <c r="A1909" s="8">
        <v>62</v>
      </c>
      <c r="B1909" s="8">
        <v>17</v>
      </c>
      <c r="C1909" s="8">
        <v>3056</v>
      </c>
      <c r="D1909" s="16">
        <v>2.788618E-2</v>
      </c>
      <c r="E1909" s="8">
        <v>1.394309E-2</v>
      </c>
    </row>
    <row r="1910" spans="1:5" x14ac:dyDescent="0.3">
      <c r="A1910" s="8">
        <v>62</v>
      </c>
      <c r="B1910" s="8">
        <v>18</v>
      </c>
      <c r="C1910" s="8">
        <v>3072</v>
      </c>
      <c r="D1910" s="16">
        <v>-1.1789060000000001E-2</v>
      </c>
      <c r="E1910" s="8">
        <v>-5.8945300000000003E-3</v>
      </c>
    </row>
    <row r="1911" spans="1:5" x14ac:dyDescent="0.3">
      <c r="A1911" s="8">
        <v>62</v>
      </c>
      <c r="B1911" s="8">
        <v>19</v>
      </c>
      <c r="C1911" s="8">
        <v>3055</v>
      </c>
      <c r="D1911" s="16">
        <v>-3.7353089999999999E-2</v>
      </c>
      <c r="E1911" s="8">
        <v>-1.8676544999999999E-2</v>
      </c>
    </row>
    <row r="1912" spans="1:5" x14ac:dyDescent="0.3">
      <c r="A1912" s="8">
        <v>62</v>
      </c>
      <c r="B1912" s="8">
        <v>20</v>
      </c>
      <c r="C1912" s="8">
        <v>3060</v>
      </c>
      <c r="D1912" s="16">
        <v>-4.4566439999999999E-2</v>
      </c>
      <c r="E1912" s="8">
        <v>-2.2283219999999999E-2</v>
      </c>
    </row>
    <row r="1913" spans="1:5" x14ac:dyDescent="0.3">
      <c r="A1913" s="8">
        <v>62</v>
      </c>
      <c r="B1913" s="8">
        <v>21</v>
      </c>
      <c r="C1913" s="8">
        <v>3063</v>
      </c>
      <c r="D1913" s="16">
        <v>-2.5407309999999999E-2</v>
      </c>
      <c r="E1913" s="8">
        <v>-1.2703654999999999E-2</v>
      </c>
    </row>
    <row r="1914" spans="1:5" x14ac:dyDescent="0.3">
      <c r="A1914" s="8">
        <v>62</v>
      </c>
      <c r="B1914" s="8">
        <v>22</v>
      </c>
      <c r="C1914" s="8">
        <v>3049</v>
      </c>
      <c r="D1914" s="16">
        <v>2.8046229999999998E-2</v>
      </c>
      <c r="E1914" s="8">
        <v>1.4023114999999999E-2</v>
      </c>
    </row>
    <row r="1915" spans="1:5" x14ac:dyDescent="0.3">
      <c r="A1915" s="8">
        <v>62</v>
      </c>
      <c r="B1915" s="8">
        <v>23</v>
      </c>
      <c r="C1915" s="8">
        <v>3048</v>
      </c>
      <c r="D1915" s="16">
        <v>2.3171359999999998E-2</v>
      </c>
      <c r="E1915" s="8">
        <v>1.1585679999999999E-2</v>
      </c>
    </row>
    <row r="1916" spans="1:5" x14ac:dyDescent="0.3">
      <c r="A1916" s="8">
        <v>62</v>
      </c>
      <c r="B1916" s="8">
        <v>24</v>
      </c>
      <c r="C1916" s="8">
        <v>3078</v>
      </c>
      <c r="D1916" s="16">
        <v>-5.5166680000000003E-2</v>
      </c>
      <c r="E1916" s="8">
        <v>-2.7583340000000001E-2</v>
      </c>
    </row>
    <row r="1917" spans="1:5" x14ac:dyDescent="0.3">
      <c r="A1917" s="8">
        <v>62</v>
      </c>
      <c r="B1917" s="8">
        <v>25</v>
      </c>
      <c r="C1917" s="8">
        <v>3054</v>
      </c>
      <c r="D1917" s="16">
        <v>-3.8550929999999997E-2</v>
      </c>
      <c r="E1917" s="8">
        <v>-1.9275464999999999E-2</v>
      </c>
    </row>
    <row r="1918" spans="1:5" x14ac:dyDescent="0.3">
      <c r="A1918" s="8">
        <v>62</v>
      </c>
      <c r="B1918" s="8">
        <v>26</v>
      </c>
      <c r="C1918" s="8">
        <v>3067</v>
      </c>
      <c r="D1918" s="16">
        <v>-1.5614589999999999E-2</v>
      </c>
      <c r="E1918" s="8">
        <v>-7.8072949999999997E-3</v>
      </c>
    </row>
    <row r="1919" spans="1:5" x14ac:dyDescent="0.3">
      <c r="A1919" s="8">
        <v>62</v>
      </c>
      <c r="B1919" s="8">
        <v>27</v>
      </c>
      <c r="C1919" s="8">
        <v>3071</v>
      </c>
      <c r="D1919" s="16">
        <v>9.7492450000000001E-3</v>
      </c>
      <c r="E1919" s="8">
        <v>4.8746225000000001E-3</v>
      </c>
    </row>
    <row r="1920" spans="1:5" x14ac:dyDescent="0.3">
      <c r="A1920" s="8">
        <v>62</v>
      </c>
      <c r="B1920" s="8">
        <v>28</v>
      </c>
      <c r="C1920" s="8">
        <v>3041</v>
      </c>
      <c r="D1920" s="16">
        <v>-3.0639860000000001E-2</v>
      </c>
      <c r="E1920" s="8">
        <v>-1.5319930000000001E-2</v>
      </c>
    </row>
    <row r="1921" spans="1:5" x14ac:dyDescent="0.3">
      <c r="A1921" s="8">
        <v>62</v>
      </c>
      <c r="B1921" s="8">
        <v>29</v>
      </c>
      <c r="C1921" s="8">
        <v>3046</v>
      </c>
      <c r="D1921" s="16">
        <v>3.5305359999999999E-3</v>
      </c>
      <c r="E1921" s="8">
        <v>1.765268E-3</v>
      </c>
    </row>
    <row r="1922" spans="1:5" x14ac:dyDescent="0.3">
      <c r="A1922" s="8">
        <v>62</v>
      </c>
      <c r="B1922" s="8">
        <v>30</v>
      </c>
      <c r="C1922" s="8">
        <v>3056</v>
      </c>
      <c r="D1922" s="16">
        <v>-1.1624600000000001E-2</v>
      </c>
      <c r="E1922" s="8">
        <v>-5.8123000000000003E-3</v>
      </c>
    </row>
    <row r="1923" spans="1:5" x14ac:dyDescent="0.3">
      <c r="A1923" s="8">
        <v>62</v>
      </c>
      <c r="B1923" s="8">
        <v>31</v>
      </c>
      <c r="C1923" s="8">
        <v>2981</v>
      </c>
      <c r="D1923" s="16">
        <v>-1.513024E-2</v>
      </c>
      <c r="E1923" s="8">
        <v>-7.5651199999999998E-3</v>
      </c>
    </row>
    <row r="1924" spans="1:5" x14ac:dyDescent="0.3">
      <c r="A1924" s="8">
        <v>62</v>
      </c>
      <c r="B1924" s="8">
        <v>32</v>
      </c>
      <c r="C1924" s="8">
        <v>3047</v>
      </c>
      <c r="D1924" s="16">
        <v>2.379061E-2</v>
      </c>
      <c r="E1924" s="8">
        <v>1.1895305E-2</v>
      </c>
    </row>
    <row r="1925" spans="1:5" x14ac:dyDescent="0.3">
      <c r="A1925" s="8">
        <v>62</v>
      </c>
      <c r="B1925" s="8">
        <v>33</v>
      </c>
      <c r="C1925" s="8">
        <v>3076</v>
      </c>
      <c r="D1925" s="16">
        <v>-4.1778450000000002E-2</v>
      </c>
      <c r="E1925" s="8">
        <v>-2.0889225000000001E-2</v>
      </c>
    </row>
    <row r="1926" spans="1:5" x14ac:dyDescent="0.3">
      <c r="A1926" s="8">
        <v>62</v>
      </c>
      <c r="B1926" s="8">
        <v>34</v>
      </c>
      <c r="C1926" s="8">
        <v>3066</v>
      </c>
      <c r="D1926" s="16">
        <v>-2.5555270000000001E-2</v>
      </c>
      <c r="E1926" s="8">
        <v>-1.2777635000000001E-2</v>
      </c>
    </row>
    <row r="1927" spans="1:5" x14ac:dyDescent="0.3">
      <c r="A1927" s="8">
        <v>62</v>
      </c>
      <c r="B1927" s="8">
        <v>35</v>
      </c>
      <c r="C1927" s="8">
        <v>3053</v>
      </c>
      <c r="D1927" s="16">
        <v>7.7349810000000001E-3</v>
      </c>
      <c r="E1927" s="8">
        <v>3.8674905000000001E-3</v>
      </c>
    </row>
    <row r="1928" spans="1:5" x14ac:dyDescent="0.3">
      <c r="A1928" s="8">
        <v>62</v>
      </c>
      <c r="B1928" s="8">
        <v>36</v>
      </c>
      <c r="C1928" s="8">
        <v>3062</v>
      </c>
      <c r="D1928" s="16">
        <v>-2.67283E-2</v>
      </c>
      <c r="E1928" s="8">
        <v>-1.336415E-2</v>
      </c>
    </row>
    <row r="1929" spans="1:5" x14ac:dyDescent="0.3">
      <c r="A1929" s="8">
        <v>62</v>
      </c>
      <c r="B1929" s="8">
        <v>37</v>
      </c>
      <c r="C1929" s="8">
        <v>3031</v>
      </c>
      <c r="D1929" s="16">
        <v>-2.015252E-2</v>
      </c>
      <c r="E1929" s="8">
        <v>-1.007626E-2</v>
      </c>
    </row>
    <row r="1930" spans="1:5" x14ac:dyDescent="0.3">
      <c r="A1930" s="8">
        <v>62</v>
      </c>
      <c r="B1930" s="8">
        <v>38</v>
      </c>
      <c r="C1930" s="8">
        <v>3074</v>
      </c>
      <c r="D1930" s="16">
        <v>-2.1847200000000001E-2</v>
      </c>
      <c r="E1930" s="8">
        <v>-1.09236E-2</v>
      </c>
    </row>
    <row r="1931" spans="1:5" x14ac:dyDescent="0.3">
      <c r="A1931" s="8">
        <v>62</v>
      </c>
      <c r="B1931" s="8">
        <v>39</v>
      </c>
      <c r="C1931" s="8">
        <v>3064</v>
      </c>
      <c r="D1931" s="16">
        <v>-2.9208640000000001E-2</v>
      </c>
      <c r="E1931" s="8">
        <v>-1.460432E-2</v>
      </c>
    </row>
    <row r="1932" spans="1:5" x14ac:dyDescent="0.3">
      <c r="A1932" s="8">
        <v>62</v>
      </c>
      <c r="B1932" s="8">
        <v>40</v>
      </c>
      <c r="C1932" s="8">
        <v>3060</v>
      </c>
      <c r="D1932" s="16">
        <v>-5.6933339999999999E-2</v>
      </c>
      <c r="E1932" s="8">
        <v>-2.8466669999999999E-2</v>
      </c>
    </row>
    <row r="1933" spans="1:5" x14ac:dyDescent="0.3">
      <c r="A1933" s="8">
        <v>62</v>
      </c>
      <c r="B1933" s="8">
        <v>41</v>
      </c>
      <c r="C1933" s="8">
        <v>3039</v>
      </c>
      <c r="D1933" s="16">
        <v>-3.9712549999999999E-2</v>
      </c>
      <c r="E1933" s="8">
        <v>-1.9856275E-2</v>
      </c>
    </row>
    <row r="1934" spans="1:5" x14ac:dyDescent="0.3">
      <c r="A1934" s="8">
        <v>62</v>
      </c>
      <c r="B1934" s="8">
        <v>42</v>
      </c>
      <c r="C1934" s="8">
        <v>3030</v>
      </c>
      <c r="D1934" s="16">
        <v>-6.9182339999999997E-3</v>
      </c>
      <c r="E1934" s="8">
        <v>-3.4591169999999998E-3</v>
      </c>
    </row>
    <row r="1935" spans="1:5" x14ac:dyDescent="0.3">
      <c r="A1935" s="8">
        <v>62</v>
      </c>
      <c r="B1935" s="8">
        <v>43</v>
      </c>
      <c r="C1935" s="8">
        <v>3050</v>
      </c>
      <c r="D1935" s="16">
        <v>-2.1765079999999999E-2</v>
      </c>
      <c r="E1935" s="8">
        <v>-1.088254E-2</v>
      </c>
    </row>
    <row r="1936" spans="1:5" x14ac:dyDescent="0.3">
      <c r="A1936" s="8">
        <v>62</v>
      </c>
      <c r="B1936" s="8">
        <v>44</v>
      </c>
      <c r="C1936" s="8">
        <v>3032</v>
      </c>
      <c r="D1936" s="16">
        <v>1.471664E-2</v>
      </c>
      <c r="E1936" s="8">
        <v>7.3583199999999998E-3</v>
      </c>
    </row>
    <row r="1937" spans="1:5" x14ac:dyDescent="0.3">
      <c r="A1937" s="8">
        <v>62</v>
      </c>
      <c r="B1937" s="8">
        <v>45</v>
      </c>
      <c r="C1937" s="8">
        <v>3058</v>
      </c>
      <c r="D1937" s="16">
        <v>4.2261060000000003E-3</v>
      </c>
      <c r="E1937" s="8">
        <v>2.1130530000000002E-3</v>
      </c>
    </row>
    <row r="1938" spans="1:5" x14ac:dyDescent="0.3">
      <c r="A1938" s="8">
        <v>62</v>
      </c>
      <c r="B1938" s="8">
        <v>46</v>
      </c>
      <c r="C1938" s="8">
        <v>3047</v>
      </c>
      <c r="D1938" s="16">
        <v>-1.5407799999999999E-2</v>
      </c>
      <c r="E1938" s="8">
        <v>-7.7038999999999996E-3</v>
      </c>
    </row>
    <row r="1939" spans="1:5" x14ac:dyDescent="0.3">
      <c r="A1939" s="8">
        <v>62</v>
      </c>
      <c r="B1939" s="8">
        <v>47</v>
      </c>
      <c r="C1939" s="8">
        <v>3035</v>
      </c>
      <c r="D1939" s="16">
        <v>-1.3748450000000001E-2</v>
      </c>
      <c r="E1939" s="8">
        <v>-6.8742250000000003E-3</v>
      </c>
    </row>
    <row r="1940" spans="1:5" x14ac:dyDescent="0.3">
      <c r="A1940" s="8">
        <v>62</v>
      </c>
      <c r="B1940" s="8">
        <v>48</v>
      </c>
      <c r="C1940" s="8">
        <v>3054</v>
      </c>
      <c r="D1940" s="16">
        <v>5.5343059999999999E-2</v>
      </c>
      <c r="E1940" s="8">
        <v>2.767153E-2</v>
      </c>
    </row>
    <row r="1941" spans="1:5" x14ac:dyDescent="0.3">
      <c r="A1941" s="8">
        <v>62</v>
      </c>
      <c r="B1941" s="8">
        <v>49</v>
      </c>
      <c r="C1941" s="8">
        <v>3022</v>
      </c>
      <c r="D1941" s="16">
        <v>-3.0587860000000001E-2</v>
      </c>
      <c r="E1941" s="8">
        <v>-1.5293930000000001E-2</v>
      </c>
    </row>
    <row r="1942" spans="1:5" x14ac:dyDescent="0.3">
      <c r="A1942" s="8">
        <v>62</v>
      </c>
      <c r="B1942" s="8">
        <v>50</v>
      </c>
      <c r="C1942" s="8">
        <v>3072</v>
      </c>
      <c r="D1942" s="16">
        <v>-2.7594210000000001E-2</v>
      </c>
      <c r="E1942" s="8">
        <v>-1.3797105E-2</v>
      </c>
    </row>
    <row r="1943" spans="1:5" x14ac:dyDescent="0.3">
      <c r="A1943" s="8">
        <v>62</v>
      </c>
      <c r="B1943" s="8">
        <v>51</v>
      </c>
      <c r="C1943" s="8">
        <v>3052</v>
      </c>
      <c r="D1943" s="16">
        <v>2.1185740000000002E-2</v>
      </c>
      <c r="E1943" s="8">
        <v>1.0592870000000001E-2</v>
      </c>
    </row>
    <row r="1944" spans="1:5" x14ac:dyDescent="0.3">
      <c r="A1944" s="8">
        <v>62</v>
      </c>
      <c r="B1944" s="8">
        <v>52</v>
      </c>
      <c r="C1944" s="8">
        <v>3054</v>
      </c>
      <c r="D1944" s="16">
        <v>-2.096922E-2</v>
      </c>
      <c r="E1944" s="8">
        <v>-1.048461E-2</v>
      </c>
    </row>
    <row r="1945" spans="1:5" x14ac:dyDescent="0.3">
      <c r="A1945" s="8">
        <v>62</v>
      </c>
      <c r="B1945" s="8">
        <v>53</v>
      </c>
      <c r="C1945" s="8">
        <v>3057</v>
      </c>
      <c r="D1945" s="16">
        <v>-2.3700260000000001E-2</v>
      </c>
      <c r="E1945" s="8">
        <v>-1.185013E-2</v>
      </c>
    </row>
    <row r="1946" spans="1:5" x14ac:dyDescent="0.3">
      <c r="A1946" s="8">
        <v>62</v>
      </c>
      <c r="B1946" s="8">
        <v>54</v>
      </c>
      <c r="C1946" s="8">
        <v>3039</v>
      </c>
      <c r="D1946" s="16">
        <v>-2.0542330000000001E-2</v>
      </c>
      <c r="E1946" s="8">
        <v>-1.0271165000000001E-2</v>
      </c>
    </row>
    <row r="1947" spans="1:5" x14ac:dyDescent="0.3">
      <c r="A1947" s="8">
        <v>62</v>
      </c>
      <c r="B1947" s="8">
        <v>55</v>
      </c>
      <c r="C1947" s="8">
        <v>3064</v>
      </c>
      <c r="D1947" s="16">
        <v>-2.5637130000000001E-2</v>
      </c>
      <c r="E1947" s="8">
        <v>-1.2818565000000001E-2</v>
      </c>
    </row>
    <row r="1948" spans="1:5" x14ac:dyDescent="0.3">
      <c r="A1948" s="8">
        <v>62</v>
      </c>
      <c r="B1948" s="8">
        <v>56</v>
      </c>
      <c r="C1948" s="8">
        <v>3061</v>
      </c>
      <c r="D1948" s="16">
        <v>5.3088800000000002E-3</v>
      </c>
      <c r="E1948" s="8">
        <v>2.6544400000000001E-3</v>
      </c>
    </row>
    <row r="1949" spans="1:5" x14ac:dyDescent="0.3">
      <c r="A1949" s="8">
        <v>62</v>
      </c>
      <c r="B1949" s="8">
        <v>57</v>
      </c>
      <c r="C1949" s="8">
        <v>3077</v>
      </c>
      <c r="D1949" s="16">
        <v>9.6552549999999997E-3</v>
      </c>
      <c r="E1949" s="8">
        <v>4.8276274999999999E-3</v>
      </c>
    </row>
    <row r="1950" spans="1:5" x14ac:dyDescent="0.3">
      <c r="A1950" s="8">
        <v>62</v>
      </c>
      <c r="B1950" s="8">
        <v>58</v>
      </c>
      <c r="C1950" s="8">
        <v>3065</v>
      </c>
      <c r="D1950" s="16">
        <v>2.7587E-2</v>
      </c>
      <c r="E1950" s="8">
        <v>1.37935E-2</v>
      </c>
    </row>
    <row r="1951" spans="1:5" x14ac:dyDescent="0.3">
      <c r="A1951" s="8">
        <v>62</v>
      </c>
      <c r="B1951" s="8">
        <v>59</v>
      </c>
      <c r="C1951" s="8">
        <v>3065</v>
      </c>
      <c r="D1951" s="16">
        <v>1.0862479999999999E-3</v>
      </c>
      <c r="E1951" s="8">
        <v>5.4312399999999997E-4</v>
      </c>
    </row>
    <row r="1952" spans="1:5" x14ac:dyDescent="0.3">
      <c r="A1952" s="8">
        <v>62</v>
      </c>
      <c r="B1952" s="8">
        <v>60</v>
      </c>
      <c r="C1952" s="8">
        <v>3056</v>
      </c>
      <c r="D1952" s="16">
        <v>-1.096869E-2</v>
      </c>
      <c r="E1952" s="8">
        <v>-5.4843449999999998E-3</v>
      </c>
    </row>
    <row r="1953" spans="1:5" x14ac:dyDescent="0.3">
      <c r="A1953" s="8">
        <v>62</v>
      </c>
      <c r="B1953" s="8">
        <v>61</v>
      </c>
      <c r="C1953" s="8">
        <v>3059</v>
      </c>
      <c r="D1953" s="16">
        <v>-4.6314590000000003E-2</v>
      </c>
      <c r="E1953" s="8">
        <v>-2.3157295000000001E-2</v>
      </c>
    </row>
    <row r="1954" spans="1:5" x14ac:dyDescent="0.3">
      <c r="A1954" s="8">
        <v>62</v>
      </c>
      <c r="B1954" s="8">
        <v>62</v>
      </c>
      <c r="C1954" s="8">
        <v>3156</v>
      </c>
      <c r="D1954" s="16">
        <v>1.085037</v>
      </c>
      <c r="E1954" s="8"/>
    </row>
    <row r="1955" spans="1:5" x14ac:dyDescent="0.3">
      <c r="A1955" s="8">
        <v>63</v>
      </c>
      <c r="B1955" s="8">
        <v>1</v>
      </c>
      <c r="C1955" s="8">
        <v>3076</v>
      </c>
      <c r="D1955" s="16">
        <v>-5.2311070000000001E-2</v>
      </c>
      <c r="E1955" s="8">
        <v>-2.6155535000000001E-2</v>
      </c>
    </row>
    <row r="1956" spans="1:5" x14ac:dyDescent="0.3">
      <c r="A1956" s="8">
        <v>63</v>
      </c>
      <c r="B1956" s="8">
        <v>2</v>
      </c>
      <c r="C1956" s="8">
        <v>3045</v>
      </c>
      <c r="D1956" s="16">
        <v>-2.3007980000000001E-2</v>
      </c>
      <c r="E1956" s="8">
        <v>-1.150399E-2</v>
      </c>
    </row>
    <row r="1957" spans="1:5" x14ac:dyDescent="0.3">
      <c r="A1957" s="8">
        <v>63</v>
      </c>
      <c r="B1957" s="8">
        <v>3</v>
      </c>
      <c r="C1957" s="8">
        <v>3070</v>
      </c>
      <c r="D1957" s="16">
        <v>2.772763E-2</v>
      </c>
      <c r="E1957" s="8">
        <v>1.3863815E-2</v>
      </c>
    </row>
    <row r="1958" spans="1:5" x14ac:dyDescent="0.3">
      <c r="A1958" s="8">
        <v>63</v>
      </c>
      <c r="B1958" s="8">
        <v>4</v>
      </c>
      <c r="C1958" s="8">
        <v>3043</v>
      </c>
      <c r="D1958" s="16">
        <v>-5.6279160000000002E-2</v>
      </c>
      <c r="E1958" s="8">
        <v>-2.8139580000000001E-2</v>
      </c>
    </row>
    <row r="1959" spans="1:5" x14ac:dyDescent="0.3">
      <c r="A1959" s="8">
        <v>63</v>
      </c>
      <c r="B1959" s="8">
        <v>5</v>
      </c>
      <c r="C1959" s="8">
        <v>3036</v>
      </c>
      <c r="D1959" s="16">
        <v>-4.1194389999999999E-3</v>
      </c>
      <c r="E1959" s="8">
        <v>-2.0597195E-3</v>
      </c>
    </row>
    <row r="1960" spans="1:5" x14ac:dyDescent="0.3">
      <c r="A1960" s="8">
        <v>63</v>
      </c>
      <c r="B1960" s="8">
        <v>6</v>
      </c>
      <c r="C1960" s="8">
        <v>3055</v>
      </c>
      <c r="D1960" s="16">
        <v>-2.6586530000000001E-2</v>
      </c>
      <c r="E1960" s="8">
        <v>-1.3293265E-2</v>
      </c>
    </row>
    <row r="1961" spans="1:5" x14ac:dyDescent="0.3">
      <c r="A1961" s="8">
        <v>63</v>
      </c>
      <c r="B1961" s="8">
        <v>7</v>
      </c>
      <c r="C1961" s="8">
        <v>3049</v>
      </c>
      <c r="D1961" s="16">
        <v>-1.5866470000000001E-2</v>
      </c>
      <c r="E1961" s="8">
        <v>-7.9332350000000003E-3</v>
      </c>
    </row>
    <row r="1962" spans="1:5" x14ac:dyDescent="0.3">
      <c r="A1962" s="8">
        <v>63</v>
      </c>
      <c r="B1962" s="8">
        <v>8</v>
      </c>
      <c r="C1962" s="8">
        <v>3066</v>
      </c>
      <c r="D1962" s="16">
        <v>-1.066898E-2</v>
      </c>
      <c r="E1962" s="8">
        <v>-5.3344899999999999E-3</v>
      </c>
    </row>
    <row r="1963" spans="1:5" x14ac:dyDescent="0.3">
      <c r="A1963" s="8">
        <v>63</v>
      </c>
      <c r="B1963" s="8">
        <v>9</v>
      </c>
      <c r="C1963" s="8">
        <v>3060</v>
      </c>
      <c r="D1963" s="16">
        <v>2.0786680000000001E-3</v>
      </c>
      <c r="E1963" s="8">
        <v>1.039334E-3</v>
      </c>
    </row>
    <row r="1964" spans="1:5" x14ac:dyDescent="0.3">
      <c r="A1964" s="8">
        <v>63</v>
      </c>
      <c r="B1964" s="8">
        <v>10</v>
      </c>
      <c r="C1964" s="8">
        <v>3049</v>
      </c>
      <c r="D1964" s="16">
        <v>-1.4674059999999999E-2</v>
      </c>
      <c r="E1964" s="8">
        <v>-7.3370299999999996E-3</v>
      </c>
    </row>
    <row r="1965" spans="1:5" x14ac:dyDescent="0.3">
      <c r="A1965" s="8">
        <v>63</v>
      </c>
      <c r="B1965" s="8">
        <v>11</v>
      </c>
      <c r="C1965" s="8">
        <v>3050</v>
      </c>
      <c r="D1965" s="16">
        <v>2.1939E-2</v>
      </c>
      <c r="E1965" s="8">
        <v>1.09695E-2</v>
      </c>
    </row>
    <row r="1966" spans="1:5" x14ac:dyDescent="0.3">
      <c r="A1966" s="8">
        <v>63</v>
      </c>
      <c r="B1966" s="8">
        <v>12</v>
      </c>
      <c r="C1966" s="8">
        <v>3067</v>
      </c>
      <c r="D1966" s="16">
        <v>-6.891955E-3</v>
      </c>
      <c r="E1966" s="8">
        <v>-3.4459775E-3</v>
      </c>
    </row>
    <row r="1967" spans="1:5" x14ac:dyDescent="0.3">
      <c r="A1967" s="8">
        <v>63</v>
      </c>
      <c r="B1967" s="8">
        <v>13</v>
      </c>
      <c r="C1967" s="8">
        <v>3047</v>
      </c>
      <c r="D1967" s="16">
        <v>-2.5879289999999999E-2</v>
      </c>
      <c r="E1967" s="8">
        <v>-1.2939645E-2</v>
      </c>
    </row>
    <row r="1968" spans="1:5" x14ac:dyDescent="0.3">
      <c r="A1968" s="8">
        <v>63</v>
      </c>
      <c r="B1968" s="8">
        <v>14</v>
      </c>
      <c r="C1968" s="8">
        <v>3050</v>
      </c>
      <c r="D1968" s="16">
        <v>1.289099E-2</v>
      </c>
      <c r="E1968" s="8">
        <v>6.4454949999999999E-3</v>
      </c>
    </row>
    <row r="1969" spans="1:5" x14ac:dyDescent="0.3">
      <c r="A1969" s="8">
        <v>63</v>
      </c>
      <c r="B1969" s="8">
        <v>15</v>
      </c>
      <c r="C1969" s="8">
        <v>3058</v>
      </c>
      <c r="D1969" s="16">
        <v>-2.554112E-2</v>
      </c>
      <c r="E1969" s="8">
        <v>-1.277056E-2</v>
      </c>
    </row>
    <row r="1970" spans="1:5" x14ac:dyDescent="0.3">
      <c r="A1970" s="8">
        <v>63</v>
      </c>
      <c r="B1970" s="8">
        <v>16</v>
      </c>
      <c r="C1970" s="8">
        <v>3058</v>
      </c>
      <c r="D1970" s="16">
        <v>-1.602487E-2</v>
      </c>
      <c r="E1970" s="8">
        <v>-8.012435E-3</v>
      </c>
    </row>
    <row r="1971" spans="1:5" x14ac:dyDescent="0.3">
      <c r="A1971" s="8">
        <v>63</v>
      </c>
      <c r="B1971" s="8">
        <v>17</v>
      </c>
      <c r="C1971" s="8">
        <v>3055</v>
      </c>
      <c r="D1971" s="16">
        <v>-1.9272609999999999E-2</v>
      </c>
      <c r="E1971" s="8">
        <v>-9.6363049999999995E-3</v>
      </c>
    </row>
    <row r="1972" spans="1:5" x14ac:dyDescent="0.3">
      <c r="A1972" s="8">
        <v>63</v>
      </c>
      <c r="B1972" s="8">
        <v>18</v>
      </c>
      <c r="C1972" s="8">
        <v>3073</v>
      </c>
      <c r="D1972" s="16">
        <v>-2.9804669999999998E-2</v>
      </c>
      <c r="E1972" s="8">
        <v>-1.4902334999999999E-2</v>
      </c>
    </row>
    <row r="1973" spans="1:5" x14ac:dyDescent="0.3">
      <c r="A1973" s="8">
        <v>63</v>
      </c>
      <c r="B1973" s="8">
        <v>19</v>
      </c>
      <c r="C1973" s="8">
        <v>3058</v>
      </c>
      <c r="D1973" s="16">
        <v>-2.2058680000000001E-2</v>
      </c>
      <c r="E1973" s="8">
        <v>-1.102934E-2</v>
      </c>
    </row>
    <row r="1974" spans="1:5" x14ac:dyDescent="0.3">
      <c r="A1974" s="8">
        <v>63</v>
      </c>
      <c r="B1974" s="8">
        <v>20</v>
      </c>
      <c r="C1974" s="8">
        <v>3060</v>
      </c>
      <c r="D1974" s="16">
        <v>4.6781509999999998E-2</v>
      </c>
      <c r="E1974" s="8">
        <v>2.3390754999999999E-2</v>
      </c>
    </row>
    <row r="1975" spans="1:5" x14ac:dyDescent="0.3">
      <c r="A1975" s="8">
        <v>63</v>
      </c>
      <c r="B1975" s="8">
        <v>21</v>
      </c>
      <c r="C1975" s="8">
        <v>3063</v>
      </c>
      <c r="D1975" s="16">
        <v>-5.3033320000000001E-5</v>
      </c>
      <c r="E1975" s="8">
        <v>-2.651666E-5</v>
      </c>
    </row>
    <row r="1976" spans="1:5" x14ac:dyDescent="0.3">
      <c r="A1976" s="8">
        <v>63</v>
      </c>
      <c r="B1976" s="8">
        <v>22</v>
      </c>
      <c r="C1976" s="8">
        <v>3051</v>
      </c>
      <c r="D1976" s="16">
        <v>6.3343930000000007E-2</v>
      </c>
      <c r="E1976" s="8">
        <v>3.1671965000000003E-2</v>
      </c>
    </row>
    <row r="1977" spans="1:5" x14ac:dyDescent="0.3">
      <c r="A1977" s="8">
        <v>63</v>
      </c>
      <c r="B1977" s="8">
        <v>23</v>
      </c>
      <c r="C1977" s="8">
        <v>3050</v>
      </c>
      <c r="D1977" s="16">
        <v>-4.7820540000000002E-2</v>
      </c>
      <c r="E1977" s="8">
        <v>-2.3910270000000001E-2</v>
      </c>
    </row>
    <row r="1978" spans="1:5" x14ac:dyDescent="0.3">
      <c r="A1978" s="8">
        <v>63</v>
      </c>
      <c r="B1978" s="8">
        <v>24</v>
      </c>
      <c r="C1978" s="8">
        <v>3077</v>
      </c>
      <c r="D1978" s="16">
        <v>1.9855009999999999E-2</v>
      </c>
      <c r="E1978" s="8">
        <v>9.9275049999999997E-3</v>
      </c>
    </row>
    <row r="1979" spans="1:5" x14ac:dyDescent="0.3">
      <c r="A1979" s="8">
        <v>63</v>
      </c>
      <c r="B1979" s="8">
        <v>25</v>
      </c>
      <c r="C1979" s="8">
        <v>3055</v>
      </c>
      <c r="D1979" s="16">
        <v>2.0845889999999999E-2</v>
      </c>
      <c r="E1979" s="8">
        <v>1.0422944999999999E-2</v>
      </c>
    </row>
    <row r="1980" spans="1:5" x14ac:dyDescent="0.3">
      <c r="A1980" s="8">
        <v>63</v>
      </c>
      <c r="B1980" s="8">
        <v>26</v>
      </c>
      <c r="C1980" s="8">
        <v>3070</v>
      </c>
      <c r="D1980" s="16">
        <v>-4.0210180000000003E-3</v>
      </c>
      <c r="E1980" s="8">
        <v>-2.0105090000000002E-3</v>
      </c>
    </row>
    <row r="1981" spans="1:5" x14ac:dyDescent="0.3">
      <c r="A1981" s="8">
        <v>63</v>
      </c>
      <c r="B1981" s="8">
        <v>27</v>
      </c>
      <c r="C1981" s="8">
        <v>3076</v>
      </c>
      <c r="D1981" s="16">
        <v>6.7199879999999997E-3</v>
      </c>
      <c r="E1981" s="8">
        <v>3.3599939999999998E-3</v>
      </c>
    </row>
    <row r="1982" spans="1:5" x14ac:dyDescent="0.3">
      <c r="A1982" s="8">
        <v>63</v>
      </c>
      <c r="B1982" s="8">
        <v>28</v>
      </c>
      <c r="C1982" s="8">
        <v>3045</v>
      </c>
      <c r="D1982" s="16">
        <v>-3.3896080000000002E-2</v>
      </c>
      <c r="E1982" s="8">
        <v>-1.6948040000000001E-2</v>
      </c>
    </row>
    <row r="1983" spans="1:5" x14ac:dyDescent="0.3">
      <c r="A1983" s="8">
        <v>63</v>
      </c>
      <c r="B1983" s="8">
        <v>29</v>
      </c>
      <c r="C1983" s="8">
        <v>3044</v>
      </c>
      <c r="D1983" s="16">
        <v>-5.0181709999999997E-2</v>
      </c>
      <c r="E1983" s="8">
        <v>-2.5090854999999999E-2</v>
      </c>
    </row>
    <row r="1984" spans="1:5" x14ac:dyDescent="0.3">
      <c r="A1984" s="8">
        <v>63</v>
      </c>
      <c r="B1984" s="8">
        <v>30</v>
      </c>
      <c r="C1984" s="8">
        <v>3059</v>
      </c>
      <c r="D1984" s="16">
        <v>-4.5178400000000004E-3</v>
      </c>
      <c r="E1984" s="8">
        <v>-2.2589200000000002E-3</v>
      </c>
    </row>
    <row r="1985" spans="1:5" x14ac:dyDescent="0.3">
      <c r="A1985" s="8">
        <v>63</v>
      </c>
      <c r="B1985" s="8">
        <v>31</v>
      </c>
      <c r="C1985" s="8">
        <v>2978</v>
      </c>
      <c r="D1985" s="16">
        <v>1.017033E-2</v>
      </c>
      <c r="E1985" s="8">
        <v>5.085165E-3</v>
      </c>
    </row>
    <row r="1986" spans="1:5" x14ac:dyDescent="0.3">
      <c r="A1986" s="8">
        <v>63</v>
      </c>
      <c r="B1986" s="8">
        <v>32</v>
      </c>
      <c r="C1986" s="8">
        <v>3041</v>
      </c>
      <c r="D1986" s="16">
        <v>-2.9543679999999999E-2</v>
      </c>
      <c r="E1986" s="8">
        <v>-1.477184E-2</v>
      </c>
    </row>
    <row r="1987" spans="1:5" x14ac:dyDescent="0.3">
      <c r="A1987" s="8">
        <v>63</v>
      </c>
      <c r="B1987" s="8">
        <v>33</v>
      </c>
      <c r="C1987" s="8">
        <v>3076</v>
      </c>
      <c r="D1987" s="16">
        <v>-3.754826E-2</v>
      </c>
      <c r="E1987" s="8">
        <v>-1.877413E-2</v>
      </c>
    </row>
    <row r="1988" spans="1:5" x14ac:dyDescent="0.3">
      <c r="A1988" s="8">
        <v>63</v>
      </c>
      <c r="B1988" s="8">
        <v>34</v>
      </c>
      <c r="C1988" s="8">
        <v>3062</v>
      </c>
      <c r="D1988" s="16">
        <v>3.1150400000000002E-2</v>
      </c>
      <c r="E1988" s="8">
        <v>1.5575200000000001E-2</v>
      </c>
    </row>
    <row r="1989" spans="1:5" x14ac:dyDescent="0.3">
      <c r="A1989" s="8">
        <v>63</v>
      </c>
      <c r="B1989" s="8">
        <v>35</v>
      </c>
      <c r="C1989" s="8">
        <v>3055</v>
      </c>
      <c r="D1989" s="16">
        <v>-2.0072860000000001E-2</v>
      </c>
      <c r="E1989" s="8">
        <v>-1.0036430000000001E-2</v>
      </c>
    </row>
    <row r="1990" spans="1:5" x14ac:dyDescent="0.3">
      <c r="A1990" s="8">
        <v>63</v>
      </c>
      <c r="B1990" s="8">
        <v>36</v>
      </c>
      <c r="C1990" s="8">
        <v>3068</v>
      </c>
      <c r="D1990" s="16">
        <v>-1.087247E-2</v>
      </c>
      <c r="E1990" s="8">
        <v>-5.4362350000000002E-3</v>
      </c>
    </row>
    <row r="1991" spans="1:5" x14ac:dyDescent="0.3">
      <c r="A1991" s="8">
        <v>63</v>
      </c>
      <c r="B1991" s="8">
        <v>37</v>
      </c>
      <c r="C1991" s="8">
        <v>3030</v>
      </c>
      <c r="D1991" s="16">
        <v>-2.9097129999999999E-2</v>
      </c>
      <c r="E1991" s="8">
        <v>-1.4548564999999999E-2</v>
      </c>
    </row>
    <row r="1992" spans="1:5" x14ac:dyDescent="0.3">
      <c r="A1992" s="8">
        <v>63</v>
      </c>
      <c r="B1992" s="8">
        <v>38</v>
      </c>
      <c r="C1992" s="8">
        <v>3075</v>
      </c>
      <c r="D1992" s="16">
        <v>-4.10979E-2</v>
      </c>
      <c r="E1992" s="8">
        <v>-2.054895E-2</v>
      </c>
    </row>
    <row r="1993" spans="1:5" x14ac:dyDescent="0.3">
      <c r="A1993" s="8">
        <v>63</v>
      </c>
      <c r="B1993" s="8">
        <v>39</v>
      </c>
      <c r="C1993" s="8">
        <v>3063</v>
      </c>
      <c r="D1993" s="16">
        <v>-5.1085430000000001E-2</v>
      </c>
      <c r="E1993" s="8">
        <v>-2.5542715000000001E-2</v>
      </c>
    </row>
    <row r="1994" spans="1:5" x14ac:dyDescent="0.3">
      <c r="A1994" s="8">
        <v>63</v>
      </c>
      <c r="B1994" s="8">
        <v>40</v>
      </c>
      <c r="C1994" s="8">
        <v>3061</v>
      </c>
      <c r="D1994" s="16">
        <v>-3.1998770000000003E-2</v>
      </c>
      <c r="E1994" s="8">
        <v>-1.5999385000000001E-2</v>
      </c>
    </row>
    <row r="1995" spans="1:5" x14ac:dyDescent="0.3">
      <c r="A1995" s="8">
        <v>63</v>
      </c>
      <c r="B1995" s="8">
        <v>41</v>
      </c>
      <c r="C1995" s="8">
        <v>3035</v>
      </c>
      <c r="D1995" s="16">
        <v>-2.2099199999999999E-2</v>
      </c>
      <c r="E1995" s="8">
        <v>-1.10496E-2</v>
      </c>
    </row>
    <row r="1996" spans="1:5" x14ac:dyDescent="0.3">
      <c r="A1996" s="8">
        <v>63</v>
      </c>
      <c r="B1996" s="8">
        <v>42</v>
      </c>
      <c r="C1996" s="8">
        <v>3027</v>
      </c>
      <c r="D1996" s="16">
        <v>-2.176103E-3</v>
      </c>
      <c r="E1996" s="8">
        <v>-1.0880515E-3</v>
      </c>
    </row>
    <row r="1997" spans="1:5" x14ac:dyDescent="0.3">
      <c r="A1997" s="8">
        <v>63</v>
      </c>
      <c r="B1997" s="8">
        <v>43</v>
      </c>
      <c r="C1997" s="8">
        <v>3048</v>
      </c>
      <c r="D1997" s="16">
        <v>-1.7923089999999999E-2</v>
      </c>
      <c r="E1997" s="8">
        <v>-8.9615449999999996E-3</v>
      </c>
    </row>
    <row r="1998" spans="1:5" x14ac:dyDescent="0.3">
      <c r="A1998" s="8">
        <v>63</v>
      </c>
      <c r="B1998" s="8">
        <v>44</v>
      </c>
      <c r="C1998" s="8">
        <v>3028</v>
      </c>
      <c r="D1998" s="16">
        <v>-3.062754E-3</v>
      </c>
      <c r="E1998" s="8">
        <v>-1.531377E-3</v>
      </c>
    </row>
    <row r="1999" spans="1:5" x14ac:dyDescent="0.3">
      <c r="A1999" s="8">
        <v>63</v>
      </c>
      <c r="B1999" s="8">
        <v>45</v>
      </c>
      <c r="C1999" s="8">
        <v>3061</v>
      </c>
      <c r="D1999" s="16">
        <v>-6.3159060000000003E-2</v>
      </c>
      <c r="E1999" s="8">
        <v>-3.1579530000000001E-2</v>
      </c>
    </row>
    <row r="2000" spans="1:5" x14ac:dyDescent="0.3">
      <c r="A2000" s="8">
        <v>63</v>
      </c>
      <c r="B2000" s="8">
        <v>46</v>
      </c>
      <c r="C2000" s="8">
        <v>3052</v>
      </c>
      <c r="D2000" s="16">
        <v>2.3948799999999998E-3</v>
      </c>
      <c r="E2000" s="8">
        <v>1.1974399999999999E-3</v>
      </c>
    </row>
    <row r="2001" spans="1:5" x14ac:dyDescent="0.3">
      <c r="A2001" s="8">
        <v>63</v>
      </c>
      <c r="B2001" s="8">
        <v>47</v>
      </c>
      <c r="C2001" s="8">
        <v>3034</v>
      </c>
      <c r="D2001" s="16">
        <v>-1.5430650000000001E-2</v>
      </c>
      <c r="E2001" s="8">
        <v>-7.7153250000000003E-3</v>
      </c>
    </row>
    <row r="2002" spans="1:5" x14ac:dyDescent="0.3">
      <c r="A2002" s="8">
        <v>63</v>
      </c>
      <c r="B2002" s="8">
        <v>48</v>
      </c>
      <c r="C2002" s="8">
        <v>3055</v>
      </c>
      <c r="D2002" s="16">
        <v>3.1412039999999999E-3</v>
      </c>
      <c r="E2002" s="8">
        <v>1.5706019999999999E-3</v>
      </c>
    </row>
    <row r="2003" spans="1:5" x14ac:dyDescent="0.3">
      <c r="A2003" s="8">
        <v>63</v>
      </c>
      <c r="B2003" s="8">
        <v>49</v>
      </c>
      <c r="C2003" s="8">
        <v>3026</v>
      </c>
      <c r="D2003" s="16">
        <v>-2.9392040000000001E-2</v>
      </c>
      <c r="E2003" s="8">
        <v>-1.4696020000000001E-2</v>
      </c>
    </row>
    <row r="2004" spans="1:5" x14ac:dyDescent="0.3">
      <c r="A2004" s="8">
        <v>63</v>
      </c>
      <c r="B2004" s="8">
        <v>50</v>
      </c>
      <c r="C2004" s="8">
        <v>3069</v>
      </c>
      <c r="D2004" s="16">
        <v>-6.8436900000000002E-5</v>
      </c>
      <c r="E2004" s="8">
        <v>-3.4218450000000001E-5</v>
      </c>
    </row>
    <row r="2005" spans="1:5" x14ac:dyDescent="0.3">
      <c r="A2005" s="8">
        <v>63</v>
      </c>
      <c r="B2005" s="8">
        <v>51</v>
      </c>
      <c r="C2005" s="8">
        <v>3053</v>
      </c>
      <c r="D2005" s="16">
        <v>-3.8322920000000003E-2</v>
      </c>
      <c r="E2005" s="8">
        <v>-1.9161460000000002E-2</v>
      </c>
    </row>
    <row r="2006" spans="1:5" x14ac:dyDescent="0.3">
      <c r="A2006" s="8">
        <v>63</v>
      </c>
      <c r="B2006" s="8">
        <v>52</v>
      </c>
      <c r="C2006" s="8">
        <v>3056</v>
      </c>
      <c r="D2006" s="16">
        <v>-1.2051920000000001E-2</v>
      </c>
      <c r="E2006" s="8">
        <v>-6.0259600000000003E-3</v>
      </c>
    </row>
    <row r="2007" spans="1:5" x14ac:dyDescent="0.3">
      <c r="A2007" s="8">
        <v>63</v>
      </c>
      <c r="B2007" s="8">
        <v>53</v>
      </c>
      <c r="C2007" s="8">
        <v>3054</v>
      </c>
      <c r="D2007" s="16">
        <v>-4.4938350000000002E-2</v>
      </c>
      <c r="E2007" s="8">
        <v>-2.2469175000000001E-2</v>
      </c>
    </row>
    <row r="2008" spans="1:5" x14ac:dyDescent="0.3">
      <c r="A2008" s="8">
        <v>63</v>
      </c>
      <c r="B2008" s="8">
        <v>54</v>
      </c>
      <c r="C2008" s="8">
        <v>3039</v>
      </c>
      <c r="D2008" s="16">
        <v>3.176669E-2</v>
      </c>
      <c r="E2008" s="8">
        <v>1.5883345E-2</v>
      </c>
    </row>
    <row r="2009" spans="1:5" x14ac:dyDescent="0.3">
      <c r="A2009" s="8">
        <v>63</v>
      </c>
      <c r="B2009" s="8">
        <v>55</v>
      </c>
      <c r="C2009" s="8">
        <v>3061</v>
      </c>
      <c r="D2009" s="16">
        <v>-1.7959280000000001E-2</v>
      </c>
      <c r="E2009" s="8">
        <v>-8.9796400000000005E-3</v>
      </c>
    </row>
    <row r="2010" spans="1:5" x14ac:dyDescent="0.3">
      <c r="A2010" s="8">
        <v>63</v>
      </c>
      <c r="B2010" s="8">
        <v>56</v>
      </c>
      <c r="C2010" s="8">
        <v>3061</v>
      </c>
      <c r="D2010" s="16">
        <v>-1.0011340000000001E-2</v>
      </c>
      <c r="E2010" s="8">
        <v>-5.0056700000000003E-3</v>
      </c>
    </row>
    <row r="2011" spans="1:5" x14ac:dyDescent="0.3">
      <c r="A2011" s="8">
        <v>63</v>
      </c>
      <c r="B2011" s="8">
        <v>57</v>
      </c>
      <c r="C2011" s="8">
        <v>3079</v>
      </c>
      <c r="D2011" s="16">
        <v>1.7386470000000001E-2</v>
      </c>
      <c r="E2011" s="8">
        <v>8.6932350000000005E-3</v>
      </c>
    </row>
    <row r="2012" spans="1:5" x14ac:dyDescent="0.3">
      <c r="A2012" s="8">
        <v>63</v>
      </c>
      <c r="B2012" s="8">
        <v>58</v>
      </c>
      <c r="C2012" s="8">
        <v>3064</v>
      </c>
      <c r="D2012" s="16">
        <v>7.6568579999999999E-3</v>
      </c>
      <c r="E2012" s="8">
        <v>3.8284289999999999E-3</v>
      </c>
    </row>
    <row r="2013" spans="1:5" x14ac:dyDescent="0.3">
      <c r="A2013" s="8">
        <v>63</v>
      </c>
      <c r="B2013" s="8">
        <v>59</v>
      </c>
      <c r="C2013" s="8">
        <v>3068</v>
      </c>
      <c r="D2013" s="16">
        <v>-1.542664E-2</v>
      </c>
      <c r="E2013" s="8">
        <v>-7.7133200000000001E-3</v>
      </c>
    </row>
    <row r="2014" spans="1:5" x14ac:dyDescent="0.3">
      <c r="A2014" s="8">
        <v>63</v>
      </c>
      <c r="B2014" s="8">
        <v>60</v>
      </c>
      <c r="C2014" s="8">
        <v>3055</v>
      </c>
      <c r="D2014" s="16">
        <v>-9.957044E-3</v>
      </c>
      <c r="E2014" s="8">
        <v>-4.978522E-3</v>
      </c>
    </row>
    <row r="2015" spans="1:5" x14ac:dyDescent="0.3">
      <c r="A2015" s="8">
        <v>63</v>
      </c>
      <c r="B2015" s="8">
        <v>61</v>
      </c>
      <c r="C2015" s="8">
        <v>3056</v>
      </c>
      <c r="D2015" s="16">
        <v>1.781582E-2</v>
      </c>
      <c r="E2015" s="8">
        <v>8.9079099999999998E-3</v>
      </c>
    </row>
    <row r="2016" spans="1:5" x14ac:dyDescent="0.3">
      <c r="A2016" s="8">
        <v>63</v>
      </c>
      <c r="B2016" s="8">
        <v>62</v>
      </c>
      <c r="C2016" s="8">
        <v>3065</v>
      </c>
      <c r="D2016" s="16">
        <v>-2.485534E-2</v>
      </c>
      <c r="E2016" s="8">
        <v>-1.242767E-2</v>
      </c>
    </row>
    <row r="2017" spans="1:5" x14ac:dyDescent="0.3">
      <c r="A2017" s="8">
        <v>63</v>
      </c>
      <c r="B2017" s="8">
        <v>63</v>
      </c>
      <c r="C2017" s="8">
        <v>3157</v>
      </c>
      <c r="D2017" s="16">
        <v>1.0695509999999999</v>
      </c>
      <c r="E2017" s="8"/>
    </row>
    <row r="2018" spans="1:5" x14ac:dyDescent="0.3">
      <c r="A2018" s="8">
        <v>64</v>
      </c>
      <c r="B2018" s="8">
        <v>1</v>
      </c>
      <c r="C2018" s="8">
        <v>3072</v>
      </c>
      <c r="D2018" s="16">
        <v>-3.1537889999999999E-2</v>
      </c>
      <c r="E2018" s="8">
        <v>-1.5768944999999999E-2</v>
      </c>
    </row>
    <row r="2019" spans="1:5" x14ac:dyDescent="0.3">
      <c r="A2019" s="8">
        <v>64</v>
      </c>
      <c r="B2019" s="8">
        <v>2</v>
      </c>
      <c r="C2019" s="8">
        <v>3040</v>
      </c>
      <c r="D2019" s="16">
        <v>-5.9241240000000001E-2</v>
      </c>
      <c r="E2019" s="8">
        <v>-2.962062E-2</v>
      </c>
    </row>
    <row r="2020" spans="1:5" x14ac:dyDescent="0.3">
      <c r="A2020" s="8">
        <v>64</v>
      </c>
      <c r="B2020" s="8">
        <v>3</v>
      </c>
      <c r="C2020" s="8">
        <v>3069</v>
      </c>
      <c r="D2020" s="16">
        <v>-3.5601229999999998E-2</v>
      </c>
      <c r="E2020" s="8">
        <v>-1.7800614999999999E-2</v>
      </c>
    </row>
    <row r="2021" spans="1:5" x14ac:dyDescent="0.3">
      <c r="A2021" s="8">
        <v>64</v>
      </c>
      <c r="B2021" s="8">
        <v>4</v>
      </c>
      <c r="C2021" s="8">
        <v>3042</v>
      </c>
      <c r="D2021" s="16">
        <v>1.8486659999999999E-2</v>
      </c>
      <c r="E2021" s="8">
        <v>9.2433299999999993E-3</v>
      </c>
    </row>
    <row r="2022" spans="1:5" x14ac:dyDescent="0.3">
      <c r="A2022" s="8">
        <v>64</v>
      </c>
      <c r="B2022" s="8">
        <v>5</v>
      </c>
      <c r="C2022" s="8">
        <v>3032</v>
      </c>
      <c r="D2022" s="16">
        <v>-4.350268E-3</v>
      </c>
      <c r="E2022" s="8">
        <v>-2.175134E-3</v>
      </c>
    </row>
    <row r="2023" spans="1:5" x14ac:dyDescent="0.3">
      <c r="A2023" s="8">
        <v>64</v>
      </c>
      <c r="B2023" s="8">
        <v>6</v>
      </c>
      <c r="C2023" s="8">
        <v>3051</v>
      </c>
      <c r="D2023" s="16">
        <v>-4.4036520000000003E-2</v>
      </c>
      <c r="E2023" s="8">
        <v>-2.2018260000000001E-2</v>
      </c>
    </row>
    <row r="2024" spans="1:5" x14ac:dyDescent="0.3">
      <c r="A2024" s="8">
        <v>64</v>
      </c>
      <c r="B2024" s="8">
        <v>7</v>
      </c>
      <c r="C2024" s="8">
        <v>3044</v>
      </c>
      <c r="D2024" s="16">
        <v>-3.0287399999999999E-2</v>
      </c>
      <c r="E2024" s="8">
        <v>-1.51437E-2</v>
      </c>
    </row>
    <row r="2025" spans="1:5" x14ac:dyDescent="0.3">
      <c r="A2025" s="8">
        <v>64</v>
      </c>
      <c r="B2025" s="8">
        <v>8</v>
      </c>
      <c r="C2025" s="8">
        <v>3062</v>
      </c>
      <c r="D2025" s="16">
        <v>8.7784899999999994E-5</v>
      </c>
      <c r="E2025" s="8">
        <v>4.3892449999999997E-5</v>
      </c>
    </row>
    <row r="2026" spans="1:5" x14ac:dyDescent="0.3">
      <c r="A2026" s="8">
        <v>64</v>
      </c>
      <c r="B2026" s="8">
        <v>9</v>
      </c>
      <c r="C2026" s="8">
        <v>3052</v>
      </c>
      <c r="D2026" s="16">
        <v>-8.1515149999999998E-3</v>
      </c>
      <c r="E2026" s="8">
        <v>-4.0757574999999999E-3</v>
      </c>
    </row>
    <row r="2027" spans="1:5" x14ac:dyDescent="0.3">
      <c r="A2027" s="8">
        <v>64</v>
      </c>
      <c r="B2027" s="8">
        <v>10</v>
      </c>
      <c r="C2027" s="8">
        <v>3045</v>
      </c>
      <c r="D2027" s="16">
        <v>-4.9970470000000003E-2</v>
      </c>
      <c r="E2027" s="8">
        <v>-2.4985235000000001E-2</v>
      </c>
    </row>
    <row r="2028" spans="1:5" x14ac:dyDescent="0.3">
      <c r="A2028" s="8">
        <v>64</v>
      </c>
      <c r="B2028" s="8">
        <v>11</v>
      </c>
      <c r="C2028" s="8">
        <v>3055</v>
      </c>
      <c r="D2028" s="16">
        <v>-6.9969699999999999E-3</v>
      </c>
      <c r="E2028" s="8">
        <v>-3.498485E-3</v>
      </c>
    </row>
    <row r="2029" spans="1:5" x14ac:dyDescent="0.3">
      <c r="A2029" s="8">
        <v>64</v>
      </c>
      <c r="B2029" s="8">
        <v>12</v>
      </c>
      <c r="C2029" s="8">
        <v>3066</v>
      </c>
      <c r="D2029" s="16">
        <v>-2.722991E-2</v>
      </c>
      <c r="E2029" s="8">
        <v>-1.3614955E-2</v>
      </c>
    </row>
    <row r="2030" spans="1:5" x14ac:dyDescent="0.3">
      <c r="A2030" s="8">
        <v>64</v>
      </c>
      <c r="B2030" s="8">
        <v>13</v>
      </c>
      <c r="C2030" s="8">
        <v>3042</v>
      </c>
      <c r="D2030" s="16">
        <v>1.5865520000000001E-2</v>
      </c>
      <c r="E2030" s="8">
        <v>7.9327600000000005E-3</v>
      </c>
    </row>
    <row r="2031" spans="1:5" x14ac:dyDescent="0.3">
      <c r="A2031" s="8">
        <v>64</v>
      </c>
      <c r="B2031" s="8">
        <v>14</v>
      </c>
      <c r="C2031" s="8">
        <v>3048</v>
      </c>
      <c r="D2031" s="16">
        <v>-1.152531E-2</v>
      </c>
      <c r="E2031" s="8">
        <v>-5.7626550000000002E-3</v>
      </c>
    </row>
    <row r="2032" spans="1:5" x14ac:dyDescent="0.3">
      <c r="A2032" s="8">
        <v>64</v>
      </c>
      <c r="B2032" s="8">
        <v>15</v>
      </c>
      <c r="C2032" s="8">
        <v>3058</v>
      </c>
      <c r="D2032" s="16">
        <v>4.4541409999999997E-2</v>
      </c>
      <c r="E2032" s="8">
        <v>2.2270704999999998E-2</v>
      </c>
    </row>
    <row r="2033" spans="1:5" x14ac:dyDescent="0.3">
      <c r="A2033" s="8">
        <v>64</v>
      </c>
      <c r="B2033" s="8">
        <v>16</v>
      </c>
      <c r="C2033" s="8">
        <v>3057</v>
      </c>
      <c r="D2033" s="16">
        <v>-4.4915620000000003E-2</v>
      </c>
      <c r="E2033" s="8">
        <v>-2.2457810000000002E-2</v>
      </c>
    </row>
    <row r="2034" spans="1:5" x14ac:dyDescent="0.3">
      <c r="A2034" s="8">
        <v>64</v>
      </c>
      <c r="B2034" s="8">
        <v>17</v>
      </c>
      <c r="C2034" s="8">
        <v>3053</v>
      </c>
      <c r="D2034" s="16">
        <v>-1.7659520000000001E-2</v>
      </c>
      <c r="E2034" s="8">
        <v>-8.8297600000000007E-3</v>
      </c>
    </row>
    <row r="2035" spans="1:5" x14ac:dyDescent="0.3">
      <c r="A2035" s="8">
        <v>64</v>
      </c>
      <c r="B2035" s="8">
        <v>18</v>
      </c>
      <c r="C2035" s="8">
        <v>3071</v>
      </c>
      <c r="D2035" s="16">
        <v>1.2891440000000001E-2</v>
      </c>
      <c r="E2035" s="8">
        <v>6.4457200000000003E-3</v>
      </c>
    </row>
    <row r="2036" spans="1:5" x14ac:dyDescent="0.3">
      <c r="A2036" s="8">
        <v>64</v>
      </c>
      <c r="B2036" s="8">
        <v>19</v>
      </c>
      <c r="C2036" s="8">
        <v>3057</v>
      </c>
      <c r="D2036" s="16">
        <v>-5.6340349999999999E-3</v>
      </c>
      <c r="E2036" s="8">
        <v>-2.8170175E-3</v>
      </c>
    </row>
    <row r="2037" spans="1:5" x14ac:dyDescent="0.3">
      <c r="A2037" s="8">
        <v>64</v>
      </c>
      <c r="B2037" s="8">
        <v>20</v>
      </c>
      <c r="C2037" s="8">
        <v>3058</v>
      </c>
      <c r="D2037" s="16">
        <v>-5.0829069999999997E-2</v>
      </c>
      <c r="E2037" s="8">
        <v>-2.5414534999999999E-2</v>
      </c>
    </row>
    <row r="2038" spans="1:5" x14ac:dyDescent="0.3">
      <c r="A2038" s="8">
        <v>64</v>
      </c>
      <c r="B2038" s="8">
        <v>21</v>
      </c>
      <c r="C2038" s="8">
        <v>3058</v>
      </c>
      <c r="D2038" s="16">
        <v>1.7809449999999999E-3</v>
      </c>
      <c r="E2038" s="8">
        <v>8.9047249999999996E-4</v>
      </c>
    </row>
    <row r="2039" spans="1:5" x14ac:dyDescent="0.3">
      <c r="A2039" s="8">
        <v>64</v>
      </c>
      <c r="B2039" s="8">
        <v>22</v>
      </c>
      <c r="C2039" s="8">
        <v>3045</v>
      </c>
      <c r="D2039" s="16">
        <v>-1.5756740000000002E-2</v>
      </c>
      <c r="E2039" s="8">
        <v>-7.8783700000000009E-3</v>
      </c>
    </row>
    <row r="2040" spans="1:5" x14ac:dyDescent="0.3">
      <c r="A2040" s="8">
        <v>64</v>
      </c>
      <c r="B2040" s="8">
        <v>23</v>
      </c>
      <c r="C2040" s="8">
        <v>3046</v>
      </c>
      <c r="D2040" s="16">
        <v>-5.4518730000000001E-2</v>
      </c>
      <c r="E2040" s="8">
        <v>-2.7259365000000001E-2</v>
      </c>
    </row>
    <row r="2041" spans="1:5" x14ac:dyDescent="0.3">
      <c r="A2041" s="8">
        <v>64</v>
      </c>
      <c r="B2041" s="8">
        <v>24</v>
      </c>
      <c r="C2041" s="8">
        <v>3070</v>
      </c>
      <c r="D2041" s="16">
        <v>-1.300629E-3</v>
      </c>
      <c r="E2041" s="8">
        <v>-6.5031449999999999E-4</v>
      </c>
    </row>
    <row r="2042" spans="1:5" x14ac:dyDescent="0.3">
      <c r="A2042" s="8">
        <v>64</v>
      </c>
      <c r="B2042" s="8">
        <v>25</v>
      </c>
      <c r="C2042" s="8">
        <v>3053</v>
      </c>
      <c r="D2042" s="16">
        <v>-7.5376840000000002E-3</v>
      </c>
      <c r="E2042" s="8">
        <v>-3.7688420000000001E-3</v>
      </c>
    </row>
    <row r="2043" spans="1:5" x14ac:dyDescent="0.3">
      <c r="A2043" s="8">
        <v>64</v>
      </c>
      <c r="B2043" s="8">
        <v>26</v>
      </c>
      <c r="C2043" s="8">
        <v>3065</v>
      </c>
      <c r="D2043" s="16">
        <v>3.4092950000000001E-3</v>
      </c>
      <c r="E2043" s="8">
        <v>1.7046475000000001E-3</v>
      </c>
    </row>
    <row r="2044" spans="1:5" x14ac:dyDescent="0.3">
      <c r="A2044" s="8">
        <v>64</v>
      </c>
      <c r="B2044" s="8">
        <v>27</v>
      </c>
      <c r="C2044" s="8">
        <v>3070</v>
      </c>
      <c r="D2044" s="16">
        <v>-1.9863970000000002E-2</v>
      </c>
      <c r="E2044" s="8">
        <v>-9.9319850000000008E-3</v>
      </c>
    </row>
    <row r="2045" spans="1:5" x14ac:dyDescent="0.3">
      <c r="A2045" s="8">
        <v>64</v>
      </c>
      <c r="B2045" s="8">
        <v>28</v>
      </c>
      <c r="C2045" s="8">
        <v>3043</v>
      </c>
      <c r="D2045" s="16">
        <v>-3.1643339999999999E-2</v>
      </c>
      <c r="E2045" s="8">
        <v>-1.5821669999999999E-2</v>
      </c>
    </row>
    <row r="2046" spans="1:5" x14ac:dyDescent="0.3">
      <c r="A2046" s="8">
        <v>64</v>
      </c>
      <c r="B2046" s="8">
        <v>29</v>
      </c>
      <c r="C2046" s="8">
        <v>3045</v>
      </c>
      <c r="D2046" s="16">
        <v>-4.935697E-2</v>
      </c>
      <c r="E2046" s="8">
        <v>-2.4678485E-2</v>
      </c>
    </row>
    <row r="2047" spans="1:5" x14ac:dyDescent="0.3">
      <c r="A2047" s="8">
        <v>64</v>
      </c>
      <c r="B2047" s="8">
        <v>30</v>
      </c>
      <c r="C2047" s="8">
        <v>3059</v>
      </c>
      <c r="D2047" s="16">
        <v>-6.6321640000000001E-2</v>
      </c>
      <c r="E2047" s="8">
        <v>-3.3160820000000001E-2</v>
      </c>
    </row>
    <row r="2048" spans="1:5" x14ac:dyDescent="0.3">
      <c r="A2048" s="8">
        <v>64</v>
      </c>
      <c r="B2048" s="8">
        <v>31</v>
      </c>
      <c r="C2048" s="8">
        <v>2978</v>
      </c>
      <c r="D2048" s="16">
        <v>-3.499818E-3</v>
      </c>
      <c r="E2048" s="8">
        <v>-1.749909E-3</v>
      </c>
    </row>
    <row r="2049" spans="1:5" x14ac:dyDescent="0.3">
      <c r="A2049" s="8">
        <v>64</v>
      </c>
      <c r="B2049" s="8">
        <v>32</v>
      </c>
      <c r="C2049" s="8">
        <v>3042</v>
      </c>
      <c r="D2049" s="16">
        <v>4.1022459999999997E-2</v>
      </c>
      <c r="E2049" s="8">
        <v>2.0511229999999998E-2</v>
      </c>
    </row>
    <row r="2050" spans="1:5" x14ac:dyDescent="0.3">
      <c r="A2050" s="8">
        <v>64</v>
      </c>
      <c r="B2050" s="8">
        <v>33</v>
      </c>
      <c r="C2050" s="8">
        <v>3070</v>
      </c>
      <c r="D2050" s="16">
        <v>-2.0998159999999998E-2</v>
      </c>
      <c r="E2050" s="8">
        <v>-1.0499079999999999E-2</v>
      </c>
    </row>
    <row r="2051" spans="1:5" x14ac:dyDescent="0.3">
      <c r="A2051" s="8">
        <v>64</v>
      </c>
      <c r="B2051" s="8">
        <v>34</v>
      </c>
      <c r="C2051" s="8">
        <v>3060</v>
      </c>
      <c r="D2051" s="16">
        <v>-2.6677989999999999E-2</v>
      </c>
      <c r="E2051" s="8">
        <v>-1.3338994999999999E-2</v>
      </c>
    </row>
    <row r="2052" spans="1:5" x14ac:dyDescent="0.3">
      <c r="A2052" s="8">
        <v>64</v>
      </c>
      <c r="B2052" s="8">
        <v>35</v>
      </c>
      <c r="C2052" s="8">
        <v>3056</v>
      </c>
      <c r="D2052" s="16">
        <v>-2.7992860000000001E-2</v>
      </c>
      <c r="E2052" s="8">
        <v>-1.3996430000000001E-2</v>
      </c>
    </row>
    <row r="2053" spans="1:5" x14ac:dyDescent="0.3">
      <c r="A2053" s="8">
        <v>64</v>
      </c>
      <c r="B2053" s="8">
        <v>36</v>
      </c>
      <c r="C2053" s="8">
        <v>3063</v>
      </c>
      <c r="D2053" s="16">
        <v>2.5816970000000002E-2</v>
      </c>
      <c r="E2053" s="8">
        <v>1.2908485000000001E-2</v>
      </c>
    </row>
    <row r="2054" spans="1:5" x14ac:dyDescent="0.3">
      <c r="A2054" s="8">
        <v>64</v>
      </c>
      <c r="B2054" s="8">
        <v>37</v>
      </c>
      <c r="C2054" s="8">
        <v>3031</v>
      </c>
      <c r="D2054" s="16">
        <v>-1.2366220000000001E-2</v>
      </c>
      <c r="E2054" s="8">
        <v>-6.1831100000000003E-3</v>
      </c>
    </row>
    <row r="2055" spans="1:5" x14ac:dyDescent="0.3">
      <c r="A2055" s="8">
        <v>64</v>
      </c>
      <c r="B2055" s="8">
        <v>38</v>
      </c>
      <c r="C2055" s="8">
        <v>3077</v>
      </c>
      <c r="D2055" s="16">
        <v>-1.996297E-2</v>
      </c>
      <c r="E2055" s="8">
        <v>-9.981485E-3</v>
      </c>
    </row>
    <row r="2056" spans="1:5" x14ac:dyDescent="0.3">
      <c r="A2056" s="8">
        <v>64</v>
      </c>
      <c r="B2056" s="8">
        <v>39</v>
      </c>
      <c r="C2056" s="8">
        <v>3064</v>
      </c>
      <c r="D2056" s="16">
        <v>2.408884E-2</v>
      </c>
      <c r="E2056" s="8">
        <v>1.204442E-2</v>
      </c>
    </row>
    <row r="2057" spans="1:5" x14ac:dyDescent="0.3">
      <c r="A2057" s="8">
        <v>64</v>
      </c>
      <c r="B2057" s="8">
        <v>40</v>
      </c>
      <c r="C2057" s="8">
        <v>3061</v>
      </c>
      <c r="D2057" s="16">
        <v>3.7131479999999999E-3</v>
      </c>
      <c r="E2057" s="8">
        <v>1.8565739999999999E-3</v>
      </c>
    </row>
    <row r="2058" spans="1:5" x14ac:dyDescent="0.3">
      <c r="A2058" s="8">
        <v>64</v>
      </c>
      <c r="B2058" s="8">
        <v>41</v>
      </c>
      <c r="C2058" s="8">
        <v>3029</v>
      </c>
      <c r="D2058" s="16">
        <v>-1.395573E-2</v>
      </c>
      <c r="E2058" s="8">
        <v>-6.9778649999999998E-3</v>
      </c>
    </row>
    <row r="2059" spans="1:5" x14ac:dyDescent="0.3">
      <c r="A2059" s="8">
        <v>64</v>
      </c>
      <c r="B2059" s="8">
        <v>42</v>
      </c>
      <c r="C2059" s="8">
        <v>3027</v>
      </c>
      <c r="D2059" s="16">
        <v>-1.0326E-2</v>
      </c>
      <c r="E2059" s="8">
        <v>-5.1630000000000001E-3</v>
      </c>
    </row>
    <row r="2060" spans="1:5" x14ac:dyDescent="0.3">
      <c r="A2060" s="8">
        <v>64</v>
      </c>
      <c r="B2060" s="8">
        <v>43</v>
      </c>
      <c r="C2060" s="8">
        <v>3042</v>
      </c>
      <c r="D2060" s="16">
        <v>-1.2662949999999999E-2</v>
      </c>
      <c r="E2060" s="8">
        <v>-6.3314749999999996E-3</v>
      </c>
    </row>
    <row r="2061" spans="1:5" x14ac:dyDescent="0.3">
      <c r="A2061" s="8">
        <v>64</v>
      </c>
      <c r="B2061" s="8">
        <v>44</v>
      </c>
      <c r="C2061" s="8">
        <v>3026</v>
      </c>
      <c r="D2061" s="16">
        <v>-7.4970540000000004E-3</v>
      </c>
      <c r="E2061" s="8">
        <v>-3.7485270000000002E-3</v>
      </c>
    </row>
    <row r="2062" spans="1:5" x14ac:dyDescent="0.3">
      <c r="A2062" s="8">
        <v>64</v>
      </c>
      <c r="B2062" s="8">
        <v>45</v>
      </c>
      <c r="C2062" s="8">
        <v>3059</v>
      </c>
      <c r="D2062" s="16">
        <v>3.4933159999999998E-2</v>
      </c>
      <c r="E2062" s="8">
        <v>1.7466579999999999E-2</v>
      </c>
    </row>
    <row r="2063" spans="1:5" x14ac:dyDescent="0.3">
      <c r="A2063" s="8">
        <v>64</v>
      </c>
      <c r="B2063" s="8">
        <v>46</v>
      </c>
      <c r="C2063" s="8">
        <v>3042</v>
      </c>
      <c r="D2063" s="16">
        <v>2.2361599999999999E-2</v>
      </c>
      <c r="E2063" s="8">
        <v>1.1180799999999999E-2</v>
      </c>
    </row>
    <row r="2064" spans="1:5" x14ac:dyDescent="0.3">
      <c r="A2064" s="8">
        <v>64</v>
      </c>
      <c r="B2064" s="8">
        <v>47</v>
      </c>
      <c r="C2064" s="8">
        <v>3032</v>
      </c>
      <c r="D2064" s="16">
        <v>4.8395759999999999E-5</v>
      </c>
      <c r="E2064" s="8">
        <v>2.4197879999999999E-5</v>
      </c>
    </row>
    <row r="2065" spans="1:5" x14ac:dyDescent="0.3">
      <c r="A2065" s="8">
        <v>64</v>
      </c>
      <c r="B2065" s="8">
        <v>48</v>
      </c>
      <c r="C2065" s="8">
        <v>3051</v>
      </c>
      <c r="D2065" s="16">
        <v>-7.3338320000000002E-3</v>
      </c>
      <c r="E2065" s="8">
        <v>-3.6669160000000001E-3</v>
      </c>
    </row>
    <row r="2066" spans="1:5" x14ac:dyDescent="0.3">
      <c r="A2066" s="8">
        <v>64</v>
      </c>
      <c r="B2066" s="8">
        <v>49</v>
      </c>
      <c r="C2066" s="8">
        <v>3026</v>
      </c>
      <c r="D2066" s="16">
        <v>-7.1610490000000001E-3</v>
      </c>
      <c r="E2066" s="8">
        <v>-3.5805245E-3</v>
      </c>
    </row>
    <row r="2067" spans="1:5" x14ac:dyDescent="0.3">
      <c r="A2067" s="8">
        <v>64</v>
      </c>
      <c r="B2067" s="8">
        <v>50</v>
      </c>
      <c r="C2067" s="8">
        <v>3069</v>
      </c>
      <c r="D2067" s="16">
        <v>2.8351939999999999E-2</v>
      </c>
      <c r="E2067" s="8">
        <v>1.417597E-2</v>
      </c>
    </row>
    <row r="2068" spans="1:5" x14ac:dyDescent="0.3">
      <c r="A2068" s="8">
        <v>64</v>
      </c>
      <c r="B2068" s="8">
        <v>51</v>
      </c>
      <c r="C2068" s="8">
        <v>3054</v>
      </c>
      <c r="D2068" s="16">
        <v>-4.1139589999999997E-2</v>
      </c>
      <c r="E2068" s="8">
        <v>-2.0569794999999998E-2</v>
      </c>
    </row>
    <row r="2069" spans="1:5" x14ac:dyDescent="0.3">
      <c r="A2069" s="8">
        <v>64</v>
      </c>
      <c r="B2069" s="8">
        <v>52</v>
      </c>
      <c r="C2069" s="8">
        <v>3053</v>
      </c>
      <c r="D2069" s="16">
        <v>2.0923389999999999E-3</v>
      </c>
      <c r="E2069" s="8">
        <v>1.0461695E-3</v>
      </c>
    </row>
    <row r="2070" spans="1:5" x14ac:dyDescent="0.3">
      <c r="A2070" s="8">
        <v>64</v>
      </c>
      <c r="B2070" s="8">
        <v>53</v>
      </c>
      <c r="C2070" s="8">
        <v>3050</v>
      </c>
      <c r="D2070" s="16">
        <v>1.285617E-2</v>
      </c>
      <c r="E2070" s="8">
        <v>6.428085E-3</v>
      </c>
    </row>
    <row r="2071" spans="1:5" x14ac:dyDescent="0.3">
      <c r="A2071" s="8">
        <v>64</v>
      </c>
      <c r="B2071" s="8">
        <v>54</v>
      </c>
      <c r="C2071" s="8">
        <v>3040</v>
      </c>
      <c r="D2071" s="16">
        <v>-3.7048480000000002E-2</v>
      </c>
      <c r="E2071" s="8">
        <v>-1.8524240000000001E-2</v>
      </c>
    </row>
    <row r="2072" spans="1:5" x14ac:dyDescent="0.3">
      <c r="A2072" s="8">
        <v>64</v>
      </c>
      <c r="B2072" s="8">
        <v>55</v>
      </c>
      <c r="C2072" s="8">
        <v>3058</v>
      </c>
      <c r="D2072" s="16">
        <v>-3.0003999999999999E-2</v>
      </c>
      <c r="E2072" s="8">
        <v>-1.5002E-2</v>
      </c>
    </row>
    <row r="2073" spans="1:5" x14ac:dyDescent="0.3">
      <c r="A2073" s="8">
        <v>64</v>
      </c>
      <c r="B2073" s="8">
        <v>56</v>
      </c>
      <c r="C2073" s="8">
        <v>3067</v>
      </c>
      <c r="D2073" s="16">
        <v>3.212976E-2</v>
      </c>
      <c r="E2073" s="8">
        <v>1.606488E-2</v>
      </c>
    </row>
    <row r="2074" spans="1:5" x14ac:dyDescent="0.3">
      <c r="A2074" s="8">
        <v>64</v>
      </c>
      <c r="B2074" s="8">
        <v>57</v>
      </c>
      <c r="C2074" s="8">
        <v>3078</v>
      </c>
      <c r="D2074" s="16">
        <v>-2.893681E-2</v>
      </c>
      <c r="E2074" s="8">
        <v>-1.4468405E-2</v>
      </c>
    </row>
    <row r="2075" spans="1:5" x14ac:dyDescent="0.3">
      <c r="A2075" s="8">
        <v>64</v>
      </c>
      <c r="B2075" s="8">
        <v>58</v>
      </c>
      <c r="C2075" s="8">
        <v>3055</v>
      </c>
      <c r="D2075" s="16">
        <v>8.8669669999999999E-3</v>
      </c>
      <c r="E2075" s="8">
        <v>4.4334835E-3</v>
      </c>
    </row>
    <row r="2076" spans="1:5" x14ac:dyDescent="0.3">
      <c r="A2076" s="8">
        <v>64</v>
      </c>
      <c r="B2076" s="8">
        <v>59</v>
      </c>
      <c r="C2076" s="8">
        <v>3061</v>
      </c>
      <c r="D2076" s="16">
        <v>-4.6416739999999998E-2</v>
      </c>
      <c r="E2076" s="8">
        <v>-2.3208369999999999E-2</v>
      </c>
    </row>
    <row r="2077" spans="1:5" x14ac:dyDescent="0.3">
      <c r="A2077" s="8">
        <v>64</v>
      </c>
      <c r="B2077" s="8">
        <v>60</v>
      </c>
      <c r="C2077" s="8">
        <v>3057</v>
      </c>
      <c r="D2077" s="16">
        <v>8.4542340000000001E-4</v>
      </c>
      <c r="E2077" s="8">
        <v>4.2271170000000001E-4</v>
      </c>
    </row>
    <row r="2078" spans="1:5" x14ac:dyDescent="0.3">
      <c r="A2078" s="8">
        <v>64</v>
      </c>
      <c r="B2078" s="8">
        <v>61</v>
      </c>
      <c r="C2078" s="8">
        <v>3054</v>
      </c>
      <c r="D2078" s="16">
        <v>-2.0255490000000001E-2</v>
      </c>
      <c r="E2078" s="8">
        <v>-1.0127745E-2</v>
      </c>
    </row>
    <row r="2079" spans="1:5" x14ac:dyDescent="0.3">
      <c r="A2079" s="8">
        <v>64</v>
      </c>
      <c r="B2079" s="8">
        <v>62</v>
      </c>
      <c r="C2079" s="8">
        <v>3057</v>
      </c>
      <c r="D2079" s="16">
        <v>-9.2864499999999999E-3</v>
      </c>
      <c r="E2079" s="8">
        <v>-4.643225E-3</v>
      </c>
    </row>
    <row r="2080" spans="1:5" x14ac:dyDescent="0.3">
      <c r="A2080" s="8">
        <v>64</v>
      </c>
      <c r="B2080" s="8">
        <v>63</v>
      </c>
      <c r="C2080" s="8">
        <v>3060</v>
      </c>
      <c r="D2080" s="16">
        <v>-2.8874460000000001E-2</v>
      </c>
      <c r="E2080" s="8">
        <v>-1.4437230000000001E-2</v>
      </c>
    </row>
    <row r="2081" spans="1:5" x14ac:dyDescent="0.3">
      <c r="A2081" s="8">
        <v>64</v>
      </c>
      <c r="B2081" s="8">
        <v>64</v>
      </c>
      <c r="C2081" s="8">
        <v>3154</v>
      </c>
      <c r="D2081" s="16">
        <v>1.108854</v>
      </c>
      <c r="E2081" s="8"/>
    </row>
    <row r="2082" spans="1:5" x14ac:dyDescent="0.3">
      <c r="A2082" s="8">
        <v>65</v>
      </c>
      <c r="B2082" s="8">
        <v>1</v>
      </c>
      <c r="C2082" s="8">
        <v>3073</v>
      </c>
      <c r="D2082" s="16">
        <v>4.3256049999999997E-3</v>
      </c>
      <c r="E2082" s="8">
        <v>2.1628024999999999E-3</v>
      </c>
    </row>
    <row r="2083" spans="1:5" x14ac:dyDescent="0.3">
      <c r="A2083" s="8">
        <v>65</v>
      </c>
      <c r="B2083" s="8">
        <v>2</v>
      </c>
      <c r="C2083" s="8">
        <v>3040</v>
      </c>
      <c r="D2083" s="16">
        <v>3.873853E-2</v>
      </c>
      <c r="E2083" s="8">
        <v>1.9369265E-2</v>
      </c>
    </row>
    <row r="2084" spans="1:5" x14ac:dyDescent="0.3">
      <c r="A2084" s="8">
        <v>65</v>
      </c>
      <c r="B2084" s="8">
        <v>3</v>
      </c>
      <c r="C2084" s="8">
        <v>3068</v>
      </c>
      <c r="D2084" s="16">
        <v>-3.1787599999999999E-2</v>
      </c>
      <c r="E2084" s="8">
        <v>-1.58938E-2</v>
      </c>
    </row>
    <row r="2085" spans="1:5" x14ac:dyDescent="0.3">
      <c r="A2085" s="8">
        <v>65</v>
      </c>
      <c r="B2085" s="8">
        <v>4</v>
      </c>
      <c r="C2085" s="8">
        <v>3045</v>
      </c>
      <c r="D2085" s="16">
        <v>-3.6623790000000003E-2</v>
      </c>
      <c r="E2085" s="8">
        <v>-1.8311895000000002E-2</v>
      </c>
    </row>
    <row r="2086" spans="1:5" x14ac:dyDescent="0.3">
      <c r="A2086" s="8">
        <v>65</v>
      </c>
      <c r="B2086" s="8">
        <v>5</v>
      </c>
      <c r="C2086" s="8">
        <v>3031</v>
      </c>
      <c r="D2086" s="16">
        <v>-5.2119230000000003E-2</v>
      </c>
      <c r="E2086" s="8">
        <v>-2.6059615000000001E-2</v>
      </c>
    </row>
    <row r="2087" spans="1:5" x14ac:dyDescent="0.3">
      <c r="A2087" s="8">
        <v>65</v>
      </c>
      <c r="B2087" s="8">
        <v>6</v>
      </c>
      <c r="C2087" s="8">
        <v>3047</v>
      </c>
      <c r="D2087" s="16">
        <v>-4.4346089999999998E-2</v>
      </c>
      <c r="E2087" s="8">
        <v>-2.2173044999999999E-2</v>
      </c>
    </row>
    <row r="2088" spans="1:5" x14ac:dyDescent="0.3">
      <c r="A2088" s="8">
        <v>65</v>
      </c>
      <c r="B2088" s="8">
        <v>7</v>
      </c>
      <c r="C2088" s="8">
        <v>3046</v>
      </c>
      <c r="D2088" s="16">
        <v>-7.7371580000000001E-3</v>
      </c>
      <c r="E2088" s="8">
        <v>-3.868579E-3</v>
      </c>
    </row>
    <row r="2089" spans="1:5" x14ac:dyDescent="0.3">
      <c r="A2089" s="8">
        <v>65</v>
      </c>
      <c r="B2089" s="8">
        <v>8</v>
      </c>
      <c r="C2089" s="8">
        <v>3061</v>
      </c>
      <c r="D2089" s="16">
        <v>-7.0695539999999996E-3</v>
      </c>
      <c r="E2089" s="8">
        <v>-3.5347769999999998E-3</v>
      </c>
    </row>
    <row r="2090" spans="1:5" x14ac:dyDescent="0.3">
      <c r="A2090" s="8">
        <v>65</v>
      </c>
      <c r="B2090" s="8">
        <v>9</v>
      </c>
      <c r="C2090" s="8">
        <v>3053</v>
      </c>
      <c r="D2090" s="16">
        <v>-7.6839840000000006E-2</v>
      </c>
      <c r="E2090" s="8">
        <v>-3.8419920000000003E-2</v>
      </c>
    </row>
    <row r="2091" spans="1:5" x14ac:dyDescent="0.3">
      <c r="A2091" s="8">
        <v>65</v>
      </c>
      <c r="B2091" s="8">
        <v>10</v>
      </c>
      <c r="C2091" s="8">
        <v>3041</v>
      </c>
      <c r="D2091" s="16">
        <v>-3.9067440000000002E-2</v>
      </c>
      <c r="E2091" s="8">
        <v>-1.9533720000000001E-2</v>
      </c>
    </row>
    <row r="2092" spans="1:5" x14ac:dyDescent="0.3">
      <c r="A2092" s="8">
        <v>65</v>
      </c>
      <c r="B2092" s="8">
        <v>11</v>
      </c>
      <c r="C2092" s="8">
        <v>3045</v>
      </c>
      <c r="D2092" s="16">
        <v>-4.50319E-2</v>
      </c>
      <c r="E2092" s="8">
        <v>-2.251595E-2</v>
      </c>
    </row>
    <row r="2093" spans="1:5" x14ac:dyDescent="0.3">
      <c r="A2093" s="8">
        <v>65</v>
      </c>
      <c r="B2093" s="8">
        <v>12</v>
      </c>
      <c r="C2093" s="8">
        <v>3064</v>
      </c>
      <c r="D2093" s="16">
        <v>-4.3158950000000001E-2</v>
      </c>
      <c r="E2093" s="8">
        <v>-2.1579475000000001E-2</v>
      </c>
    </row>
    <row r="2094" spans="1:5" x14ac:dyDescent="0.3">
      <c r="A2094" s="8">
        <v>65</v>
      </c>
      <c r="B2094" s="8">
        <v>13</v>
      </c>
      <c r="C2094" s="8">
        <v>3049</v>
      </c>
      <c r="D2094" s="16">
        <v>-3.2575109999999997E-2</v>
      </c>
      <c r="E2094" s="8">
        <v>-1.6287554999999999E-2</v>
      </c>
    </row>
    <row r="2095" spans="1:5" x14ac:dyDescent="0.3">
      <c r="A2095" s="8">
        <v>65</v>
      </c>
      <c r="B2095" s="8">
        <v>14</v>
      </c>
      <c r="C2095" s="8">
        <v>3044</v>
      </c>
      <c r="D2095" s="16">
        <v>2.4906999999999999E-2</v>
      </c>
      <c r="E2095" s="8">
        <v>1.2453499999999999E-2</v>
      </c>
    </row>
    <row r="2096" spans="1:5" x14ac:dyDescent="0.3">
      <c r="A2096" s="8">
        <v>65</v>
      </c>
      <c r="B2096" s="8">
        <v>15</v>
      </c>
      <c r="C2096" s="8">
        <v>3052</v>
      </c>
      <c r="D2096" s="16">
        <v>1.0155819999999999E-2</v>
      </c>
      <c r="E2096" s="8">
        <v>5.0779099999999997E-3</v>
      </c>
    </row>
    <row r="2097" spans="1:5" x14ac:dyDescent="0.3">
      <c r="A2097" s="8">
        <v>65</v>
      </c>
      <c r="B2097" s="8">
        <v>16</v>
      </c>
      <c r="C2097" s="8">
        <v>3053</v>
      </c>
      <c r="D2097" s="16">
        <v>1.7592070000000001E-2</v>
      </c>
      <c r="E2097" s="8">
        <v>8.7960350000000007E-3</v>
      </c>
    </row>
    <row r="2098" spans="1:5" x14ac:dyDescent="0.3">
      <c r="A2098" s="8">
        <v>65</v>
      </c>
      <c r="B2098" s="8">
        <v>17</v>
      </c>
      <c r="C2098" s="8">
        <v>3056</v>
      </c>
      <c r="D2098" s="16">
        <v>4.9892449999999998E-3</v>
      </c>
      <c r="E2098" s="8">
        <v>2.4946224999999999E-3</v>
      </c>
    </row>
    <row r="2099" spans="1:5" x14ac:dyDescent="0.3">
      <c r="A2099" s="8">
        <v>65</v>
      </c>
      <c r="B2099" s="8">
        <v>18</v>
      </c>
      <c r="C2099" s="8">
        <v>3075</v>
      </c>
      <c r="D2099" s="16">
        <v>-3.8213490000000003E-2</v>
      </c>
      <c r="E2099" s="8">
        <v>-1.9106745000000001E-2</v>
      </c>
    </row>
    <row r="2100" spans="1:5" x14ac:dyDescent="0.3">
      <c r="A2100" s="8">
        <v>65</v>
      </c>
      <c r="B2100" s="8">
        <v>19</v>
      </c>
      <c r="C2100" s="8">
        <v>3054</v>
      </c>
      <c r="D2100" s="16">
        <v>1.7776420000000001E-3</v>
      </c>
      <c r="E2100" s="8">
        <v>8.8882100000000003E-4</v>
      </c>
    </row>
    <row r="2101" spans="1:5" x14ac:dyDescent="0.3">
      <c r="A2101" s="8">
        <v>65</v>
      </c>
      <c r="B2101" s="8">
        <v>20</v>
      </c>
      <c r="C2101" s="8">
        <v>3059</v>
      </c>
      <c r="D2101" s="16">
        <v>-4.0248930000000002E-2</v>
      </c>
      <c r="E2101" s="8">
        <v>-2.0124465000000001E-2</v>
      </c>
    </row>
    <row r="2102" spans="1:5" x14ac:dyDescent="0.3">
      <c r="A2102" s="8">
        <v>65</v>
      </c>
      <c r="B2102" s="8">
        <v>21</v>
      </c>
      <c r="C2102" s="8">
        <v>3058</v>
      </c>
      <c r="D2102" s="16">
        <v>-1.426581E-2</v>
      </c>
      <c r="E2102" s="8">
        <v>-7.1329050000000001E-3</v>
      </c>
    </row>
    <row r="2103" spans="1:5" x14ac:dyDescent="0.3">
      <c r="A2103" s="8">
        <v>65</v>
      </c>
      <c r="B2103" s="8">
        <v>22</v>
      </c>
      <c r="C2103" s="8">
        <v>3046</v>
      </c>
      <c r="D2103" s="16">
        <v>8.5873110000000002E-3</v>
      </c>
      <c r="E2103" s="8">
        <v>4.2936555000000001E-3</v>
      </c>
    </row>
    <row r="2104" spans="1:5" x14ac:dyDescent="0.3">
      <c r="A2104" s="8">
        <v>65</v>
      </c>
      <c r="B2104" s="8">
        <v>23</v>
      </c>
      <c r="C2104" s="8">
        <v>3047</v>
      </c>
      <c r="D2104" s="16">
        <v>-8.0913170000000006E-3</v>
      </c>
      <c r="E2104" s="8">
        <v>-4.0456585000000003E-3</v>
      </c>
    </row>
    <row r="2105" spans="1:5" x14ac:dyDescent="0.3">
      <c r="A2105" s="8">
        <v>65</v>
      </c>
      <c r="B2105" s="8">
        <v>24</v>
      </c>
      <c r="C2105" s="8">
        <v>3066</v>
      </c>
      <c r="D2105" s="16">
        <v>1.9957119999999998E-2</v>
      </c>
      <c r="E2105" s="8">
        <v>9.9785599999999992E-3</v>
      </c>
    </row>
    <row r="2106" spans="1:5" x14ac:dyDescent="0.3">
      <c r="A2106" s="8">
        <v>65</v>
      </c>
      <c r="B2106" s="8">
        <v>25</v>
      </c>
      <c r="C2106" s="8">
        <v>3050</v>
      </c>
      <c r="D2106" s="16">
        <v>-7.1880269999999996E-2</v>
      </c>
      <c r="E2106" s="8">
        <v>-3.5940134999999998E-2</v>
      </c>
    </row>
    <row r="2107" spans="1:5" x14ac:dyDescent="0.3">
      <c r="A2107" s="8">
        <v>65</v>
      </c>
      <c r="B2107" s="8">
        <v>26</v>
      </c>
      <c r="C2107" s="8">
        <v>3060</v>
      </c>
      <c r="D2107" s="16">
        <v>-6.9470939999999995E-2</v>
      </c>
      <c r="E2107" s="8">
        <v>-3.4735469999999997E-2</v>
      </c>
    </row>
    <row r="2108" spans="1:5" x14ac:dyDescent="0.3">
      <c r="A2108" s="8">
        <v>65</v>
      </c>
      <c r="B2108" s="8">
        <v>27</v>
      </c>
      <c r="C2108" s="8">
        <v>3069</v>
      </c>
      <c r="D2108" s="16">
        <v>6.4599640000000003E-3</v>
      </c>
      <c r="E2108" s="8">
        <v>3.2299820000000002E-3</v>
      </c>
    </row>
    <row r="2109" spans="1:5" x14ac:dyDescent="0.3">
      <c r="A2109" s="8">
        <v>65</v>
      </c>
      <c r="B2109" s="8">
        <v>28</v>
      </c>
      <c r="C2109" s="8">
        <v>3040</v>
      </c>
      <c r="D2109" s="16">
        <v>-2.397084E-2</v>
      </c>
      <c r="E2109" s="8">
        <v>-1.198542E-2</v>
      </c>
    </row>
    <row r="2110" spans="1:5" x14ac:dyDescent="0.3">
      <c r="A2110" s="8">
        <v>65</v>
      </c>
      <c r="B2110" s="8">
        <v>29</v>
      </c>
      <c r="C2110" s="8">
        <v>3044</v>
      </c>
      <c r="D2110" s="16">
        <v>-8.6637109999999993E-3</v>
      </c>
      <c r="E2110" s="8">
        <v>-4.3318554999999996E-3</v>
      </c>
    </row>
    <row r="2111" spans="1:5" x14ac:dyDescent="0.3">
      <c r="A2111" s="8">
        <v>65</v>
      </c>
      <c r="B2111" s="8">
        <v>30</v>
      </c>
      <c r="C2111" s="8">
        <v>3050</v>
      </c>
      <c r="D2111" s="16">
        <v>3.9373170000000001E-3</v>
      </c>
      <c r="E2111" s="8">
        <v>1.9686585E-3</v>
      </c>
    </row>
    <row r="2112" spans="1:5" x14ac:dyDescent="0.3">
      <c r="A2112" s="8">
        <v>65</v>
      </c>
      <c r="B2112" s="8">
        <v>31</v>
      </c>
      <c r="C2112" s="8">
        <v>2977</v>
      </c>
      <c r="D2112" s="16">
        <v>-6.7978330000000003E-2</v>
      </c>
      <c r="E2112" s="8">
        <v>-3.3989165000000002E-2</v>
      </c>
    </row>
    <row r="2113" spans="1:5" x14ac:dyDescent="0.3">
      <c r="A2113" s="8">
        <v>65</v>
      </c>
      <c r="B2113" s="8">
        <v>32</v>
      </c>
      <c r="C2113" s="8">
        <v>3039</v>
      </c>
      <c r="D2113" s="16">
        <v>-4.0785830000000002E-2</v>
      </c>
      <c r="E2113" s="8">
        <v>-2.0392915000000001E-2</v>
      </c>
    </row>
    <row r="2114" spans="1:5" x14ac:dyDescent="0.3">
      <c r="A2114" s="8">
        <v>65</v>
      </c>
      <c r="B2114" s="8">
        <v>33</v>
      </c>
      <c r="C2114" s="8">
        <v>3070</v>
      </c>
      <c r="D2114" s="16">
        <v>1.801579E-2</v>
      </c>
      <c r="E2114" s="8">
        <v>9.0078950000000001E-3</v>
      </c>
    </row>
    <row r="2115" spans="1:5" x14ac:dyDescent="0.3">
      <c r="A2115" s="8">
        <v>65</v>
      </c>
      <c r="B2115" s="8">
        <v>34</v>
      </c>
      <c r="C2115" s="8">
        <v>3061</v>
      </c>
      <c r="D2115" s="16">
        <v>3.6876360000000002E-3</v>
      </c>
      <c r="E2115" s="8">
        <v>1.8438180000000001E-3</v>
      </c>
    </row>
    <row r="2116" spans="1:5" x14ac:dyDescent="0.3">
      <c r="A2116" s="8">
        <v>65</v>
      </c>
      <c r="B2116" s="8">
        <v>35</v>
      </c>
      <c r="C2116" s="8">
        <v>3055</v>
      </c>
      <c r="D2116" s="16">
        <v>-3.3539369999999999E-2</v>
      </c>
      <c r="E2116" s="8">
        <v>-1.6769684999999999E-2</v>
      </c>
    </row>
    <row r="2117" spans="1:5" x14ac:dyDescent="0.3">
      <c r="A2117" s="8">
        <v>65</v>
      </c>
      <c r="B2117" s="8">
        <v>36</v>
      </c>
      <c r="C2117" s="8">
        <v>3058</v>
      </c>
      <c r="D2117" s="16">
        <v>-3.4612490000000003E-2</v>
      </c>
      <c r="E2117" s="8">
        <v>-1.7306245000000001E-2</v>
      </c>
    </row>
    <row r="2118" spans="1:5" x14ac:dyDescent="0.3">
      <c r="A2118" s="8">
        <v>65</v>
      </c>
      <c r="B2118" s="8">
        <v>37</v>
      </c>
      <c r="C2118" s="8">
        <v>3026</v>
      </c>
      <c r="D2118" s="16">
        <v>-4.3945199999999997E-2</v>
      </c>
      <c r="E2118" s="8">
        <v>-2.1972599999999998E-2</v>
      </c>
    </row>
    <row r="2119" spans="1:5" x14ac:dyDescent="0.3">
      <c r="A2119" s="8">
        <v>65</v>
      </c>
      <c r="B2119" s="8">
        <v>38</v>
      </c>
      <c r="C2119" s="8">
        <v>3074</v>
      </c>
      <c r="D2119" s="16">
        <v>1.742397E-2</v>
      </c>
      <c r="E2119" s="8">
        <v>8.7119850000000002E-3</v>
      </c>
    </row>
    <row r="2120" spans="1:5" x14ac:dyDescent="0.3">
      <c r="A2120" s="8">
        <v>65</v>
      </c>
      <c r="B2120" s="8">
        <v>39</v>
      </c>
      <c r="C2120" s="8">
        <v>3063</v>
      </c>
      <c r="D2120" s="16">
        <v>-3.7021140000000001E-2</v>
      </c>
      <c r="E2120" s="8">
        <v>-1.851057E-2</v>
      </c>
    </row>
    <row r="2121" spans="1:5" x14ac:dyDescent="0.3">
      <c r="A2121" s="8">
        <v>65</v>
      </c>
      <c r="B2121" s="8">
        <v>40</v>
      </c>
      <c r="C2121" s="8">
        <v>3058</v>
      </c>
      <c r="D2121" s="16">
        <v>-3.094715E-2</v>
      </c>
      <c r="E2121" s="8">
        <v>-1.5473575E-2</v>
      </c>
    </row>
    <row r="2122" spans="1:5" x14ac:dyDescent="0.3">
      <c r="A2122" s="8">
        <v>65</v>
      </c>
      <c r="B2122" s="8">
        <v>41</v>
      </c>
      <c r="C2122" s="8">
        <v>3030</v>
      </c>
      <c r="D2122" s="16">
        <v>-8.7620159999999992E-3</v>
      </c>
      <c r="E2122" s="8">
        <v>-4.3810079999999996E-3</v>
      </c>
    </row>
    <row r="2123" spans="1:5" x14ac:dyDescent="0.3">
      <c r="A2123" s="8">
        <v>65</v>
      </c>
      <c r="B2123" s="8">
        <v>42</v>
      </c>
      <c r="C2123" s="8">
        <v>3026</v>
      </c>
      <c r="D2123" s="16">
        <v>8.5516800000000007E-3</v>
      </c>
      <c r="E2123" s="8">
        <v>4.2758400000000004E-3</v>
      </c>
    </row>
    <row r="2124" spans="1:5" x14ac:dyDescent="0.3">
      <c r="A2124" s="8">
        <v>65</v>
      </c>
      <c r="B2124" s="8">
        <v>43</v>
      </c>
      <c r="C2124" s="8">
        <v>3047</v>
      </c>
      <c r="D2124" s="16">
        <v>-2.0252510000000001E-2</v>
      </c>
      <c r="E2124" s="8">
        <v>-1.0126255000000001E-2</v>
      </c>
    </row>
    <row r="2125" spans="1:5" x14ac:dyDescent="0.3">
      <c r="A2125" s="8">
        <v>65</v>
      </c>
      <c r="B2125" s="8">
        <v>44</v>
      </c>
      <c r="C2125" s="8">
        <v>3025</v>
      </c>
      <c r="D2125" s="16">
        <v>1.694557E-2</v>
      </c>
      <c r="E2125" s="8">
        <v>8.472785E-3</v>
      </c>
    </row>
    <row r="2126" spans="1:5" x14ac:dyDescent="0.3">
      <c r="A2126" s="8">
        <v>65</v>
      </c>
      <c r="B2126" s="8">
        <v>45</v>
      </c>
      <c r="C2126" s="8">
        <v>3054</v>
      </c>
      <c r="D2126" s="16">
        <v>-3.5966610000000003E-2</v>
      </c>
      <c r="E2126" s="8">
        <v>-1.7983305000000002E-2</v>
      </c>
    </row>
    <row r="2127" spans="1:5" x14ac:dyDescent="0.3">
      <c r="A2127" s="8">
        <v>65</v>
      </c>
      <c r="B2127" s="8">
        <v>46</v>
      </c>
      <c r="C2127" s="8">
        <v>3045</v>
      </c>
      <c r="D2127" s="16">
        <v>-5.5842549999999998E-2</v>
      </c>
      <c r="E2127" s="8">
        <v>-2.7921274999999999E-2</v>
      </c>
    </row>
    <row r="2128" spans="1:5" x14ac:dyDescent="0.3">
      <c r="A2128" s="8">
        <v>65</v>
      </c>
      <c r="B2128" s="8">
        <v>47</v>
      </c>
      <c r="C2128" s="8">
        <v>3030</v>
      </c>
      <c r="D2128" s="16">
        <v>-1.358695E-2</v>
      </c>
      <c r="E2128" s="8">
        <v>-6.7934750000000002E-3</v>
      </c>
    </row>
    <row r="2129" spans="1:5" x14ac:dyDescent="0.3">
      <c r="A2129" s="8">
        <v>65</v>
      </c>
      <c r="B2129" s="8">
        <v>48</v>
      </c>
      <c r="C2129" s="8">
        <v>3054</v>
      </c>
      <c r="D2129" s="16">
        <v>3.9539600000000001E-2</v>
      </c>
      <c r="E2129" s="8">
        <v>1.9769800000000001E-2</v>
      </c>
    </row>
    <row r="2130" spans="1:5" x14ac:dyDescent="0.3">
      <c r="A2130" s="8">
        <v>65</v>
      </c>
      <c r="B2130" s="8">
        <v>49</v>
      </c>
      <c r="C2130" s="8">
        <v>3026</v>
      </c>
      <c r="D2130" s="16">
        <v>9.0955559999999994E-3</v>
      </c>
      <c r="E2130" s="8">
        <v>4.5477779999999997E-3</v>
      </c>
    </row>
    <row r="2131" spans="1:5" x14ac:dyDescent="0.3">
      <c r="A2131" s="8">
        <v>65</v>
      </c>
      <c r="B2131" s="8">
        <v>50</v>
      </c>
      <c r="C2131" s="8">
        <v>3065</v>
      </c>
      <c r="D2131" s="16">
        <v>-4.74686E-2</v>
      </c>
      <c r="E2131" s="8">
        <v>-2.37343E-2</v>
      </c>
    </row>
    <row r="2132" spans="1:5" x14ac:dyDescent="0.3">
      <c r="A2132" s="8">
        <v>65</v>
      </c>
      <c r="B2132" s="8">
        <v>51</v>
      </c>
      <c r="C2132" s="8">
        <v>3047</v>
      </c>
      <c r="D2132" s="16">
        <v>1.199982E-2</v>
      </c>
      <c r="E2132" s="8">
        <v>5.9999099999999998E-3</v>
      </c>
    </row>
    <row r="2133" spans="1:5" x14ac:dyDescent="0.3">
      <c r="A2133" s="8">
        <v>65</v>
      </c>
      <c r="B2133" s="8">
        <v>52</v>
      </c>
      <c r="C2133" s="8">
        <v>3051</v>
      </c>
      <c r="D2133" s="16">
        <v>-1.21078E-2</v>
      </c>
      <c r="E2133" s="8">
        <v>-6.0539000000000001E-3</v>
      </c>
    </row>
    <row r="2134" spans="1:5" x14ac:dyDescent="0.3">
      <c r="A2134" s="8">
        <v>65</v>
      </c>
      <c r="B2134" s="8">
        <v>53</v>
      </c>
      <c r="C2134" s="8">
        <v>3047</v>
      </c>
      <c r="D2134" s="16">
        <v>-1.572428E-2</v>
      </c>
      <c r="E2134" s="8">
        <v>-7.8621400000000001E-3</v>
      </c>
    </row>
    <row r="2135" spans="1:5" x14ac:dyDescent="0.3">
      <c r="A2135" s="8">
        <v>65</v>
      </c>
      <c r="B2135" s="8">
        <v>54</v>
      </c>
      <c r="C2135" s="8">
        <v>3039</v>
      </c>
      <c r="D2135" s="16">
        <v>4.2725079999999999E-2</v>
      </c>
      <c r="E2135" s="8">
        <v>2.1362539999999999E-2</v>
      </c>
    </row>
    <row r="2136" spans="1:5" x14ac:dyDescent="0.3">
      <c r="A2136" s="8">
        <v>65</v>
      </c>
      <c r="B2136" s="8">
        <v>55</v>
      </c>
      <c r="C2136" s="8">
        <v>3060</v>
      </c>
      <c r="D2136" s="16">
        <v>-1.670319E-3</v>
      </c>
      <c r="E2136" s="8">
        <v>-8.3515949999999999E-4</v>
      </c>
    </row>
    <row r="2137" spans="1:5" x14ac:dyDescent="0.3">
      <c r="A2137" s="8">
        <v>65</v>
      </c>
      <c r="B2137" s="8">
        <v>56</v>
      </c>
      <c r="C2137" s="8">
        <v>3062</v>
      </c>
      <c r="D2137" s="16">
        <v>-1.6004290000000001E-2</v>
      </c>
      <c r="E2137" s="8">
        <v>-8.0021450000000004E-3</v>
      </c>
    </row>
    <row r="2138" spans="1:5" x14ac:dyDescent="0.3">
      <c r="A2138" s="8">
        <v>65</v>
      </c>
      <c r="B2138" s="8">
        <v>57</v>
      </c>
      <c r="C2138" s="8">
        <v>3075</v>
      </c>
      <c r="D2138" s="16">
        <v>-1.8787400000000001E-3</v>
      </c>
      <c r="E2138" s="8">
        <v>-9.3937000000000003E-4</v>
      </c>
    </row>
    <row r="2139" spans="1:5" x14ac:dyDescent="0.3">
      <c r="A2139" s="8">
        <v>65</v>
      </c>
      <c r="B2139" s="8">
        <v>58</v>
      </c>
      <c r="C2139" s="8">
        <v>3057</v>
      </c>
      <c r="D2139" s="16">
        <v>1.0090679999999999E-3</v>
      </c>
      <c r="E2139" s="8">
        <v>5.0453399999999995E-4</v>
      </c>
    </row>
    <row r="2140" spans="1:5" x14ac:dyDescent="0.3">
      <c r="A2140" s="8">
        <v>65</v>
      </c>
      <c r="B2140" s="8">
        <v>59</v>
      </c>
      <c r="C2140" s="8">
        <v>3061</v>
      </c>
      <c r="D2140" s="16">
        <v>-4.2912159999999998E-2</v>
      </c>
      <c r="E2140" s="8">
        <v>-2.1456079999999999E-2</v>
      </c>
    </row>
    <row r="2141" spans="1:5" x14ac:dyDescent="0.3">
      <c r="A2141" s="8">
        <v>65</v>
      </c>
      <c r="B2141" s="8">
        <v>60</v>
      </c>
      <c r="C2141" s="8">
        <v>3049</v>
      </c>
      <c r="D2141" s="16">
        <v>1.1647029999999999E-2</v>
      </c>
      <c r="E2141" s="8">
        <v>5.8235149999999996E-3</v>
      </c>
    </row>
    <row r="2142" spans="1:5" x14ac:dyDescent="0.3">
      <c r="A2142" s="8">
        <v>65</v>
      </c>
      <c r="B2142" s="8">
        <v>61</v>
      </c>
      <c r="C2142" s="8">
        <v>3053</v>
      </c>
      <c r="D2142" s="16">
        <v>-1.644493E-2</v>
      </c>
      <c r="E2142" s="8">
        <v>-8.222465E-3</v>
      </c>
    </row>
    <row r="2143" spans="1:5" x14ac:dyDescent="0.3">
      <c r="A2143" s="8">
        <v>65</v>
      </c>
      <c r="B2143" s="8">
        <v>62</v>
      </c>
      <c r="C2143" s="8">
        <v>3057</v>
      </c>
      <c r="D2143" s="16">
        <v>1.860748E-3</v>
      </c>
      <c r="E2143" s="8">
        <v>9.3037399999999998E-4</v>
      </c>
    </row>
    <row r="2144" spans="1:5" x14ac:dyDescent="0.3">
      <c r="A2144" s="8">
        <v>65</v>
      </c>
      <c r="B2144" s="8">
        <v>63</v>
      </c>
      <c r="C2144" s="8">
        <v>3059</v>
      </c>
      <c r="D2144" s="16">
        <v>-3.1911210000000002E-2</v>
      </c>
      <c r="E2144" s="8">
        <v>-1.5955605000000001E-2</v>
      </c>
    </row>
    <row r="2145" spans="1:5" x14ac:dyDescent="0.3">
      <c r="A2145" s="8">
        <v>65</v>
      </c>
      <c r="B2145" s="8">
        <v>64</v>
      </c>
      <c r="C2145" s="8">
        <v>3057</v>
      </c>
      <c r="D2145" s="16">
        <v>-1.2556909999999999E-2</v>
      </c>
      <c r="E2145" s="8">
        <v>-6.2784549999999996E-3</v>
      </c>
    </row>
    <row r="2146" spans="1:5" x14ac:dyDescent="0.3">
      <c r="A2146" s="8">
        <v>65</v>
      </c>
      <c r="B2146" s="8">
        <v>65</v>
      </c>
      <c r="C2146" s="8">
        <v>3153</v>
      </c>
      <c r="D2146" s="16">
        <v>1.1313690000000001</v>
      </c>
      <c r="E2146" s="8"/>
    </row>
    <row r="2147" spans="1:5" x14ac:dyDescent="0.3">
      <c r="A2147" s="8">
        <v>66</v>
      </c>
      <c r="B2147" s="8">
        <v>1</v>
      </c>
      <c r="C2147" s="8">
        <v>3075</v>
      </c>
      <c r="D2147" s="16">
        <v>-1.6921729999999999E-2</v>
      </c>
      <c r="E2147" s="8">
        <v>-8.4608649999999997E-3</v>
      </c>
    </row>
    <row r="2148" spans="1:5" x14ac:dyDescent="0.3">
      <c r="A2148" s="8">
        <v>66</v>
      </c>
      <c r="B2148" s="8">
        <v>2</v>
      </c>
      <c r="C2148" s="8">
        <v>3043</v>
      </c>
      <c r="D2148" s="16">
        <v>-1.728611E-2</v>
      </c>
      <c r="E2148" s="8">
        <v>-8.6430550000000002E-3</v>
      </c>
    </row>
    <row r="2149" spans="1:5" x14ac:dyDescent="0.3">
      <c r="A2149" s="8">
        <v>66</v>
      </c>
      <c r="B2149" s="8">
        <v>3</v>
      </c>
      <c r="C2149" s="8">
        <v>3069</v>
      </c>
      <c r="D2149" s="16">
        <v>-1.2825009999999999E-3</v>
      </c>
      <c r="E2149" s="8">
        <v>-6.4125049999999996E-4</v>
      </c>
    </row>
    <row r="2150" spans="1:5" x14ac:dyDescent="0.3">
      <c r="A2150" s="8">
        <v>66</v>
      </c>
      <c r="B2150" s="8">
        <v>4</v>
      </c>
      <c r="C2150" s="8">
        <v>3051</v>
      </c>
      <c r="D2150" s="16">
        <v>-4.4454569999999999E-2</v>
      </c>
      <c r="E2150" s="8">
        <v>-2.2227284999999999E-2</v>
      </c>
    </row>
    <row r="2151" spans="1:5" x14ac:dyDescent="0.3">
      <c r="A2151" s="8">
        <v>66</v>
      </c>
      <c r="B2151" s="8">
        <v>5</v>
      </c>
      <c r="C2151" s="8">
        <v>3033</v>
      </c>
      <c r="D2151" s="16">
        <v>1.9162450000000001E-2</v>
      </c>
      <c r="E2151" s="8">
        <v>9.5812250000000005E-3</v>
      </c>
    </row>
    <row r="2152" spans="1:5" x14ac:dyDescent="0.3">
      <c r="A2152" s="8">
        <v>66</v>
      </c>
      <c r="B2152" s="8">
        <v>6</v>
      </c>
      <c r="C2152" s="8">
        <v>3051</v>
      </c>
      <c r="D2152" s="16">
        <v>1.452057E-2</v>
      </c>
      <c r="E2152" s="8">
        <v>7.260285E-3</v>
      </c>
    </row>
    <row r="2153" spans="1:5" x14ac:dyDescent="0.3">
      <c r="A2153" s="8">
        <v>66</v>
      </c>
      <c r="B2153" s="8">
        <v>7</v>
      </c>
      <c r="C2153" s="8">
        <v>3044</v>
      </c>
      <c r="D2153" s="16">
        <v>1.11339E-2</v>
      </c>
      <c r="E2153" s="8">
        <v>5.5669500000000002E-3</v>
      </c>
    </row>
    <row r="2154" spans="1:5" x14ac:dyDescent="0.3">
      <c r="A2154" s="8">
        <v>66</v>
      </c>
      <c r="B2154" s="8">
        <v>8</v>
      </c>
      <c r="C2154" s="8">
        <v>3065</v>
      </c>
      <c r="D2154" s="16">
        <v>-1.7476129999999999E-2</v>
      </c>
      <c r="E2154" s="8">
        <v>-8.7380649999999997E-3</v>
      </c>
    </row>
    <row r="2155" spans="1:5" x14ac:dyDescent="0.3">
      <c r="A2155" s="8">
        <v>66</v>
      </c>
      <c r="B2155" s="8">
        <v>9</v>
      </c>
      <c r="C2155" s="8">
        <v>3057</v>
      </c>
      <c r="D2155" s="16">
        <v>2.2107390000000001E-2</v>
      </c>
      <c r="E2155" s="8">
        <v>1.1053695000000001E-2</v>
      </c>
    </row>
    <row r="2156" spans="1:5" x14ac:dyDescent="0.3">
      <c r="A2156" s="8">
        <v>66</v>
      </c>
      <c r="B2156" s="8">
        <v>10</v>
      </c>
      <c r="C2156" s="8">
        <v>3043</v>
      </c>
      <c r="D2156" s="16">
        <v>1.7321610000000001E-2</v>
      </c>
      <c r="E2156" s="8">
        <v>8.6608050000000006E-3</v>
      </c>
    </row>
    <row r="2157" spans="1:5" x14ac:dyDescent="0.3">
      <c r="A2157" s="8">
        <v>66</v>
      </c>
      <c r="B2157" s="8">
        <v>11</v>
      </c>
      <c r="C2157" s="8">
        <v>3043</v>
      </c>
      <c r="D2157" s="16">
        <v>-3.2043810000000001E-3</v>
      </c>
      <c r="E2157" s="8">
        <v>-1.6021905E-3</v>
      </c>
    </row>
    <row r="2158" spans="1:5" x14ac:dyDescent="0.3">
      <c r="A2158" s="8">
        <v>66</v>
      </c>
      <c r="B2158" s="8">
        <v>12</v>
      </c>
      <c r="C2158" s="8">
        <v>3067</v>
      </c>
      <c r="D2158" s="16">
        <v>-2.2510120000000002E-2</v>
      </c>
      <c r="E2158" s="8">
        <v>-1.1255060000000001E-2</v>
      </c>
    </row>
    <row r="2159" spans="1:5" x14ac:dyDescent="0.3">
      <c r="A2159" s="8">
        <v>66</v>
      </c>
      <c r="B2159" s="8">
        <v>13</v>
      </c>
      <c r="C2159" s="8">
        <v>3045</v>
      </c>
      <c r="D2159" s="16">
        <v>-1.2884079999999999E-2</v>
      </c>
      <c r="E2159" s="8">
        <v>-6.4420399999999996E-3</v>
      </c>
    </row>
    <row r="2160" spans="1:5" x14ac:dyDescent="0.3">
      <c r="A2160" s="8">
        <v>66</v>
      </c>
      <c r="B2160" s="8">
        <v>14</v>
      </c>
      <c r="C2160" s="8">
        <v>3043</v>
      </c>
      <c r="D2160" s="16">
        <v>-1.35724E-2</v>
      </c>
      <c r="E2160" s="8">
        <v>-6.7862E-3</v>
      </c>
    </row>
    <row r="2161" spans="1:5" x14ac:dyDescent="0.3">
      <c r="A2161" s="8">
        <v>66</v>
      </c>
      <c r="B2161" s="8">
        <v>15</v>
      </c>
      <c r="C2161" s="8">
        <v>3057</v>
      </c>
      <c r="D2161" s="16">
        <v>-4.4472549999999998E-3</v>
      </c>
      <c r="E2161" s="8">
        <v>-2.2236274999999999E-3</v>
      </c>
    </row>
    <row r="2162" spans="1:5" x14ac:dyDescent="0.3">
      <c r="A2162" s="8">
        <v>66</v>
      </c>
      <c r="B2162" s="8">
        <v>16</v>
      </c>
      <c r="C2162" s="8">
        <v>3058</v>
      </c>
      <c r="D2162" s="16">
        <v>-4.608508E-2</v>
      </c>
      <c r="E2162" s="8">
        <v>-2.304254E-2</v>
      </c>
    </row>
    <row r="2163" spans="1:5" x14ac:dyDescent="0.3">
      <c r="A2163" s="8">
        <v>66</v>
      </c>
      <c r="B2163" s="8">
        <v>17</v>
      </c>
      <c r="C2163" s="8">
        <v>3051</v>
      </c>
      <c r="D2163" s="16">
        <v>-4.0690879999999999E-2</v>
      </c>
      <c r="E2163" s="8">
        <v>-2.0345439999999999E-2</v>
      </c>
    </row>
    <row r="2164" spans="1:5" x14ac:dyDescent="0.3">
      <c r="A2164" s="8">
        <v>66</v>
      </c>
      <c r="B2164" s="8">
        <v>18</v>
      </c>
      <c r="C2164" s="8">
        <v>3071</v>
      </c>
      <c r="D2164" s="16">
        <v>-8.3752189999999997E-3</v>
      </c>
      <c r="E2164" s="8">
        <v>-4.1876094999999999E-3</v>
      </c>
    </row>
    <row r="2165" spans="1:5" x14ac:dyDescent="0.3">
      <c r="A2165" s="8">
        <v>66</v>
      </c>
      <c r="B2165" s="8">
        <v>19</v>
      </c>
      <c r="C2165" s="8">
        <v>3052</v>
      </c>
      <c r="D2165" s="16">
        <v>-3.2185360000000001E-3</v>
      </c>
      <c r="E2165" s="8">
        <v>-1.6092680000000001E-3</v>
      </c>
    </row>
    <row r="2166" spans="1:5" x14ac:dyDescent="0.3">
      <c r="A2166" s="8">
        <v>66</v>
      </c>
      <c r="B2166" s="8">
        <v>20</v>
      </c>
      <c r="C2166" s="8">
        <v>3063</v>
      </c>
      <c r="D2166" s="16">
        <v>-1.9565070000000001E-3</v>
      </c>
      <c r="E2166" s="8">
        <v>-9.7825350000000006E-4</v>
      </c>
    </row>
    <row r="2167" spans="1:5" x14ac:dyDescent="0.3">
      <c r="A2167" s="8">
        <v>66</v>
      </c>
      <c r="B2167" s="8">
        <v>21</v>
      </c>
      <c r="C2167" s="8">
        <v>3061</v>
      </c>
      <c r="D2167" s="16">
        <v>-1.460711E-2</v>
      </c>
      <c r="E2167" s="8">
        <v>-7.3035549999999998E-3</v>
      </c>
    </row>
    <row r="2168" spans="1:5" x14ac:dyDescent="0.3">
      <c r="A2168" s="8">
        <v>66</v>
      </c>
      <c r="B2168" s="8">
        <v>22</v>
      </c>
      <c r="C2168" s="8">
        <v>3045</v>
      </c>
      <c r="D2168" s="16">
        <v>-5.5491830000000001E-3</v>
      </c>
      <c r="E2168" s="8">
        <v>-2.7745915E-3</v>
      </c>
    </row>
    <row r="2169" spans="1:5" x14ac:dyDescent="0.3">
      <c r="A2169" s="8">
        <v>66</v>
      </c>
      <c r="B2169" s="8">
        <v>23</v>
      </c>
      <c r="C2169" s="8">
        <v>3049</v>
      </c>
      <c r="D2169" s="16">
        <v>-2.0489460000000001E-2</v>
      </c>
      <c r="E2169" s="8">
        <v>-1.0244730000000001E-2</v>
      </c>
    </row>
    <row r="2170" spans="1:5" x14ac:dyDescent="0.3">
      <c r="A2170" s="8">
        <v>66</v>
      </c>
      <c r="B2170" s="8">
        <v>24</v>
      </c>
      <c r="C2170" s="8">
        <v>3072</v>
      </c>
      <c r="D2170" s="16">
        <v>-3.1056029999999998E-2</v>
      </c>
      <c r="E2170" s="8">
        <v>-1.5528014999999999E-2</v>
      </c>
    </row>
    <row r="2171" spans="1:5" x14ac:dyDescent="0.3">
      <c r="A2171" s="8">
        <v>66</v>
      </c>
      <c r="B2171" s="8">
        <v>25</v>
      </c>
      <c r="C2171" s="8">
        <v>3058</v>
      </c>
      <c r="D2171" s="16">
        <v>-5.4991770000000001E-3</v>
      </c>
      <c r="E2171" s="8">
        <v>-2.7495885E-3</v>
      </c>
    </row>
    <row r="2172" spans="1:5" x14ac:dyDescent="0.3">
      <c r="A2172" s="8">
        <v>66</v>
      </c>
      <c r="B2172" s="8">
        <v>26</v>
      </c>
      <c r="C2172" s="8">
        <v>3070</v>
      </c>
      <c r="D2172" s="16">
        <v>-3.8466489999999999E-2</v>
      </c>
      <c r="E2172" s="8">
        <v>-1.9233245E-2</v>
      </c>
    </row>
    <row r="2173" spans="1:5" x14ac:dyDescent="0.3">
      <c r="A2173" s="8">
        <v>66</v>
      </c>
      <c r="B2173" s="8">
        <v>27</v>
      </c>
      <c r="C2173" s="8">
        <v>3075</v>
      </c>
      <c r="D2173" s="16">
        <v>-1.6574330000000002E-2</v>
      </c>
      <c r="E2173" s="8">
        <v>-8.2871650000000009E-3</v>
      </c>
    </row>
    <row r="2174" spans="1:5" x14ac:dyDescent="0.3">
      <c r="A2174" s="8">
        <v>66</v>
      </c>
      <c r="B2174" s="8">
        <v>28</v>
      </c>
      <c r="C2174" s="8">
        <v>3046</v>
      </c>
      <c r="D2174" s="16">
        <v>-1.262695E-2</v>
      </c>
      <c r="E2174" s="8">
        <v>-6.3134749999999998E-3</v>
      </c>
    </row>
    <row r="2175" spans="1:5" x14ac:dyDescent="0.3">
      <c r="A2175" s="8">
        <v>66</v>
      </c>
      <c r="B2175" s="8">
        <v>29</v>
      </c>
      <c r="C2175" s="8">
        <v>3045</v>
      </c>
      <c r="D2175" s="16">
        <v>-4.2477380000000002E-2</v>
      </c>
      <c r="E2175" s="8">
        <v>-2.1238690000000001E-2</v>
      </c>
    </row>
    <row r="2176" spans="1:5" x14ac:dyDescent="0.3">
      <c r="A2176" s="8">
        <v>66</v>
      </c>
      <c r="B2176" s="8">
        <v>30</v>
      </c>
      <c r="C2176" s="8">
        <v>3056</v>
      </c>
      <c r="D2176" s="16">
        <v>-1.1798400000000001E-2</v>
      </c>
      <c r="E2176" s="8">
        <v>-5.8992000000000003E-3</v>
      </c>
    </row>
    <row r="2177" spans="1:5" x14ac:dyDescent="0.3">
      <c r="A2177" s="8">
        <v>66</v>
      </c>
      <c r="B2177" s="8">
        <v>31</v>
      </c>
      <c r="C2177" s="8">
        <v>2981</v>
      </c>
      <c r="D2177" s="16">
        <v>-3.5181669999999998E-2</v>
      </c>
      <c r="E2177" s="8">
        <v>-1.7590834999999999E-2</v>
      </c>
    </row>
    <row r="2178" spans="1:5" x14ac:dyDescent="0.3">
      <c r="A2178" s="8">
        <v>66</v>
      </c>
      <c r="B2178" s="8">
        <v>32</v>
      </c>
      <c r="C2178" s="8">
        <v>3046</v>
      </c>
      <c r="D2178" s="16">
        <v>-1.015548E-2</v>
      </c>
      <c r="E2178" s="8">
        <v>-5.0777399999999999E-3</v>
      </c>
    </row>
    <row r="2179" spans="1:5" x14ac:dyDescent="0.3">
      <c r="A2179" s="8">
        <v>66</v>
      </c>
      <c r="B2179" s="8">
        <v>33</v>
      </c>
      <c r="C2179" s="8">
        <v>3075</v>
      </c>
      <c r="D2179" s="16">
        <v>-6.018308E-2</v>
      </c>
      <c r="E2179" s="8">
        <v>-3.009154E-2</v>
      </c>
    </row>
    <row r="2180" spans="1:5" x14ac:dyDescent="0.3">
      <c r="A2180" s="8">
        <v>66</v>
      </c>
      <c r="B2180" s="8">
        <v>34</v>
      </c>
      <c r="C2180" s="8">
        <v>3060</v>
      </c>
      <c r="D2180" s="16">
        <v>-3.3755090000000001E-2</v>
      </c>
      <c r="E2180" s="8">
        <v>-1.6877545000000001E-2</v>
      </c>
    </row>
    <row r="2181" spans="1:5" x14ac:dyDescent="0.3">
      <c r="A2181" s="8">
        <v>66</v>
      </c>
      <c r="B2181" s="8">
        <v>35</v>
      </c>
      <c r="C2181" s="8">
        <v>3057</v>
      </c>
      <c r="D2181" s="16">
        <v>1.0461689999999999E-2</v>
      </c>
      <c r="E2181" s="8">
        <v>5.2308449999999996E-3</v>
      </c>
    </row>
    <row r="2182" spans="1:5" x14ac:dyDescent="0.3">
      <c r="A2182" s="8">
        <v>66</v>
      </c>
      <c r="B2182" s="8">
        <v>36</v>
      </c>
      <c r="C2182" s="8">
        <v>3060</v>
      </c>
      <c r="D2182" s="16">
        <v>4.7681390000000002E-3</v>
      </c>
      <c r="E2182" s="8">
        <v>2.3840695000000001E-3</v>
      </c>
    </row>
    <row r="2183" spans="1:5" x14ac:dyDescent="0.3">
      <c r="A2183" s="8">
        <v>66</v>
      </c>
      <c r="B2183" s="8">
        <v>37</v>
      </c>
      <c r="C2183" s="8">
        <v>3027</v>
      </c>
      <c r="D2183" s="16">
        <v>-5.8456890000000003E-3</v>
      </c>
      <c r="E2183" s="8">
        <v>-2.9228445000000001E-3</v>
      </c>
    </row>
    <row r="2184" spans="1:5" x14ac:dyDescent="0.3">
      <c r="A2184" s="8">
        <v>66</v>
      </c>
      <c r="B2184" s="8">
        <v>38</v>
      </c>
      <c r="C2184" s="8">
        <v>3073</v>
      </c>
      <c r="D2184" s="16">
        <v>-3.608687E-2</v>
      </c>
      <c r="E2184" s="8">
        <v>-1.8043435E-2</v>
      </c>
    </row>
    <row r="2185" spans="1:5" x14ac:dyDescent="0.3">
      <c r="A2185" s="8">
        <v>66</v>
      </c>
      <c r="B2185" s="8">
        <v>39</v>
      </c>
      <c r="C2185" s="8">
        <v>3065</v>
      </c>
      <c r="D2185" s="16">
        <v>-3.4198689999999997E-2</v>
      </c>
      <c r="E2185" s="8">
        <v>-1.7099344999999998E-2</v>
      </c>
    </row>
    <row r="2186" spans="1:5" x14ac:dyDescent="0.3">
      <c r="A2186" s="8">
        <v>66</v>
      </c>
      <c r="B2186" s="8">
        <v>40</v>
      </c>
      <c r="C2186" s="8">
        <v>3058</v>
      </c>
      <c r="D2186" s="16">
        <v>-5.1013080000000002E-2</v>
      </c>
      <c r="E2186" s="8">
        <v>-2.5506540000000001E-2</v>
      </c>
    </row>
    <row r="2187" spans="1:5" x14ac:dyDescent="0.3">
      <c r="A2187" s="8">
        <v>66</v>
      </c>
      <c r="B2187" s="8">
        <v>41</v>
      </c>
      <c r="C2187" s="8">
        <v>3034</v>
      </c>
      <c r="D2187" s="16">
        <v>-3.253677E-2</v>
      </c>
      <c r="E2187" s="8">
        <v>-1.6268385E-2</v>
      </c>
    </row>
    <row r="2188" spans="1:5" x14ac:dyDescent="0.3">
      <c r="A2188" s="8">
        <v>66</v>
      </c>
      <c r="B2188" s="8">
        <v>42</v>
      </c>
      <c r="C2188" s="8">
        <v>3025</v>
      </c>
      <c r="D2188" s="16">
        <v>4.9649450000000001E-3</v>
      </c>
      <c r="E2188" s="8">
        <v>2.4824725000000001E-3</v>
      </c>
    </row>
    <row r="2189" spans="1:5" x14ac:dyDescent="0.3">
      <c r="A2189" s="8">
        <v>66</v>
      </c>
      <c r="B2189" s="8">
        <v>43</v>
      </c>
      <c r="C2189" s="8">
        <v>3050</v>
      </c>
      <c r="D2189" s="16">
        <v>-4.5919809999999998E-2</v>
      </c>
      <c r="E2189" s="8">
        <v>-2.2959904999999999E-2</v>
      </c>
    </row>
    <row r="2190" spans="1:5" x14ac:dyDescent="0.3">
      <c r="A2190" s="8">
        <v>66</v>
      </c>
      <c r="B2190" s="8">
        <v>44</v>
      </c>
      <c r="C2190" s="8">
        <v>3029</v>
      </c>
      <c r="D2190" s="16">
        <v>3.788532E-2</v>
      </c>
      <c r="E2190" s="8">
        <v>1.894266E-2</v>
      </c>
    </row>
    <row r="2191" spans="1:5" x14ac:dyDescent="0.3">
      <c r="A2191" s="8">
        <v>66</v>
      </c>
      <c r="B2191" s="8">
        <v>45</v>
      </c>
      <c r="C2191" s="8">
        <v>3055</v>
      </c>
      <c r="D2191" s="16">
        <v>-4.2774949999999999E-2</v>
      </c>
      <c r="E2191" s="8">
        <v>-2.1387475E-2</v>
      </c>
    </row>
    <row r="2192" spans="1:5" x14ac:dyDescent="0.3">
      <c r="A2192" s="8">
        <v>66</v>
      </c>
      <c r="B2192" s="8">
        <v>46</v>
      </c>
      <c r="C2192" s="8">
        <v>3047</v>
      </c>
      <c r="D2192" s="16">
        <v>1.1639460000000001E-2</v>
      </c>
      <c r="E2192" s="8">
        <v>5.8197300000000004E-3</v>
      </c>
    </row>
    <row r="2193" spans="1:5" x14ac:dyDescent="0.3">
      <c r="A2193" s="8">
        <v>66</v>
      </c>
      <c r="B2193" s="8">
        <v>47</v>
      </c>
      <c r="C2193" s="8">
        <v>3031</v>
      </c>
      <c r="D2193" s="16">
        <v>-9.2663910000000006E-3</v>
      </c>
      <c r="E2193" s="8">
        <v>-4.6331955000000003E-3</v>
      </c>
    </row>
    <row r="2194" spans="1:5" x14ac:dyDescent="0.3">
      <c r="A2194" s="8">
        <v>66</v>
      </c>
      <c r="B2194" s="8">
        <v>48</v>
      </c>
      <c r="C2194" s="8">
        <v>3056</v>
      </c>
      <c r="D2194" s="16">
        <v>-1.8652740000000001E-2</v>
      </c>
      <c r="E2194" s="8">
        <v>-9.3263700000000005E-3</v>
      </c>
    </row>
    <row r="2195" spans="1:5" x14ac:dyDescent="0.3">
      <c r="A2195" s="8">
        <v>66</v>
      </c>
      <c r="B2195" s="8">
        <v>49</v>
      </c>
      <c r="C2195" s="8">
        <v>3024</v>
      </c>
      <c r="D2195" s="16">
        <v>-3.371391E-2</v>
      </c>
      <c r="E2195" s="8">
        <v>-1.6856955E-2</v>
      </c>
    </row>
    <row r="2196" spans="1:5" x14ac:dyDescent="0.3">
      <c r="A2196" s="8">
        <v>66</v>
      </c>
      <c r="B2196" s="8">
        <v>50</v>
      </c>
      <c r="C2196" s="8">
        <v>3073</v>
      </c>
      <c r="D2196" s="16">
        <v>1.2364160000000001E-2</v>
      </c>
      <c r="E2196" s="8">
        <v>6.1820800000000004E-3</v>
      </c>
    </row>
    <row r="2197" spans="1:5" x14ac:dyDescent="0.3">
      <c r="A2197" s="8">
        <v>66</v>
      </c>
      <c r="B2197" s="8">
        <v>51</v>
      </c>
      <c r="C2197" s="8">
        <v>3049</v>
      </c>
      <c r="D2197" s="16">
        <v>-5.3483860000000001E-2</v>
      </c>
      <c r="E2197" s="8">
        <v>-2.6741930000000001E-2</v>
      </c>
    </row>
    <row r="2198" spans="1:5" x14ac:dyDescent="0.3">
      <c r="A2198" s="8">
        <v>66</v>
      </c>
      <c r="B2198" s="8">
        <v>52</v>
      </c>
      <c r="C2198" s="8">
        <v>3056</v>
      </c>
      <c r="D2198" s="16">
        <v>-3.011606E-2</v>
      </c>
      <c r="E2198" s="8">
        <v>-1.505803E-2</v>
      </c>
    </row>
    <row r="2199" spans="1:5" x14ac:dyDescent="0.3">
      <c r="A2199" s="8">
        <v>66</v>
      </c>
      <c r="B2199" s="8">
        <v>53</v>
      </c>
      <c r="C2199" s="8">
        <v>3052</v>
      </c>
      <c r="D2199" s="16">
        <v>-3.638007E-2</v>
      </c>
      <c r="E2199" s="8">
        <v>-1.8190035E-2</v>
      </c>
    </row>
    <row r="2200" spans="1:5" x14ac:dyDescent="0.3">
      <c r="A2200" s="8">
        <v>66</v>
      </c>
      <c r="B2200" s="8">
        <v>54</v>
      </c>
      <c r="C2200" s="8">
        <v>3039</v>
      </c>
      <c r="D2200" s="16">
        <v>-6.9553899999999997E-3</v>
      </c>
      <c r="E2200" s="8">
        <v>-3.4776949999999998E-3</v>
      </c>
    </row>
    <row r="2201" spans="1:5" x14ac:dyDescent="0.3">
      <c r="A2201" s="8">
        <v>66</v>
      </c>
      <c r="B2201" s="8">
        <v>55</v>
      </c>
      <c r="C2201" s="8">
        <v>3061</v>
      </c>
      <c r="D2201" s="16">
        <v>-1.7231900000000001E-2</v>
      </c>
      <c r="E2201" s="8">
        <v>-8.6159500000000007E-3</v>
      </c>
    </row>
    <row r="2202" spans="1:5" x14ac:dyDescent="0.3">
      <c r="A2202" s="8">
        <v>66</v>
      </c>
      <c r="B2202" s="8">
        <v>56</v>
      </c>
      <c r="C2202" s="8">
        <v>3064</v>
      </c>
      <c r="D2202" s="16">
        <v>3.199341E-2</v>
      </c>
      <c r="E2202" s="8">
        <v>1.5996705E-2</v>
      </c>
    </row>
    <row r="2203" spans="1:5" x14ac:dyDescent="0.3">
      <c r="A2203" s="8">
        <v>66</v>
      </c>
      <c r="B2203" s="8">
        <v>57</v>
      </c>
      <c r="C2203" s="8">
        <v>3077</v>
      </c>
      <c r="D2203" s="16">
        <v>-9.0306469999999993E-3</v>
      </c>
      <c r="E2203" s="8">
        <v>-4.5153234999999996E-3</v>
      </c>
    </row>
    <row r="2204" spans="1:5" x14ac:dyDescent="0.3">
      <c r="A2204" s="8">
        <v>66</v>
      </c>
      <c r="B2204" s="8">
        <v>58</v>
      </c>
      <c r="C2204" s="8">
        <v>3062</v>
      </c>
      <c r="D2204" s="16">
        <v>4.4385330000000001E-2</v>
      </c>
      <c r="E2204" s="8">
        <v>2.2192665E-2</v>
      </c>
    </row>
    <row r="2205" spans="1:5" x14ac:dyDescent="0.3">
      <c r="A2205" s="8">
        <v>66</v>
      </c>
      <c r="B2205" s="8">
        <v>59</v>
      </c>
      <c r="C2205" s="8">
        <v>3065</v>
      </c>
      <c r="D2205" s="16">
        <v>6.9415739999999998E-3</v>
      </c>
      <c r="E2205" s="8">
        <v>3.4707869999999999E-3</v>
      </c>
    </row>
    <row r="2206" spans="1:5" x14ac:dyDescent="0.3">
      <c r="A2206" s="8">
        <v>66</v>
      </c>
      <c r="B2206" s="8">
        <v>60</v>
      </c>
      <c r="C2206" s="8">
        <v>3058</v>
      </c>
      <c r="D2206" s="16">
        <v>-2.2103609999999999E-2</v>
      </c>
      <c r="E2206" s="8">
        <v>-1.1051805E-2</v>
      </c>
    </row>
    <row r="2207" spans="1:5" x14ac:dyDescent="0.3">
      <c r="A2207" s="8">
        <v>66</v>
      </c>
      <c r="B2207" s="8">
        <v>61</v>
      </c>
      <c r="C2207" s="8">
        <v>3053</v>
      </c>
      <c r="D2207" s="16">
        <v>-8.104111E-2</v>
      </c>
      <c r="E2207" s="8">
        <v>-4.0520555E-2</v>
      </c>
    </row>
    <row r="2208" spans="1:5" x14ac:dyDescent="0.3">
      <c r="A2208" s="8">
        <v>66</v>
      </c>
      <c r="B2208" s="8">
        <v>62</v>
      </c>
      <c r="C2208" s="8">
        <v>3057</v>
      </c>
      <c r="D2208" s="16">
        <v>8.2319790000000004E-3</v>
      </c>
      <c r="E2208" s="8">
        <v>4.1159895000000002E-3</v>
      </c>
    </row>
    <row r="2209" spans="1:5" x14ac:dyDescent="0.3">
      <c r="A2209" s="8">
        <v>66</v>
      </c>
      <c r="B2209" s="8">
        <v>63</v>
      </c>
      <c r="C2209" s="8">
        <v>3057</v>
      </c>
      <c r="D2209" s="16">
        <v>-2.28095E-2</v>
      </c>
      <c r="E2209" s="8">
        <v>-1.140475E-2</v>
      </c>
    </row>
    <row r="2210" spans="1:5" x14ac:dyDescent="0.3">
      <c r="A2210" s="8">
        <v>66</v>
      </c>
      <c r="B2210" s="8">
        <v>64</v>
      </c>
      <c r="C2210" s="8">
        <v>3059</v>
      </c>
      <c r="D2210" s="16">
        <v>-3.5893809999999998E-2</v>
      </c>
      <c r="E2210" s="8">
        <v>-1.7946904999999999E-2</v>
      </c>
    </row>
    <row r="2211" spans="1:5" x14ac:dyDescent="0.3">
      <c r="A2211" s="8">
        <v>66</v>
      </c>
      <c r="B2211" s="8">
        <v>65</v>
      </c>
      <c r="C2211" s="8">
        <v>3058</v>
      </c>
      <c r="D2211" s="16">
        <v>-2.62609E-2</v>
      </c>
      <c r="E2211" s="8">
        <v>-1.313045E-2</v>
      </c>
    </row>
    <row r="2212" spans="1:5" x14ac:dyDescent="0.3">
      <c r="A2212" s="8">
        <v>66</v>
      </c>
      <c r="B2212" s="8">
        <v>66</v>
      </c>
      <c r="C2212" s="8">
        <v>3156</v>
      </c>
      <c r="D2212" s="16">
        <v>1.1376299999999999</v>
      </c>
      <c r="E2212" s="8"/>
    </row>
    <row r="2213" spans="1:5" x14ac:dyDescent="0.3">
      <c r="A2213" s="8">
        <v>67</v>
      </c>
      <c r="B2213" s="8">
        <v>1</v>
      </c>
      <c r="C2213" s="8">
        <v>3062</v>
      </c>
      <c r="D2213" s="16">
        <v>6.2169770000000003E-3</v>
      </c>
      <c r="E2213" s="8">
        <v>3.1084885000000001E-3</v>
      </c>
    </row>
    <row r="2214" spans="1:5" x14ac:dyDescent="0.3">
      <c r="A2214" s="8">
        <v>67</v>
      </c>
      <c r="B2214" s="8">
        <v>2</v>
      </c>
      <c r="C2214" s="8">
        <v>3034</v>
      </c>
      <c r="D2214" s="16">
        <v>-2.615207E-3</v>
      </c>
      <c r="E2214" s="8">
        <v>-1.3076035E-3</v>
      </c>
    </row>
    <row r="2215" spans="1:5" x14ac:dyDescent="0.3">
      <c r="A2215" s="8">
        <v>67</v>
      </c>
      <c r="B2215" s="8">
        <v>3</v>
      </c>
      <c r="C2215" s="8">
        <v>3062</v>
      </c>
      <c r="D2215" s="16">
        <v>-1.7431869999999999E-2</v>
      </c>
      <c r="E2215" s="8">
        <v>-8.7159349999999993E-3</v>
      </c>
    </row>
    <row r="2216" spans="1:5" x14ac:dyDescent="0.3">
      <c r="A2216" s="8">
        <v>67</v>
      </c>
      <c r="B2216" s="8">
        <v>4</v>
      </c>
      <c r="C2216" s="8">
        <v>3039</v>
      </c>
      <c r="D2216" s="16">
        <v>-3.9386020000000001E-2</v>
      </c>
      <c r="E2216" s="8">
        <v>-1.969301E-2</v>
      </c>
    </row>
    <row r="2217" spans="1:5" x14ac:dyDescent="0.3">
      <c r="A2217" s="8">
        <v>67</v>
      </c>
      <c r="B2217" s="8">
        <v>5</v>
      </c>
      <c r="C2217" s="8">
        <v>3027</v>
      </c>
      <c r="D2217" s="16">
        <v>2.2593849999999999E-2</v>
      </c>
      <c r="E2217" s="8">
        <v>1.1296924999999999E-2</v>
      </c>
    </row>
    <row r="2218" spans="1:5" x14ac:dyDescent="0.3">
      <c r="A2218" s="8">
        <v>67</v>
      </c>
      <c r="B2218" s="8">
        <v>6</v>
      </c>
      <c r="C2218" s="8">
        <v>3044</v>
      </c>
      <c r="D2218" s="16">
        <v>4.144455E-3</v>
      </c>
      <c r="E2218" s="8">
        <v>2.0722275E-3</v>
      </c>
    </row>
    <row r="2219" spans="1:5" x14ac:dyDescent="0.3">
      <c r="A2219" s="8">
        <v>67</v>
      </c>
      <c r="B2219" s="8">
        <v>7</v>
      </c>
      <c r="C2219" s="8">
        <v>3039</v>
      </c>
      <c r="D2219" s="16">
        <v>-3.5166240000000001E-2</v>
      </c>
      <c r="E2219" s="8">
        <v>-1.7583120000000001E-2</v>
      </c>
    </row>
    <row r="2220" spans="1:5" x14ac:dyDescent="0.3">
      <c r="A2220" s="8">
        <v>67</v>
      </c>
      <c r="B2220" s="8">
        <v>8</v>
      </c>
      <c r="C2220" s="8">
        <v>3061</v>
      </c>
      <c r="D2220" s="16">
        <v>-5.5369590000000003E-2</v>
      </c>
      <c r="E2220" s="8">
        <v>-2.7684795000000002E-2</v>
      </c>
    </row>
    <row r="2221" spans="1:5" x14ac:dyDescent="0.3">
      <c r="A2221" s="8">
        <v>67</v>
      </c>
      <c r="B2221" s="8">
        <v>9</v>
      </c>
      <c r="C2221" s="8">
        <v>3046</v>
      </c>
      <c r="D2221" s="16">
        <v>4.4680789999999998E-2</v>
      </c>
      <c r="E2221" s="8">
        <v>2.2340394999999999E-2</v>
      </c>
    </row>
    <row r="2222" spans="1:5" x14ac:dyDescent="0.3">
      <c r="A2222" s="8">
        <v>67</v>
      </c>
      <c r="B2222" s="8">
        <v>10</v>
      </c>
      <c r="C2222" s="8">
        <v>3038</v>
      </c>
      <c r="D2222" s="16">
        <v>3.1726919999999999E-2</v>
      </c>
      <c r="E2222" s="8">
        <v>1.5863459999999999E-2</v>
      </c>
    </row>
    <row r="2223" spans="1:5" x14ac:dyDescent="0.3">
      <c r="A2223" s="8">
        <v>67</v>
      </c>
      <c r="B2223" s="8">
        <v>11</v>
      </c>
      <c r="C2223" s="8">
        <v>3041</v>
      </c>
      <c r="D2223" s="16">
        <v>-3.2708420000000002E-2</v>
      </c>
      <c r="E2223" s="8">
        <v>-1.6354210000000001E-2</v>
      </c>
    </row>
    <row r="2224" spans="1:5" x14ac:dyDescent="0.3">
      <c r="A2224" s="8">
        <v>67</v>
      </c>
      <c r="B2224" s="8">
        <v>12</v>
      </c>
      <c r="C2224" s="8">
        <v>3062</v>
      </c>
      <c r="D2224" s="16">
        <v>-3.5201780000000002E-2</v>
      </c>
      <c r="E2224" s="8">
        <v>-1.7600890000000001E-2</v>
      </c>
    </row>
    <row r="2225" spans="1:5" x14ac:dyDescent="0.3">
      <c r="A2225" s="8">
        <v>67</v>
      </c>
      <c r="B2225" s="8">
        <v>13</v>
      </c>
      <c r="C2225" s="8">
        <v>3038</v>
      </c>
      <c r="D2225" s="16">
        <v>-4.550746E-2</v>
      </c>
      <c r="E2225" s="8">
        <v>-2.275373E-2</v>
      </c>
    </row>
    <row r="2226" spans="1:5" x14ac:dyDescent="0.3">
      <c r="A2226" s="8">
        <v>67</v>
      </c>
      <c r="B2226" s="8">
        <v>14</v>
      </c>
      <c r="C2226" s="8">
        <v>3033</v>
      </c>
      <c r="D2226" s="16">
        <v>-7.2360579999999994E-2</v>
      </c>
      <c r="E2226" s="8">
        <v>-3.6180289999999997E-2</v>
      </c>
    </row>
    <row r="2227" spans="1:5" x14ac:dyDescent="0.3">
      <c r="A2227" s="8">
        <v>67</v>
      </c>
      <c r="B2227" s="8">
        <v>15</v>
      </c>
      <c r="C2227" s="8">
        <v>3045</v>
      </c>
      <c r="D2227" s="16">
        <v>-7.8058790000000003E-2</v>
      </c>
      <c r="E2227" s="8">
        <v>-3.9029395000000001E-2</v>
      </c>
    </row>
    <row r="2228" spans="1:5" x14ac:dyDescent="0.3">
      <c r="A2228" s="8">
        <v>67</v>
      </c>
      <c r="B2228" s="8">
        <v>16</v>
      </c>
      <c r="C2228" s="8">
        <v>3051</v>
      </c>
      <c r="D2228" s="16">
        <v>-5.9645950000000003E-2</v>
      </c>
      <c r="E2228" s="8">
        <v>-2.9822975000000002E-2</v>
      </c>
    </row>
    <row r="2229" spans="1:5" x14ac:dyDescent="0.3">
      <c r="A2229" s="8">
        <v>67</v>
      </c>
      <c r="B2229" s="8">
        <v>17</v>
      </c>
      <c r="C2229" s="8">
        <v>3049</v>
      </c>
      <c r="D2229" s="16">
        <v>1.508204E-2</v>
      </c>
      <c r="E2229" s="8">
        <v>7.5410199999999998E-3</v>
      </c>
    </row>
    <row r="2230" spans="1:5" x14ac:dyDescent="0.3">
      <c r="A2230" s="8">
        <v>67</v>
      </c>
      <c r="B2230" s="8">
        <v>18</v>
      </c>
      <c r="C2230" s="8">
        <v>3066</v>
      </c>
      <c r="D2230" s="16">
        <v>-3.2710529999999999E-3</v>
      </c>
      <c r="E2230" s="8">
        <v>-1.6355264999999999E-3</v>
      </c>
    </row>
    <row r="2231" spans="1:5" x14ac:dyDescent="0.3">
      <c r="A2231" s="8">
        <v>67</v>
      </c>
      <c r="B2231" s="8">
        <v>19</v>
      </c>
      <c r="C2231" s="8">
        <v>3047</v>
      </c>
      <c r="D2231" s="16">
        <v>-4.3587969999999997E-2</v>
      </c>
      <c r="E2231" s="8">
        <v>-2.1793984999999998E-2</v>
      </c>
    </row>
    <row r="2232" spans="1:5" x14ac:dyDescent="0.3">
      <c r="A2232" s="8">
        <v>67</v>
      </c>
      <c r="B2232" s="8">
        <v>20</v>
      </c>
      <c r="C2232" s="8">
        <v>3056</v>
      </c>
      <c r="D2232" s="16">
        <v>1.1727720000000001E-2</v>
      </c>
      <c r="E2232" s="8">
        <v>5.8638600000000003E-3</v>
      </c>
    </row>
    <row r="2233" spans="1:5" x14ac:dyDescent="0.3">
      <c r="A2233" s="8">
        <v>67</v>
      </c>
      <c r="B2233" s="8">
        <v>21</v>
      </c>
      <c r="C2233" s="8">
        <v>3059</v>
      </c>
      <c r="D2233" s="16">
        <v>-5.1860240000000002E-2</v>
      </c>
      <c r="E2233" s="8">
        <v>-2.5930120000000001E-2</v>
      </c>
    </row>
    <row r="2234" spans="1:5" x14ac:dyDescent="0.3">
      <c r="A2234" s="8">
        <v>67</v>
      </c>
      <c r="B2234" s="8">
        <v>22</v>
      </c>
      <c r="C2234" s="8">
        <v>3040</v>
      </c>
      <c r="D2234" s="16">
        <v>-5.1430940000000001E-2</v>
      </c>
      <c r="E2234" s="8">
        <v>-2.5715470000000001E-2</v>
      </c>
    </row>
    <row r="2235" spans="1:5" x14ac:dyDescent="0.3">
      <c r="A2235" s="8">
        <v>67</v>
      </c>
      <c r="B2235" s="8">
        <v>23</v>
      </c>
      <c r="C2235" s="8">
        <v>3037</v>
      </c>
      <c r="D2235" s="16">
        <v>-6.2242430000000001E-2</v>
      </c>
      <c r="E2235" s="8">
        <v>-3.1121215000000001E-2</v>
      </c>
    </row>
    <row r="2236" spans="1:5" x14ac:dyDescent="0.3">
      <c r="A2236" s="8">
        <v>67</v>
      </c>
      <c r="B2236" s="8">
        <v>24</v>
      </c>
      <c r="C2236" s="8">
        <v>3066</v>
      </c>
      <c r="D2236" s="16">
        <v>-3.5643399999999999E-2</v>
      </c>
      <c r="E2236" s="8">
        <v>-1.7821699999999999E-2</v>
      </c>
    </row>
    <row r="2237" spans="1:5" x14ac:dyDescent="0.3">
      <c r="A2237" s="8">
        <v>67</v>
      </c>
      <c r="B2237" s="8">
        <v>25</v>
      </c>
      <c r="C2237" s="8">
        <v>3050</v>
      </c>
      <c r="D2237" s="16">
        <v>-3.693408E-3</v>
      </c>
      <c r="E2237" s="8">
        <v>-1.846704E-3</v>
      </c>
    </row>
    <row r="2238" spans="1:5" x14ac:dyDescent="0.3">
      <c r="A2238" s="8">
        <v>67</v>
      </c>
      <c r="B2238" s="8">
        <v>26</v>
      </c>
      <c r="C2238" s="8">
        <v>3061</v>
      </c>
      <c r="D2238" s="16">
        <v>2.059004E-2</v>
      </c>
      <c r="E2238" s="8">
        <v>1.029502E-2</v>
      </c>
    </row>
    <row r="2239" spans="1:5" x14ac:dyDescent="0.3">
      <c r="A2239" s="8">
        <v>67</v>
      </c>
      <c r="B2239" s="8">
        <v>27</v>
      </c>
      <c r="C2239" s="8">
        <v>3065</v>
      </c>
      <c r="D2239" s="16">
        <v>-5.374317E-2</v>
      </c>
      <c r="E2239" s="8">
        <v>-2.6871585E-2</v>
      </c>
    </row>
    <row r="2240" spans="1:5" x14ac:dyDescent="0.3">
      <c r="A2240" s="8">
        <v>67</v>
      </c>
      <c r="B2240" s="8">
        <v>28</v>
      </c>
      <c r="C2240" s="8">
        <v>3032</v>
      </c>
      <c r="D2240" s="16">
        <v>-2.9298939999999999E-2</v>
      </c>
      <c r="E2240" s="8">
        <v>-1.464947E-2</v>
      </c>
    </row>
    <row r="2241" spans="1:5" x14ac:dyDescent="0.3">
      <c r="A2241" s="8">
        <v>67</v>
      </c>
      <c r="B2241" s="8">
        <v>29</v>
      </c>
      <c r="C2241" s="8">
        <v>3038</v>
      </c>
      <c r="D2241" s="16">
        <v>-6.3287999999999999E-3</v>
      </c>
      <c r="E2241" s="8">
        <v>-3.1643999999999999E-3</v>
      </c>
    </row>
    <row r="2242" spans="1:5" x14ac:dyDescent="0.3">
      <c r="A2242" s="8">
        <v>67</v>
      </c>
      <c r="B2242" s="8">
        <v>30</v>
      </c>
      <c r="C2242" s="8">
        <v>3049</v>
      </c>
      <c r="D2242" s="16">
        <v>-1.942033E-2</v>
      </c>
      <c r="E2242" s="8">
        <v>-9.7101649999999998E-3</v>
      </c>
    </row>
    <row r="2243" spans="1:5" x14ac:dyDescent="0.3">
      <c r="A2243" s="8">
        <v>67</v>
      </c>
      <c r="B2243" s="8">
        <v>31</v>
      </c>
      <c r="C2243" s="8">
        <v>2975</v>
      </c>
      <c r="D2243" s="16">
        <v>8.2382340000000005E-3</v>
      </c>
      <c r="E2243" s="8">
        <v>4.1191170000000003E-3</v>
      </c>
    </row>
    <row r="2244" spans="1:5" x14ac:dyDescent="0.3">
      <c r="A2244" s="8">
        <v>67</v>
      </c>
      <c r="B2244" s="8">
        <v>32</v>
      </c>
      <c r="C2244" s="8">
        <v>3037</v>
      </c>
      <c r="D2244" s="16">
        <v>1.200299E-2</v>
      </c>
      <c r="E2244" s="8">
        <v>6.0014949999999999E-3</v>
      </c>
    </row>
    <row r="2245" spans="1:5" x14ac:dyDescent="0.3">
      <c r="A2245" s="8">
        <v>67</v>
      </c>
      <c r="B2245" s="8">
        <v>33</v>
      </c>
      <c r="C2245" s="8">
        <v>3063</v>
      </c>
      <c r="D2245" s="16">
        <v>-4.4220549999999997E-2</v>
      </c>
      <c r="E2245" s="8">
        <v>-2.2110274999999999E-2</v>
      </c>
    </row>
    <row r="2246" spans="1:5" x14ac:dyDescent="0.3">
      <c r="A2246" s="8">
        <v>67</v>
      </c>
      <c r="B2246" s="8">
        <v>34</v>
      </c>
      <c r="C2246" s="8">
        <v>3055</v>
      </c>
      <c r="D2246" s="16">
        <v>-2.7995180000000001E-2</v>
      </c>
      <c r="E2246" s="8">
        <v>-1.3997590000000001E-2</v>
      </c>
    </row>
    <row r="2247" spans="1:5" x14ac:dyDescent="0.3">
      <c r="A2247" s="8">
        <v>67</v>
      </c>
      <c r="B2247" s="8">
        <v>35</v>
      </c>
      <c r="C2247" s="8">
        <v>3051</v>
      </c>
      <c r="D2247" s="16">
        <v>6.0877769999999998E-2</v>
      </c>
      <c r="E2247" s="8">
        <v>3.0438884999999999E-2</v>
      </c>
    </row>
    <row r="2248" spans="1:5" x14ac:dyDescent="0.3">
      <c r="A2248" s="8">
        <v>67</v>
      </c>
      <c r="B2248" s="8">
        <v>36</v>
      </c>
      <c r="C2248" s="8">
        <v>3055</v>
      </c>
      <c r="D2248" s="16">
        <v>-4.9787900000000003E-2</v>
      </c>
      <c r="E2248" s="8">
        <v>-2.4893950000000001E-2</v>
      </c>
    </row>
    <row r="2249" spans="1:5" x14ac:dyDescent="0.3">
      <c r="A2249" s="8">
        <v>67</v>
      </c>
      <c r="B2249" s="8">
        <v>37</v>
      </c>
      <c r="C2249" s="8">
        <v>3022</v>
      </c>
      <c r="D2249" s="16">
        <v>1.0434489999999999E-2</v>
      </c>
      <c r="E2249" s="8">
        <v>5.2172449999999997E-3</v>
      </c>
    </row>
    <row r="2250" spans="1:5" x14ac:dyDescent="0.3">
      <c r="A2250" s="8">
        <v>67</v>
      </c>
      <c r="B2250" s="8">
        <v>38</v>
      </c>
      <c r="C2250" s="8">
        <v>3066</v>
      </c>
      <c r="D2250" s="16">
        <v>3.0509129999999999E-2</v>
      </c>
      <c r="E2250" s="8">
        <v>1.5254564999999999E-2</v>
      </c>
    </row>
    <row r="2251" spans="1:5" x14ac:dyDescent="0.3">
      <c r="A2251" s="8">
        <v>67</v>
      </c>
      <c r="B2251" s="8">
        <v>39</v>
      </c>
      <c r="C2251" s="8">
        <v>3057</v>
      </c>
      <c r="D2251" s="16">
        <v>5.2253029999999997E-3</v>
      </c>
      <c r="E2251" s="8">
        <v>2.6126514999999999E-3</v>
      </c>
    </row>
    <row r="2252" spans="1:5" x14ac:dyDescent="0.3">
      <c r="A2252" s="8">
        <v>67</v>
      </c>
      <c r="B2252" s="8">
        <v>40</v>
      </c>
      <c r="C2252" s="8">
        <v>3054</v>
      </c>
      <c r="D2252" s="16">
        <v>2.422121E-2</v>
      </c>
      <c r="E2252" s="8">
        <v>1.2110605E-2</v>
      </c>
    </row>
    <row r="2253" spans="1:5" x14ac:dyDescent="0.3">
      <c r="A2253" s="8">
        <v>67</v>
      </c>
      <c r="B2253" s="8">
        <v>41</v>
      </c>
      <c r="C2253" s="8">
        <v>3033</v>
      </c>
      <c r="D2253" s="16">
        <v>2.5754920000000001E-2</v>
      </c>
      <c r="E2253" s="8">
        <v>1.287746E-2</v>
      </c>
    </row>
    <row r="2254" spans="1:5" x14ac:dyDescent="0.3">
      <c r="A2254" s="8">
        <v>67</v>
      </c>
      <c r="B2254" s="8">
        <v>42</v>
      </c>
      <c r="C2254" s="8">
        <v>3027</v>
      </c>
      <c r="D2254" s="16">
        <v>-9.7503810000000007E-3</v>
      </c>
      <c r="E2254" s="8">
        <v>-4.8751905000000003E-3</v>
      </c>
    </row>
    <row r="2255" spans="1:5" x14ac:dyDescent="0.3">
      <c r="A2255" s="8">
        <v>67</v>
      </c>
      <c r="B2255" s="8">
        <v>43</v>
      </c>
      <c r="C2255" s="8">
        <v>3037</v>
      </c>
      <c r="D2255" s="16">
        <v>-3.9156139999999999E-2</v>
      </c>
      <c r="E2255" s="8">
        <v>-1.957807E-2</v>
      </c>
    </row>
    <row r="2256" spans="1:5" x14ac:dyDescent="0.3">
      <c r="A2256" s="8">
        <v>67</v>
      </c>
      <c r="B2256" s="8">
        <v>44</v>
      </c>
      <c r="C2256" s="8">
        <v>3023</v>
      </c>
      <c r="D2256" s="16">
        <v>5.5638960000000001E-2</v>
      </c>
      <c r="E2256" s="8">
        <v>2.7819480000000001E-2</v>
      </c>
    </row>
    <row r="2257" spans="1:5" x14ac:dyDescent="0.3">
      <c r="A2257" s="8">
        <v>67</v>
      </c>
      <c r="B2257" s="8">
        <v>45</v>
      </c>
      <c r="C2257" s="8">
        <v>3048</v>
      </c>
      <c r="D2257" s="16">
        <v>2.786135E-2</v>
      </c>
      <c r="E2257" s="8">
        <v>1.3930675E-2</v>
      </c>
    </row>
    <row r="2258" spans="1:5" x14ac:dyDescent="0.3">
      <c r="A2258" s="8">
        <v>67</v>
      </c>
      <c r="B2258" s="8">
        <v>46</v>
      </c>
      <c r="C2258" s="8">
        <v>3040</v>
      </c>
      <c r="D2258" s="16">
        <v>2.3465529999999998E-2</v>
      </c>
      <c r="E2258" s="8">
        <v>1.1732764999999999E-2</v>
      </c>
    </row>
    <row r="2259" spans="1:5" x14ac:dyDescent="0.3">
      <c r="A2259" s="8">
        <v>67</v>
      </c>
      <c r="B2259" s="8">
        <v>47</v>
      </c>
      <c r="C2259" s="8">
        <v>3026</v>
      </c>
      <c r="D2259" s="16">
        <v>-1.8507740000000002E-2</v>
      </c>
      <c r="E2259" s="8">
        <v>-9.2538700000000008E-3</v>
      </c>
    </row>
    <row r="2260" spans="1:5" x14ac:dyDescent="0.3">
      <c r="A2260" s="8">
        <v>67</v>
      </c>
      <c r="B2260" s="8">
        <v>48</v>
      </c>
      <c r="C2260" s="8">
        <v>3046</v>
      </c>
      <c r="D2260" s="16">
        <v>-2.205741E-2</v>
      </c>
      <c r="E2260" s="8">
        <v>-1.1028705E-2</v>
      </c>
    </row>
    <row r="2261" spans="1:5" x14ac:dyDescent="0.3">
      <c r="A2261" s="8">
        <v>67</v>
      </c>
      <c r="B2261" s="8">
        <v>49</v>
      </c>
      <c r="C2261" s="8">
        <v>3018</v>
      </c>
      <c r="D2261" s="16">
        <v>-2.8107549999999999E-2</v>
      </c>
      <c r="E2261" s="8">
        <v>-1.4053774999999999E-2</v>
      </c>
    </row>
    <row r="2262" spans="1:5" x14ac:dyDescent="0.3">
      <c r="A2262" s="8">
        <v>67</v>
      </c>
      <c r="B2262" s="8">
        <v>50</v>
      </c>
      <c r="C2262" s="8">
        <v>3062</v>
      </c>
      <c r="D2262" s="16">
        <v>1.0219850000000001E-2</v>
      </c>
      <c r="E2262" s="8">
        <v>5.1099250000000004E-3</v>
      </c>
    </row>
    <row r="2263" spans="1:5" x14ac:dyDescent="0.3">
      <c r="A2263" s="8">
        <v>67</v>
      </c>
      <c r="B2263" s="8">
        <v>51</v>
      </c>
      <c r="C2263" s="8">
        <v>3041</v>
      </c>
      <c r="D2263" s="16">
        <v>-4.818737E-2</v>
      </c>
      <c r="E2263" s="8">
        <v>-2.4093685E-2</v>
      </c>
    </row>
    <row r="2264" spans="1:5" x14ac:dyDescent="0.3">
      <c r="A2264" s="8">
        <v>67</v>
      </c>
      <c r="B2264" s="8">
        <v>52</v>
      </c>
      <c r="C2264" s="8">
        <v>3044</v>
      </c>
      <c r="D2264" s="16">
        <v>-4.7723939999999999E-2</v>
      </c>
      <c r="E2264" s="8">
        <v>-2.386197E-2</v>
      </c>
    </row>
    <row r="2265" spans="1:5" x14ac:dyDescent="0.3">
      <c r="A2265" s="8">
        <v>67</v>
      </c>
      <c r="B2265" s="8">
        <v>53</v>
      </c>
      <c r="C2265" s="8">
        <v>3043</v>
      </c>
      <c r="D2265" s="16">
        <v>3.6357130000000001E-2</v>
      </c>
      <c r="E2265" s="8">
        <v>1.8178565000000001E-2</v>
      </c>
    </row>
    <row r="2266" spans="1:5" x14ac:dyDescent="0.3">
      <c r="A2266" s="8">
        <v>67</v>
      </c>
      <c r="B2266" s="8">
        <v>54</v>
      </c>
      <c r="C2266" s="8">
        <v>3031</v>
      </c>
      <c r="D2266" s="16">
        <v>-3.7752380000000002E-2</v>
      </c>
      <c r="E2266" s="8">
        <v>-1.8876190000000001E-2</v>
      </c>
    </row>
    <row r="2267" spans="1:5" x14ac:dyDescent="0.3">
      <c r="A2267" s="8">
        <v>67</v>
      </c>
      <c r="B2267" s="8">
        <v>55</v>
      </c>
      <c r="C2267" s="8">
        <v>3050</v>
      </c>
      <c r="D2267" s="16">
        <v>-5.6865520000000003E-2</v>
      </c>
      <c r="E2267" s="8">
        <v>-2.8432760000000001E-2</v>
      </c>
    </row>
    <row r="2268" spans="1:5" x14ac:dyDescent="0.3">
      <c r="A2268" s="8">
        <v>67</v>
      </c>
      <c r="B2268" s="8">
        <v>56</v>
      </c>
      <c r="C2268" s="8">
        <v>3055</v>
      </c>
      <c r="D2268" s="16">
        <v>9.7079149999999999E-4</v>
      </c>
      <c r="E2268" s="8">
        <v>4.8539575E-4</v>
      </c>
    </row>
    <row r="2269" spans="1:5" x14ac:dyDescent="0.3">
      <c r="A2269" s="8">
        <v>67</v>
      </c>
      <c r="B2269" s="8">
        <v>57</v>
      </c>
      <c r="C2269" s="8">
        <v>3066</v>
      </c>
      <c r="D2269" s="16">
        <v>-1.3188210000000001E-2</v>
      </c>
      <c r="E2269" s="8">
        <v>-6.5941050000000003E-3</v>
      </c>
    </row>
    <row r="2270" spans="1:5" x14ac:dyDescent="0.3">
      <c r="A2270" s="8">
        <v>67</v>
      </c>
      <c r="B2270" s="8">
        <v>58</v>
      </c>
      <c r="C2270" s="8">
        <v>3048</v>
      </c>
      <c r="D2270" s="16">
        <v>-5.2701329999999998E-3</v>
      </c>
      <c r="E2270" s="8">
        <v>-2.6350664999999999E-3</v>
      </c>
    </row>
    <row r="2271" spans="1:5" x14ac:dyDescent="0.3">
      <c r="A2271" s="8">
        <v>67</v>
      </c>
      <c r="B2271" s="8">
        <v>59</v>
      </c>
      <c r="C2271" s="8">
        <v>3060</v>
      </c>
      <c r="D2271" s="16">
        <v>5.4339770000000003E-2</v>
      </c>
      <c r="E2271" s="8">
        <v>2.7169885000000001E-2</v>
      </c>
    </row>
    <row r="2272" spans="1:5" x14ac:dyDescent="0.3">
      <c r="A2272" s="8">
        <v>67</v>
      </c>
      <c r="B2272" s="8">
        <v>60</v>
      </c>
      <c r="C2272" s="8">
        <v>3048</v>
      </c>
      <c r="D2272" s="16">
        <v>-7.9878299999999999E-2</v>
      </c>
      <c r="E2272" s="8">
        <v>-3.993915E-2</v>
      </c>
    </row>
    <row r="2273" spans="1:5" x14ac:dyDescent="0.3">
      <c r="A2273" s="8">
        <v>67</v>
      </c>
      <c r="B2273" s="8">
        <v>61</v>
      </c>
      <c r="C2273" s="8">
        <v>3046</v>
      </c>
      <c r="D2273" s="16">
        <v>5.9382990000000002E-3</v>
      </c>
      <c r="E2273" s="8">
        <v>2.9691495000000001E-3</v>
      </c>
    </row>
    <row r="2274" spans="1:5" x14ac:dyDescent="0.3">
      <c r="A2274" s="8">
        <v>67</v>
      </c>
      <c r="B2274" s="8">
        <v>62</v>
      </c>
      <c r="C2274" s="8">
        <v>3052</v>
      </c>
      <c r="D2274" s="16">
        <v>3.8564439999999998E-2</v>
      </c>
      <c r="E2274" s="8">
        <v>1.9282219999999999E-2</v>
      </c>
    </row>
    <row r="2275" spans="1:5" x14ac:dyDescent="0.3">
      <c r="A2275" s="8">
        <v>67</v>
      </c>
      <c r="B2275" s="8">
        <v>63</v>
      </c>
      <c r="C2275" s="8">
        <v>3054</v>
      </c>
      <c r="D2275" s="16">
        <v>-1.5148089999999999E-2</v>
      </c>
      <c r="E2275" s="8">
        <v>-7.5740449999999997E-3</v>
      </c>
    </row>
    <row r="2276" spans="1:5" x14ac:dyDescent="0.3">
      <c r="A2276" s="8">
        <v>67</v>
      </c>
      <c r="B2276" s="8">
        <v>64</v>
      </c>
      <c r="C2276" s="8">
        <v>3052</v>
      </c>
      <c r="D2276" s="16">
        <v>-9.7864100000000006E-3</v>
      </c>
      <c r="E2276" s="8">
        <v>-4.8932050000000003E-3</v>
      </c>
    </row>
    <row r="2277" spans="1:5" x14ac:dyDescent="0.3">
      <c r="A2277" s="8">
        <v>67</v>
      </c>
      <c r="B2277" s="8">
        <v>65</v>
      </c>
      <c r="C2277" s="8">
        <v>3048</v>
      </c>
      <c r="D2277" s="16">
        <v>-2.8464199999999999E-2</v>
      </c>
      <c r="E2277" s="8">
        <v>-1.4232099999999999E-2</v>
      </c>
    </row>
    <row r="2278" spans="1:5" x14ac:dyDescent="0.3">
      <c r="A2278" s="8">
        <v>67</v>
      </c>
      <c r="B2278" s="8">
        <v>66</v>
      </c>
      <c r="C2278" s="8">
        <v>3052</v>
      </c>
      <c r="D2278" s="16">
        <v>5.9845779999999999E-3</v>
      </c>
      <c r="E2278" s="8">
        <v>2.992289E-3</v>
      </c>
    </row>
    <row r="2279" spans="1:5" x14ac:dyDescent="0.3">
      <c r="A2279" s="8">
        <v>67</v>
      </c>
      <c r="B2279" s="8">
        <v>67</v>
      </c>
      <c r="C2279" s="8">
        <v>3146</v>
      </c>
      <c r="D2279" s="16">
        <v>1.112438</v>
      </c>
      <c r="E2279" s="8"/>
    </row>
    <row r="2280" spans="1:5" x14ac:dyDescent="0.3">
      <c r="A2280" s="8">
        <v>68</v>
      </c>
      <c r="B2280" s="8">
        <v>1</v>
      </c>
      <c r="C2280" s="8">
        <v>3069</v>
      </c>
      <c r="D2280" s="16">
        <v>7.2152620000000001E-3</v>
      </c>
      <c r="E2280" s="8">
        <v>3.607631E-3</v>
      </c>
    </row>
    <row r="2281" spans="1:5" x14ac:dyDescent="0.3">
      <c r="A2281" s="8">
        <v>68</v>
      </c>
      <c r="B2281" s="8">
        <v>2</v>
      </c>
      <c r="C2281" s="8">
        <v>3037</v>
      </c>
      <c r="D2281" s="16">
        <v>-2.5729129999999999E-2</v>
      </c>
      <c r="E2281" s="8">
        <v>-1.2864565E-2</v>
      </c>
    </row>
    <row r="2282" spans="1:5" x14ac:dyDescent="0.3">
      <c r="A2282" s="8">
        <v>68</v>
      </c>
      <c r="B2282" s="8">
        <v>3</v>
      </c>
      <c r="C2282" s="8">
        <v>3055</v>
      </c>
      <c r="D2282" s="16">
        <v>-1.38823E-2</v>
      </c>
      <c r="E2282" s="8">
        <v>-6.9411500000000001E-3</v>
      </c>
    </row>
    <row r="2283" spans="1:5" x14ac:dyDescent="0.3">
      <c r="A2283" s="8">
        <v>68</v>
      </c>
      <c r="B2283" s="8">
        <v>4</v>
      </c>
      <c r="C2283" s="8">
        <v>3033</v>
      </c>
      <c r="D2283" s="16">
        <v>-1.3426759999999999E-2</v>
      </c>
      <c r="E2283" s="8">
        <v>-6.7133799999999997E-3</v>
      </c>
    </row>
    <row r="2284" spans="1:5" x14ac:dyDescent="0.3">
      <c r="A2284" s="8">
        <v>68</v>
      </c>
      <c r="B2284" s="8">
        <v>5</v>
      </c>
      <c r="C2284" s="8">
        <v>3024</v>
      </c>
      <c r="D2284" s="16">
        <v>-4.2000679999999999E-2</v>
      </c>
      <c r="E2284" s="8">
        <v>-2.1000339999999999E-2</v>
      </c>
    </row>
    <row r="2285" spans="1:5" x14ac:dyDescent="0.3">
      <c r="A2285" s="8">
        <v>68</v>
      </c>
      <c r="B2285" s="8">
        <v>6</v>
      </c>
      <c r="C2285" s="8">
        <v>3038</v>
      </c>
      <c r="D2285" s="16">
        <v>-2.6028369999999999E-2</v>
      </c>
      <c r="E2285" s="8">
        <v>-1.3014184999999999E-2</v>
      </c>
    </row>
    <row r="2286" spans="1:5" x14ac:dyDescent="0.3">
      <c r="A2286" s="8">
        <v>68</v>
      </c>
      <c r="B2286" s="8">
        <v>7</v>
      </c>
      <c r="C2286" s="8">
        <v>3040</v>
      </c>
      <c r="D2286" s="16">
        <v>-5.0443630000000003E-2</v>
      </c>
      <c r="E2286" s="8">
        <v>-2.5221815000000002E-2</v>
      </c>
    </row>
    <row r="2287" spans="1:5" x14ac:dyDescent="0.3">
      <c r="A2287" s="8">
        <v>68</v>
      </c>
      <c r="B2287" s="8">
        <v>8</v>
      </c>
      <c r="C2287" s="8">
        <v>3053</v>
      </c>
      <c r="D2287" s="16">
        <v>2.3816400000000001E-2</v>
      </c>
      <c r="E2287" s="8">
        <v>1.1908200000000001E-2</v>
      </c>
    </row>
    <row r="2288" spans="1:5" x14ac:dyDescent="0.3">
      <c r="A2288" s="8">
        <v>68</v>
      </c>
      <c r="B2288" s="8">
        <v>9</v>
      </c>
      <c r="C2288" s="8">
        <v>3052</v>
      </c>
      <c r="D2288" s="16">
        <v>-9.2359450000000006E-3</v>
      </c>
      <c r="E2288" s="8">
        <v>-4.6179725000000003E-3</v>
      </c>
    </row>
    <row r="2289" spans="1:5" x14ac:dyDescent="0.3">
      <c r="A2289" s="8">
        <v>68</v>
      </c>
      <c r="B2289" s="8">
        <v>10</v>
      </c>
      <c r="C2289" s="8">
        <v>3038</v>
      </c>
      <c r="D2289" s="16">
        <v>-1.2480460000000001E-3</v>
      </c>
      <c r="E2289" s="8">
        <v>-6.2402300000000003E-4</v>
      </c>
    </row>
    <row r="2290" spans="1:5" x14ac:dyDescent="0.3">
      <c r="A2290" s="8">
        <v>68</v>
      </c>
      <c r="B2290" s="8">
        <v>11</v>
      </c>
      <c r="C2290" s="8">
        <v>3034</v>
      </c>
      <c r="D2290" s="16">
        <v>-3.856061E-3</v>
      </c>
      <c r="E2290" s="8">
        <v>-1.9280305E-3</v>
      </c>
    </row>
    <row r="2291" spans="1:5" x14ac:dyDescent="0.3">
      <c r="A2291" s="8">
        <v>68</v>
      </c>
      <c r="B2291" s="8">
        <v>12</v>
      </c>
      <c r="C2291" s="8">
        <v>3058</v>
      </c>
      <c r="D2291" s="16">
        <v>2.0386390000000001E-2</v>
      </c>
      <c r="E2291" s="8">
        <v>1.0193195E-2</v>
      </c>
    </row>
    <row r="2292" spans="1:5" x14ac:dyDescent="0.3">
      <c r="A2292" s="8">
        <v>68</v>
      </c>
      <c r="B2292" s="8">
        <v>13</v>
      </c>
      <c r="C2292" s="8">
        <v>3037</v>
      </c>
      <c r="D2292" s="16">
        <v>-3.1486029999999998E-2</v>
      </c>
      <c r="E2292" s="8">
        <v>-1.5743014999999999E-2</v>
      </c>
    </row>
    <row r="2293" spans="1:5" x14ac:dyDescent="0.3">
      <c r="A2293" s="8">
        <v>68</v>
      </c>
      <c r="B2293" s="8">
        <v>14</v>
      </c>
      <c r="C2293" s="8">
        <v>3034</v>
      </c>
      <c r="D2293" s="16">
        <v>1.8120790000000001E-2</v>
      </c>
      <c r="E2293" s="8">
        <v>9.0603950000000006E-3</v>
      </c>
    </row>
    <row r="2294" spans="1:5" x14ac:dyDescent="0.3">
      <c r="A2294" s="8">
        <v>68</v>
      </c>
      <c r="B2294" s="8">
        <v>15</v>
      </c>
      <c r="C2294" s="8">
        <v>3046</v>
      </c>
      <c r="D2294" s="16">
        <v>-4.5178780000000002E-2</v>
      </c>
      <c r="E2294" s="8">
        <v>-2.2589390000000001E-2</v>
      </c>
    </row>
    <row r="2295" spans="1:5" x14ac:dyDescent="0.3">
      <c r="A2295" s="8">
        <v>68</v>
      </c>
      <c r="B2295" s="8">
        <v>16</v>
      </c>
      <c r="C2295" s="8">
        <v>3050</v>
      </c>
      <c r="D2295" s="16">
        <v>-1.1041459999999999E-2</v>
      </c>
      <c r="E2295" s="8">
        <v>-5.5207299999999997E-3</v>
      </c>
    </row>
    <row r="2296" spans="1:5" x14ac:dyDescent="0.3">
      <c r="A2296" s="8">
        <v>68</v>
      </c>
      <c r="B2296" s="8">
        <v>17</v>
      </c>
      <c r="C2296" s="8">
        <v>3045</v>
      </c>
      <c r="D2296" s="16">
        <v>-4.6350030000000004E-3</v>
      </c>
      <c r="E2296" s="8">
        <v>-2.3175015000000002E-3</v>
      </c>
    </row>
    <row r="2297" spans="1:5" x14ac:dyDescent="0.3">
      <c r="A2297" s="8">
        <v>68</v>
      </c>
      <c r="B2297" s="8">
        <v>18</v>
      </c>
      <c r="C2297" s="8">
        <v>3062</v>
      </c>
      <c r="D2297" s="16">
        <v>-9.3225889999999992E-3</v>
      </c>
      <c r="E2297" s="8">
        <v>-4.6612944999999996E-3</v>
      </c>
    </row>
    <row r="2298" spans="1:5" x14ac:dyDescent="0.3">
      <c r="A2298" s="8">
        <v>68</v>
      </c>
      <c r="B2298" s="8">
        <v>19</v>
      </c>
      <c r="C2298" s="8">
        <v>3045</v>
      </c>
      <c r="D2298" s="16">
        <v>-1.455624E-2</v>
      </c>
      <c r="E2298" s="8">
        <v>-7.2781199999999999E-3</v>
      </c>
    </row>
    <row r="2299" spans="1:5" x14ac:dyDescent="0.3">
      <c r="A2299" s="8">
        <v>68</v>
      </c>
      <c r="B2299" s="8">
        <v>20</v>
      </c>
      <c r="C2299" s="8">
        <v>3049</v>
      </c>
      <c r="D2299" s="16">
        <v>-1.575476E-2</v>
      </c>
      <c r="E2299" s="8">
        <v>-7.8773799999999998E-3</v>
      </c>
    </row>
    <row r="2300" spans="1:5" x14ac:dyDescent="0.3">
      <c r="A2300" s="8">
        <v>68</v>
      </c>
      <c r="B2300" s="8">
        <v>21</v>
      </c>
      <c r="C2300" s="8">
        <v>3051</v>
      </c>
      <c r="D2300" s="16">
        <v>-5.3572289999999998E-3</v>
      </c>
      <c r="E2300" s="8">
        <v>-2.6786144999999999E-3</v>
      </c>
    </row>
    <row r="2301" spans="1:5" x14ac:dyDescent="0.3">
      <c r="A2301" s="8">
        <v>68</v>
      </c>
      <c r="B2301" s="8">
        <v>22</v>
      </c>
      <c r="C2301" s="8">
        <v>3035</v>
      </c>
      <c r="D2301" s="16">
        <v>-2.3158189999999999E-2</v>
      </c>
      <c r="E2301" s="8">
        <v>-1.1579094999999999E-2</v>
      </c>
    </row>
    <row r="2302" spans="1:5" x14ac:dyDescent="0.3">
      <c r="A2302" s="8">
        <v>68</v>
      </c>
      <c r="B2302" s="8">
        <v>23</v>
      </c>
      <c r="C2302" s="8">
        <v>3037</v>
      </c>
      <c r="D2302" s="16">
        <v>-1.7167229999999999E-2</v>
      </c>
      <c r="E2302" s="8">
        <v>-8.5836149999999993E-3</v>
      </c>
    </row>
    <row r="2303" spans="1:5" x14ac:dyDescent="0.3">
      <c r="A2303" s="8">
        <v>68</v>
      </c>
      <c r="B2303" s="8">
        <v>24</v>
      </c>
      <c r="C2303" s="8">
        <v>3066</v>
      </c>
      <c r="D2303" s="16">
        <v>-2.8678849999999999E-2</v>
      </c>
      <c r="E2303" s="8">
        <v>-1.4339424999999999E-2</v>
      </c>
    </row>
    <row r="2304" spans="1:5" x14ac:dyDescent="0.3">
      <c r="A2304" s="8">
        <v>68</v>
      </c>
      <c r="B2304" s="8">
        <v>25</v>
      </c>
      <c r="C2304" s="8">
        <v>3046</v>
      </c>
      <c r="D2304" s="16">
        <v>-1.3816119999999999E-2</v>
      </c>
      <c r="E2304" s="8">
        <v>-6.9080599999999997E-3</v>
      </c>
    </row>
    <row r="2305" spans="1:5" x14ac:dyDescent="0.3">
      <c r="A2305" s="8">
        <v>68</v>
      </c>
      <c r="B2305" s="8">
        <v>26</v>
      </c>
      <c r="C2305" s="8">
        <v>3054</v>
      </c>
      <c r="D2305" s="16">
        <v>-4.4634160000000004E-3</v>
      </c>
      <c r="E2305" s="8">
        <v>-2.2317080000000002E-3</v>
      </c>
    </row>
    <row r="2306" spans="1:5" x14ac:dyDescent="0.3">
      <c r="A2306" s="8">
        <v>68</v>
      </c>
      <c r="B2306" s="8">
        <v>27</v>
      </c>
      <c r="C2306" s="8">
        <v>3065</v>
      </c>
      <c r="D2306" s="16">
        <v>-3.3252879999999999E-2</v>
      </c>
      <c r="E2306" s="8">
        <v>-1.6626439999999999E-2</v>
      </c>
    </row>
    <row r="2307" spans="1:5" x14ac:dyDescent="0.3">
      <c r="A2307" s="8">
        <v>68</v>
      </c>
      <c r="B2307" s="8">
        <v>28</v>
      </c>
      <c r="C2307" s="8">
        <v>3034</v>
      </c>
      <c r="D2307" s="16">
        <v>-1.03692E-3</v>
      </c>
      <c r="E2307" s="8">
        <v>-5.1845999999999999E-4</v>
      </c>
    </row>
    <row r="2308" spans="1:5" x14ac:dyDescent="0.3">
      <c r="A2308" s="8">
        <v>68</v>
      </c>
      <c r="B2308" s="8">
        <v>29</v>
      </c>
      <c r="C2308" s="8">
        <v>3037</v>
      </c>
      <c r="D2308" s="16">
        <v>-1.688572E-2</v>
      </c>
      <c r="E2308" s="8">
        <v>-8.4428599999999999E-3</v>
      </c>
    </row>
    <row r="2309" spans="1:5" x14ac:dyDescent="0.3">
      <c r="A2309" s="8">
        <v>68</v>
      </c>
      <c r="B2309" s="8">
        <v>30</v>
      </c>
      <c r="C2309" s="8">
        <v>3049</v>
      </c>
      <c r="D2309" s="16">
        <v>-1.400406E-2</v>
      </c>
      <c r="E2309" s="8">
        <v>-7.0020300000000002E-3</v>
      </c>
    </row>
    <row r="2310" spans="1:5" x14ac:dyDescent="0.3">
      <c r="A2310" s="8">
        <v>68</v>
      </c>
      <c r="B2310" s="8">
        <v>31</v>
      </c>
      <c r="C2310" s="8">
        <v>2971</v>
      </c>
      <c r="D2310" s="16">
        <v>1.8910429999999999E-2</v>
      </c>
      <c r="E2310" s="8">
        <v>9.4552149999999995E-3</v>
      </c>
    </row>
    <row r="2311" spans="1:5" x14ac:dyDescent="0.3">
      <c r="A2311" s="8">
        <v>68</v>
      </c>
      <c r="B2311" s="8">
        <v>32</v>
      </c>
      <c r="C2311" s="8">
        <v>3029</v>
      </c>
      <c r="D2311" s="16">
        <v>-1.1040339999999999E-2</v>
      </c>
      <c r="E2311" s="8">
        <v>-5.5201699999999996E-3</v>
      </c>
    </row>
    <row r="2312" spans="1:5" x14ac:dyDescent="0.3">
      <c r="A2312" s="8">
        <v>68</v>
      </c>
      <c r="B2312" s="8">
        <v>33</v>
      </c>
      <c r="C2312" s="8">
        <v>3062</v>
      </c>
      <c r="D2312" s="16">
        <v>-4.2590990000000002E-2</v>
      </c>
      <c r="E2312" s="8">
        <v>-2.1295495000000001E-2</v>
      </c>
    </row>
    <row r="2313" spans="1:5" x14ac:dyDescent="0.3">
      <c r="A2313" s="8">
        <v>68</v>
      </c>
      <c r="B2313" s="8">
        <v>34</v>
      </c>
      <c r="C2313" s="8">
        <v>3053</v>
      </c>
      <c r="D2313" s="16">
        <v>3.951207E-3</v>
      </c>
      <c r="E2313" s="8">
        <v>1.9756035E-3</v>
      </c>
    </row>
    <row r="2314" spans="1:5" x14ac:dyDescent="0.3">
      <c r="A2314" s="8">
        <v>68</v>
      </c>
      <c r="B2314" s="8">
        <v>35</v>
      </c>
      <c r="C2314" s="8">
        <v>3048</v>
      </c>
      <c r="D2314" s="16">
        <v>-2.8001740000000001E-2</v>
      </c>
      <c r="E2314" s="8">
        <v>-1.400087E-2</v>
      </c>
    </row>
    <row r="2315" spans="1:5" x14ac:dyDescent="0.3">
      <c r="A2315" s="8">
        <v>68</v>
      </c>
      <c r="B2315" s="8">
        <v>36</v>
      </c>
      <c r="C2315" s="8">
        <v>3054</v>
      </c>
      <c r="D2315" s="16">
        <v>-4.8513340000000002E-2</v>
      </c>
      <c r="E2315" s="8">
        <v>-2.4256670000000001E-2</v>
      </c>
    </row>
    <row r="2316" spans="1:5" x14ac:dyDescent="0.3">
      <c r="A2316" s="8">
        <v>68</v>
      </c>
      <c r="B2316" s="8">
        <v>37</v>
      </c>
      <c r="C2316" s="8">
        <v>3017</v>
      </c>
      <c r="D2316" s="16">
        <v>1.087051E-2</v>
      </c>
      <c r="E2316" s="8">
        <v>5.4352549999999999E-3</v>
      </c>
    </row>
    <row r="2317" spans="1:5" x14ac:dyDescent="0.3">
      <c r="A2317" s="8">
        <v>68</v>
      </c>
      <c r="B2317" s="8">
        <v>38</v>
      </c>
      <c r="C2317" s="8">
        <v>3064</v>
      </c>
      <c r="D2317" s="16">
        <v>-4.3755770000000003E-3</v>
      </c>
      <c r="E2317" s="8">
        <v>-2.1877885000000001E-3</v>
      </c>
    </row>
    <row r="2318" spans="1:5" x14ac:dyDescent="0.3">
      <c r="A2318" s="8">
        <v>68</v>
      </c>
      <c r="B2318" s="8">
        <v>39</v>
      </c>
      <c r="C2318" s="8">
        <v>3056</v>
      </c>
      <c r="D2318" s="16">
        <v>-5.4412299999999997E-2</v>
      </c>
      <c r="E2318" s="8">
        <v>-2.7206149999999998E-2</v>
      </c>
    </row>
    <row r="2319" spans="1:5" x14ac:dyDescent="0.3">
      <c r="A2319" s="8">
        <v>68</v>
      </c>
      <c r="B2319" s="8">
        <v>40</v>
      </c>
      <c r="C2319" s="8">
        <v>3050</v>
      </c>
      <c r="D2319" s="16">
        <v>-2.5917519999999999E-2</v>
      </c>
      <c r="E2319" s="8">
        <v>-1.295876E-2</v>
      </c>
    </row>
    <row r="2320" spans="1:5" x14ac:dyDescent="0.3">
      <c r="A2320" s="8">
        <v>68</v>
      </c>
      <c r="B2320" s="8">
        <v>41</v>
      </c>
      <c r="C2320" s="8">
        <v>3024</v>
      </c>
      <c r="D2320" s="16">
        <v>-3.0035300000000001E-2</v>
      </c>
      <c r="E2320" s="8">
        <v>-1.501765E-2</v>
      </c>
    </row>
    <row r="2321" spans="1:5" x14ac:dyDescent="0.3">
      <c r="A2321" s="8">
        <v>68</v>
      </c>
      <c r="B2321" s="8">
        <v>42</v>
      </c>
      <c r="C2321" s="8">
        <v>3020</v>
      </c>
      <c r="D2321" s="16">
        <v>-1.075249E-2</v>
      </c>
      <c r="E2321" s="8">
        <v>-5.376245E-3</v>
      </c>
    </row>
    <row r="2322" spans="1:5" x14ac:dyDescent="0.3">
      <c r="A2322" s="8">
        <v>68</v>
      </c>
      <c r="B2322" s="8">
        <v>43</v>
      </c>
      <c r="C2322" s="8">
        <v>3034</v>
      </c>
      <c r="D2322" s="16">
        <v>-2.9136619999999998E-2</v>
      </c>
      <c r="E2322" s="8">
        <v>-1.4568309999999999E-2</v>
      </c>
    </row>
    <row r="2323" spans="1:5" x14ac:dyDescent="0.3">
      <c r="A2323" s="8">
        <v>68</v>
      </c>
      <c r="B2323" s="8">
        <v>44</v>
      </c>
      <c r="C2323" s="8">
        <v>3016</v>
      </c>
      <c r="D2323" s="16">
        <v>2.395564E-2</v>
      </c>
      <c r="E2323" s="8">
        <v>1.197782E-2</v>
      </c>
    </row>
    <row r="2324" spans="1:5" x14ac:dyDescent="0.3">
      <c r="A2324" s="8">
        <v>68</v>
      </c>
      <c r="B2324" s="8">
        <v>45</v>
      </c>
      <c r="C2324" s="8">
        <v>3047</v>
      </c>
      <c r="D2324" s="16">
        <v>-4.7905159999999999E-3</v>
      </c>
      <c r="E2324" s="8">
        <v>-2.3952579999999999E-3</v>
      </c>
    </row>
    <row r="2325" spans="1:5" x14ac:dyDescent="0.3">
      <c r="A2325" s="8">
        <v>68</v>
      </c>
      <c r="B2325" s="8">
        <v>46</v>
      </c>
      <c r="C2325" s="8">
        <v>3040</v>
      </c>
      <c r="D2325" s="16">
        <v>-4.3647829999999999E-2</v>
      </c>
      <c r="E2325" s="8">
        <v>-2.1823914999999999E-2</v>
      </c>
    </row>
    <row r="2326" spans="1:5" x14ac:dyDescent="0.3">
      <c r="A2326" s="8">
        <v>68</v>
      </c>
      <c r="B2326" s="8">
        <v>47</v>
      </c>
      <c r="C2326" s="8">
        <v>3024</v>
      </c>
      <c r="D2326" s="16">
        <v>-6.4407350000000004E-3</v>
      </c>
      <c r="E2326" s="8">
        <v>-3.2203675000000002E-3</v>
      </c>
    </row>
    <row r="2327" spans="1:5" x14ac:dyDescent="0.3">
      <c r="A2327" s="8">
        <v>68</v>
      </c>
      <c r="B2327" s="8">
        <v>48</v>
      </c>
      <c r="C2327" s="8">
        <v>3042</v>
      </c>
      <c r="D2327" s="16">
        <v>-1.825069E-2</v>
      </c>
      <c r="E2327" s="8">
        <v>-9.125345E-3</v>
      </c>
    </row>
    <row r="2328" spans="1:5" x14ac:dyDescent="0.3">
      <c r="A2328" s="8">
        <v>68</v>
      </c>
      <c r="B2328" s="8">
        <v>49</v>
      </c>
      <c r="C2328" s="8">
        <v>3018</v>
      </c>
      <c r="D2328" s="16">
        <v>6.2551580000000002E-3</v>
      </c>
      <c r="E2328" s="8">
        <v>3.1275790000000001E-3</v>
      </c>
    </row>
    <row r="2329" spans="1:5" x14ac:dyDescent="0.3">
      <c r="A2329" s="8">
        <v>68</v>
      </c>
      <c r="B2329" s="8">
        <v>50</v>
      </c>
      <c r="C2329" s="8">
        <v>3060</v>
      </c>
      <c r="D2329" s="16">
        <v>-2.353628E-2</v>
      </c>
      <c r="E2329" s="8">
        <v>-1.176814E-2</v>
      </c>
    </row>
    <row r="2330" spans="1:5" x14ac:dyDescent="0.3">
      <c r="A2330" s="8">
        <v>68</v>
      </c>
      <c r="B2330" s="8">
        <v>51</v>
      </c>
      <c r="C2330" s="8">
        <v>3042</v>
      </c>
      <c r="D2330" s="16">
        <v>-2.8709870000000002E-3</v>
      </c>
      <c r="E2330" s="8">
        <v>-1.4354935000000001E-3</v>
      </c>
    </row>
    <row r="2331" spans="1:5" x14ac:dyDescent="0.3">
      <c r="A2331" s="8">
        <v>68</v>
      </c>
      <c r="B2331" s="8">
        <v>52</v>
      </c>
      <c r="C2331" s="8">
        <v>3045</v>
      </c>
      <c r="D2331" s="16">
        <v>-5.6680439999999999E-2</v>
      </c>
      <c r="E2331" s="8">
        <v>-2.8340219999999999E-2</v>
      </c>
    </row>
    <row r="2332" spans="1:5" x14ac:dyDescent="0.3">
      <c r="A2332" s="8">
        <v>68</v>
      </c>
      <c r="B2332" s="8">
        <v>53</v>
      </c>
      <c r="C2332" s="8">
        <v>3039</v>
      </c>
      <c r="D2332" s="16">
        <v>2.98285E-3</v>
      </c>
      <c r="E2332" s="8">
        <v>1.491425E-3</v>
      </c>
    </row>
    <row r="2333" spans="1:5" x14ac:dyDescent="0.3">
      <c r="A2333" s="8">
        <v>68</v>
      </c>
      <c r="B2333" s="8">
        <v>54</v>
      </c>
      <c r="C2333" s="8">
        <v>3032</v>
      </c>
      <c r="D2333" s="16">
        <v>-4.3734460000000003E-2</v>
      </c>
      <c r="E2333" s="8">
        <v>-2.1867230000000001E-2</v>
      </c>
    </row>
    <row r="2334" spans="1:5" x14ac:dyDescent="0.3">
      <c r="A2334" s="8">
        <v>68</v>
      </c>
      <c r="B2334" s="8">
        <v>55</v>
      </c>
      <c r="C2334" s="8">
        <v>3049</v>
      </c>
      <c r="D2334" s="16">
        <v>-2.3229920000000001E-2</v>
      </c>
      <c r="E2334" s="8">
        <v>-1.1614960000000001E-2</v>
      </c>
    </row>
    <row r="2335" spans="1:5" x14ac:dyDescent="0.3">
      <c r="A2335" s="8">
        <v>68</v>
      </c>
      <c r="B2335" s="8">
        <v>56</v>
      </c>
      <c r="C2335" s="8">
        <v>3055</v>
      </c>
      <c r="D2335" s="16">
        <v>-1.5910799999999999E-2</v>
      </c>
      <c r="E2335" s="8">
        <v>-7.9553999999999996E-3</v>
      </c>
    </row>
    <row r="2336" spans="1:5" x14ac:dyDescent="0.3">
      <c r="A2336" s="8">
        <v>68</v>
      </c>
      <c r="B2336" s="8">
        <v>57</v>
      </c>
      <c r="C2336" s="8">
        <v>3065</v>
      </c>
      <c r="D2336" s="16">
        <v>2.7136809999999999E-3</v>
      </c>
      <c r="E2336" s="8">
        <v>1.3568405E-3</v>
      </c>
    </row>
    <row r="2337" spans="1:5" x14ac:dyDescent="0.3">
      <c r="A2337" s="8">
        <v>68</v>
      </c>
      <c r="B2337" s="8">
        <v>58</v>
      </c>
      <c r="C2337" s="8">
        <v>3048</v>
      </c>
      <c r="D2337" s="16">
        <v>-1.81989E-2</v>
      </c>
      <c r="E2337" s="8">
        <v>-9.0994500000000002E-3</v>
      </c>
    </row>
    <row r="2338" spans="1:5" x14ac:dyDescent="0.3">
      <c r="A2338" s="8">
        <v>68</v>
      </c>
      <c r="B2338" s="8">
        <v>59</v>
      </c>
      <c r="C2338" s="8">
        <v>3051</v>
      </c>
      <c r="D2338" s="16">
        <v>-2.834849E-2</v>
      </c>
      <c r="E2338" s="8">
        <v>-1.4174245E-2</v>
      </c>
    </row>
    <row r="2339" spans="1:5" x14ac:dyDescent="0.3">
      <c r="A2339" s="8">
        <v>68</v>
      </c>
      <c r="B2339" s="8">
        <v>60</v>
      </c>
      <c r="C2339" s="8">
        <v>3043</v>
      </c>
      <c r="D2339" s="16">
        <v>1.8072729999999999E-2</v>
      </c>
      <c r="E2339" s="8">
        <v>9.0363649999999993E-3</v>
      </c>
    </row>
    <row r="2340" spans="1:5" x14ac:dyDescent="0.3">
      <c r="A2340" s="8">
        <v>68</v>
      </c>
      <c r="B2340" s="8">
        <v>61</v>
      </c>
      <c r="C2340" s="8">
        <v>3045</v>
      </c>
      <c r="D2340" s="16">
        <v>-2.3997629999999999E-2</v>
      </c>
      <c r="E2340" s="8">
        <v>-1.1998814999999999E-2</v>
      </c>
    </row>
    <row r="2341" spans="1:5" x14ac:dyDescent="0.3">
      <c r="A2341" s="8">
        <v>68</v>
      </c>
      <c r="B2341" s="8">
        <v>62</v>
      </c>
      <c r="C2341" s="8">
        <v>3051</v>
      </c>
      <c r="D2341" s="16">
        <v>5.4554249999999999E-3</v>
      </c>
      <c r="E2341" s="8">
        <v>2.7277124999999999E-3</v>
      </c>
    </row>
    <row r="2342" spans="1:5" x14ac:dyDescent="0.3">
      <c r="A2342" s="8">
        <v>68</v>
      </c>
      <c r="B2342" s="8">
        <v>63</v>
      </c>
      <c r="C2342" s="8">
        <v>3051</v>
      </c>
      <c r="D2342" s="16">
        <v>-2.2352190000000001E-2</v>
      </c>
      <c r="E2342" s="8">
        <v>-1.1176095E-2</v>
      </c>
    </row>
    <row r="2343" spans="1:5" x14ac:dyDescent="0.3">
      <c r="A2343" s="8">
        <v>68</v>
      </c>
      <c r="B2343" s="8">
        <v>64</v>
      </c>
      <c r="C2343" s="8">
        <v>3055</v>
      </c>
      <c r="D2343" s="16">
        <v>-3.3901720000000003E-2</v>
      </c>
      <c r="E2343" s="8">
        <v>-1.6950860000000002E-2</v>
      </c>
    </row>
    <row r="2344" spans="1:5" x14ac:dyDescent="0.3">
      <c r="A2344" s="8">
        <v>68</v>
      </c>
      <c r="B2344" s="8">
        <v>65</v>
      </c>
      <c r="C2344" s="8">
        <v>3049</v>
      </c>
      <c r="D2344" s="16">
        <v>-1.9960490000000001E-2</v>
      </c>
      <c r="E2344" s="8">
        <v>-9.9802450000000004E-3</v>
      </c>
    </row>
    <row r="2345" spans="1:5" x14ac:dyDescent="0.3">
      <c r="A2345" s="8">
        <v>68</v>
      </c>
      <c r="B2345" s="8">
        <v>66</v>
      </c>
      <c r="C2345" s="8">
        <v>3048</v>
      </c>
      <c r="D2345" s="16">
        <v>1.7018129999999999E-2</v>
      </c>
      <c r="E2345" s="8">
        <v>8.5090649999999997E-3</v>
      </c>
    </row>
    <row r="2346" spans="1:5" x14ac:dyDescent="0.3">
      <c r="A2346" s="8">
        <v>68</v>
      </c>
      <c r="B2346" s="8">
        <v>67</v>
      </c>
      <c r="C2346" s="8">
        <v>3043</v>
      </c>
      <c r="D2346" s="16">
        <v>-9.2824190000000001E-3</v>
      </c>
      <c r="E2346" s="8">
        <v>-4.6412095E-3</v>
      </c>
    </row>
    <row r="2347" spans="1:5" x14ac:dyDescent="0.3">
      <c r="A2347" s="8">
        <v>68</v>
      </c>
      <c r="B2347" s="8">
        <v>68</v>
      </c>
      <c r="C2347" s="8">
        <v>3144</v>
      </c>
      <c r="D2347" s="16">
        <v>1.0748850000000001</v>
      </c>
      <c r="E2347" s="8"/>
    </row>
    <row r="2348" spans="1:5" x14ac:dyDescent="0.3">
      <c r="A2348" s="8">
        <v>69</v>
      </c>
      <c r="B2348" s="8">
        <v>1</v>
      </c>
      <c r="C2348" s="8">
        <v>3072</v>
      </c>
      <c r="D2348" s="16">
        <v>-3.4627520000000002E-2</v>
      </c>
      <c r="E2348" s="8">
        <v>-1.7313760000000001E-2</v>
      </c>
    </row>
    <row r="2349" spans="1:5" x14ac:dyDescent="0.3">
      <c r="A2349" s="8">
        <v>69</v>
      </c>
      <c r="B2349" s="8">
        <v>2</v>
      </c>
      <c r="C2349" s="8">
        <v>3037</v>
      </c>
      <c r="D2349" s="16">
        <v>3.8312510000000001E-2</v>
      </c>
      <c r="E2349" s="8">
        <v>1.9156255000000001E-2</v>
      </c>
    </row>
    <row r="2350" spans="1:5" x14ac:dyDescent="0.3">
      <c r="A2350" s="8">
        <v>69</v>
      </c>
      <c r="B2350" s="8">
        <v>3</v>
      </c>
      <c r="C2350" s="8">
        <v>3069</v>
      </c>
      <c r="D2350" s="16">
        <v>3.4116350000000001E-3</v>
      </c>
      <c r="E2350" s="8">
        <v>1.7058175000000001E-3</v>
      </c>
    </row>
    <row r="2351" spans="1:5" x14ac:dyDescent="0.3">
      <c r="A2351" s="8">
        <v>69</v>
      </c>
      <c r="B2351" s="8">
        <v>4</v>
      </c>
      <c r="C2351" s="8">
        <v>3041</v>
      </c>
      <c r="D2351" s="16">
        <v>-2.6363480000000002E-2</v>
      </c>
      <c r="E2351" s="8">
        <v>-1.3181740000000001E-2</v>
      </c>
    </row>
    <row r="2352" spans="1:5" x14ac:dyDescent="0.3">
      <c r="A2352" s="8">
        <v>69</v>
      </c>
      <c r="B2352" s="8">
        <v>5</v>
      </c>
      <c r="C2352" s="8">
        <v>3028</v>
      </c>
      <c r="D2352" s="16">
        <v>-3.6432949999999999E-2</v>
      </c>
      <c r="E2352" s="8">
        <v>-1.8216474999999999E-2</v>
      </c>
    </row>
    <row r="2353" spans="1:5" x14ac:dyDescent="0.3">
      <c r="A2353" s="8">
        <v>69</v>
      </c>
      <c r="B2353" s="8">
        <v>6</v>
      </c>
      <c r="C2353" s="8">
        <v>3050</v>
      </c>
      <c r="D2353" s="16">
        <v>-1.399588E-2</v>
      </c>
      <c r="E2353" s="8">
        <v>-6.9979400000000002E-3</v>
      </c>
    </row>
    <row r="2354" spans="1:5" x14ac:dyDescent="0.3">
      <c r="A2354" s="8">
        <v>69</v>
      </c>
      <c r="B2354" s="8">
        <v>7</v>
      </c>
      <c r="C2354" s="8">
        <v>3043</v>
      </c>
      <c r="D2354" s="16">
        <v>-2.285324E-2</v>
      </c>
      <c r="E2354" s="8">
        <v>-1.142662E-2</v>
      </c>
    </row>
    <row r="2355" spans="1:5" x14ac:dyDescent="0.3">
      <c r="A2355" s="8">
        <v>69</v>
      </c>
      <c r="B2355" s="8">
        <v>8</v>
      </c>
      <c r="C2355" s="8">
        <v>3061</v>
      </c>
      <c r="D2355" s="16">
        <v>7.3228030000000001E-3</v>
      </c>
      <c r="E2355" s="8">
        <v>3.6614015000000001E-3</v>
      </c>
    </row>
    <row r="2356" spans="1:5" x14ac:dyDescent="0.3">
      <c r="A2356" s="8">
        <v>69</v>
      </c>
      <c r="B2356" s="8">
        <v>9</v>
      </c>
      <c r="C2356" s="8">
        <v>3052</v>
      </c>
      <c r="D2356" s="16">
        <v>-7.3309719999999995E-2</v>
      </c>
      <c r="E2356" s="8">
        <v>-3.6654859999999997E-2</v>
      </c>
    </row>
    <row r="2357" spans="1:5" x14ac:dyDescent="0.3">
      <c r="A2357" s="8">
        <v>69</v>
      </c>
      <c r="B2357" s="8">
        <v>10</v>
      </c>
      <c r="C2357" s="8">
        <v>3045</v>
      </c>
      <c r="D2357" s="16">
        <v>-1.576849E-2</v>
      </c>
      <c r="E2357" s="8">
        <v>-7.8842449999999998E-3</v>
      </c>
    </row>
    <row r="2358" spans="1:5" x14ac:dyDescent="0.3">
      <c r="A2358" s="8">
        <v>69</v>
      </c>
      <c r="B2358" s="8">
        <v>11</v>
      </c>
      <c r="C2358" s="8">
        <v>3045</v>
      </c>
      <c r="D2358" s="16">
        <v>1.8957620000000001E-2</v>
      </c>
      <c r="E2358" s="8">
        <v>9.4788100000000007E-3</v>
      </c>
    </row>
    <row r="2359" spans="1:5" x14ac:dyDescent="0.3">
      <c r="A2359" s="8">
        <v>69</v>
      </c>
      <c r="B2359" s="8">
        <v>12</v>
      </c>
      <c r="C2359" s="8">
        <v>3063</v>
      </c>
      <c r="D2359" s="16">
        <v>-7.1836319999999997E-3</v>
      </c>
      <c r="E2359" s="8">
        <v>-3.5918159999999998E-3</v>
      </c>
    </row>
    <row r="2360" spans="1:5" x14ac:dyDescent="0.3">
      <c r="A2360" s="8">
        <v>69</v>
      </c>
      <c r="B2360" s="8">
        <v>13</v>
      </c>
      <c r="C2360" s="8">
        <v>3041</v>
      </c>
      <c r="D2360" s="16">
        <v>-1.109589E-3</v>
      </c>
      <c r="E2360" s="8">
        <v>-5.5479450000000001E-4</v>
      </c>
    </row>
    <row r="2361" spans="1:5" x14ac:dyDescent="0.3">
      <c r="A2361" s="8">
        <v>69</v>
      </c>
      <c r="B2361" s="8">
        <v>14</v>
      </c>
      <c r="C2361" s="8">
        <v>3040</v>
      </c>
      <c r="D2361" s="16">
        <v>-4.2060930000000003E-2</v>
      </c>
      <c r="E2361" s="8">
        <v>-2.1030465000000002E-2</v>
      </c>
    </row>
    <row r="2362" spans="1:5" x14ac:dyDescent="0.3">
      <c r="A2362" s="8">
        <v>69</v>
      </c>
      <c r="B2362" s="8">
        <v>15</v>
      </c>
      <c r="C2362" s="8">
        <v>3052</v>
      </c>
      <c r="D2362" s="16">
        <v>7.2110900000000006E-2</v>
      </c>
      <c r="E2362" s="8">
        <v>3.6055450000000003E-2</v>
      </c>
    </row>
    <row r="2363" spans="1:5" x14ac:dyDescent="0.3">
      <c r="A2363" s="8">
        <v>69</v>
      </c>
      <c r="B2363" s="8">
        <v>16</v>
      </c>
      <c r="C2363" s="8">
        <v>3055</v>
      </c>
      <c r="D2363" s="16">
        <v>4.2806980000000001E-2</v>
      </c>
      <c r="E2363" s="8">
        <v>2.1403490000000001E-2</v>
      </c>
    </row>
    <row r="2364" spans="1:5" x14ac:dyDescent="0.3">
      <c r="A2364" s="8">
        <v>69</v>
      </c>
      <c r="B2364" s="8">
        <v>17</v>
      </c>
      <c r="C2364" s="8">
        <v>3050</v>
      </c>
      <c r="D2364" s="16">
        <v>-1.6860030000000002E-2</v>
      </c>
      <c r="E2364" s="8">
        <v>-8.4300150000000008E-3</v>
      </c>
    </row>
    <row r="2365" spans="1:5" x14ac:dyDescent="0.3">
      <c r="A2365" s="8">
        <v>69</v>
      </c>
      <c r="B2365" s="8">
        <v>18</v>
      </c>
      <c r="C2365" s="8">
        <v>3069</v>
      </c>
      <c r="D2365" s="16">
        <v>-2.2483280000000001E-2</v>
      </c>
      <c r="E2365" s="8">
        <v>-1.1241640000000001E-2</v>
      </c>
    </row>
    <row r="2366" spans="1:5" x14ac:dyDescent="0.3">
      <c r="A2366" s="8">
        <v>69</v>
      </c>
      <c r="B2366" s="8">
        <v>19</v>
      </c>
      <c r="C2366" s="8">
        <v>3054</v>
      </c>
      <c r="D2366" s="16">
        <v>1.3341230000000001E-2</v>
      </c>
      <c r="E2366" s="8">
        <v>6.6706150000000004E-3</v>
      </c>
    </row>
    <row r="2367" spans="1:5" x14ac:dyDescent="0.3">
      <c r="A2367" s="8">
        <v>69</v>
      </c>
      <c r="B2367" s="8">
        <v>20</v>
      </c>
      <c r="C2367" s="8">
        <v>3052</v>
      </c>
      <c r="D2367" s="16">
        <v>4.3822689999999998E-4</v>
      </c>
      <c r="E2367" s="8">
        <v>2.1911344999999999E-4</v>
      </c>
    </row>
    <row r="2368" spans="1:5" x14ac:dyDescent="0.3">
      <c r="A2368" s="8">
        <v>69</v>
      </c>
      <c r="B2368" s="8">
        <v>21</v>
      </c>
      <c r="C2368" s="8">
        <v>3055</v>
      </c>
      <c r="D2368" s="16">
        <v>1.706976E-2</v>
      </c>
      <c r="E2368" s="8">
        <v>8.5348799999999999E-3</v>
      </c>
    </row>
    <row r="2369" spans="1:5" x14ac:dyDescent="0.3">
      <c r="A2369" s="8">
        <v>69</v>
      </c>
      <c r="B2369" s="8">
        <v>22</v>
      </c>
      <c r="C2369" s="8">
        <v>3047</v>
      </c>
      <c r="D2369" s="16">
        <v>1.9007329999999999E-2</v>
      </c>
      <c r="E2369" s="8">
        <v>9.5036649999999997E-3</v>
      </c>
    </row>
    <row r="2370" spans="1:5" x14ac:dyDescent="0.3">
      <c r="A2370" s="8">
        <v>69</v>
      </c>
      <c r="B2370" s="8">
        <v>23</v>
      </c>
      <c r="C2370" s="8">
        <v>3043</v>
      </c>
      <c r="D2370" s="16">
        <v>7.7451710000000003E-3</v>
      </c>
      <c r="E2370" s="8">
        <v>3.8725855000000002E-3</v>
      </c>
    </row>
    <row r="2371" spans="1:5" x14ac:dyDescent="0.3">
      <c r="A2371" s="8">
        <v>69</v>
      </c>
      <c r="B2371" s="8">
        <v>24</v>
      </c>
      <c r="C2371" s="8">
        <v>3065</v>
      </c>
      <c r="D2371" s="16">
        <v>1.910831E-2</v>
      </c>
      <c r="E2371" s="8">
        <v>9.5541549999999999E-3</v>
      </c>
    </row>
    <row r="2372" spans="1:5" x14ac:dyDescent="0.3">
      <c r="A2372" s="8">
        <v>69</v>
      </c>
      <c r="B2372" s="8">
        <v>25</v>
      </c>
      <c r="C2372" s="8">
        <v>3050</v>
      </c>
      <c r="D2372" s="16">
        <v>-1.9381949999999998E-2</v>
      </c>
      <c r="E2372" s="8">
        <v>-9.6909749999999992E-3</v>
      </c>
    </row>
    <row r="2373" spans="1:5" x14ac:dyDescent="0.3">
      <c r="A2373" s="8">
        <v>69</v>
      </c>
      <c r="B2373" s="8">
        <v>26</v>
      </c>
      <c r="C2373" s="8">
        <v>3060</v>
      </c>
      <c r="D2373" s="16">
        <v>-4.9939210000000001E-3</v>
      </c>
      <c r="E2373" s="8">
        <v>-2.4969605000000001E-3</v>
      </c>
    </row>
    <row r="2374" spans="1:5" x14ac:dyDescent="0.3">
      <c r="A2374" s="8">
        <v>69</v>
      </c>
      <c r="B2374" s="8">
        <v>27</v>
      </c>
      <c r="C2374" s="8">
        <v>3068</v>
      </c>
      <c r="D2374" s="16">
        <v>-5.9535999999999999E-2</v>
      </c>
      <c r="E2374" s="8">
        <v>-2.9767999999999999E-2</v>
      </c>
    </row>
    <row r="2375" spans="1:5" x14ac:dyDescent="0.3">
      <c r="A2375" s="8">
        <v>69</v>
      </c>
      <c r="B2375" s="8">
        <v>28</v>
      </c>
      <c r="C2375" s="8">
        <v>3035</v>
      </c>
      <c r="D2375" s="16">
        <v>-1.69178E-2</v>
      </c>
      <c r="E2375" s="8">
        <v>-8.4589000000000001E-3</v>
      </c>
    </row>
    <row r="2376" spans="1:5" x14ac:dyDescent="0.3">
      <c r="A2376" s="8">
        <v>69</v>
      </c>
      <c r="B2376" s="8">
        <v>29</v>
      </c>
      <c r="C2376" s="8">
        <v>3044</v>
      </c>
      <c r="D2376" s="16">
        <v>-1.06926E-2</v>
      </c>
      <c r="E2376" s="8">
        <v>-5.3463E-3</v>
      </c>
    </row>
    <row r="2377" spans="1:5" x14ac:dyDescent="0.3">
      <c r="A2377" s="8">
        <v>69</v>
      </c>
      <c r="B2377" s="8">
        <v>30</v>
      </c>
      <c r="C2377" s="8">
        <v>3051</v>
      </c>
      <c r="D2377" s="16">
        <v>-1.057612E-2</v>
      </c>
      <c r="E2377" s="8">
        <v>-5.2880599999999998E-3</v>
      </c>
    </row>
    <row r="2378" spans="1:5" x14ac:dyDescent="0.3">
      <c r="A2378" s="8">
        <v>69</v>
      </c>
      <c r="B2378" s="8">
        <v>31</v>
      </c>
      <c r="C2378" s="8">
        <v>2974</v>
      </c>
      <c r="D2378" s="16">
        <v>-4.4512320000000001E-2</v>
      </c>
      <c r="E2378" s="8">
        <v>-2.2256160000000001E-2</v>
      </c>
    </row>
    <row r="2379" spans="1:5" x14ac:dyDescent="0.3">
      <c r="A2379" s="8">
        <v>69</v>
      </c>
      <c r="B2379" s="8">
        <v>32</v>
      </c>
      <c r="C2379" s="8">
        <v>3036</v>
      </c>
      <c r="D2379" s="16">
        <v>-2.2662399999999999E-2</v>
      </c>
      <c r="E2379" s="8">
        <v>-1.13312E-2</v>
      </c>
    </row>
    <row r="2380" spans="1:5" x14ac:dyDescent="0.3">
      <c r="A2380" s="8">
        <v>69</v>
      </c>
      <c r="B2380" s="8">
        <v>33</v>
      </c>
      <c r="C2380" s="8">
        <v>3068</v>
      </c>
      <c r="D2380" s="16">
        <v>-1.138788E-2</v>
      </c>
      <c r="E2380" s="8">
        <v>-5.6939399999999998E-3</v>
      </c>
    </row>
    <row r="2381" spans="1:5" x14ac:dyDescent="0.3">
      <c r="A2381" s="8">
        <v>69</v>
      </c>
      <c r="B2381" s="8">
        <v>34</v>
      </c>
      <c r="C2381" s="8">
        <v>3058</v>
      </c>
      <c r="D2381" s="16">
        <v>3.7384859999999999E-2</v>
      </c>
      <c r="E2381" s="8">
        <v>1.8692429999999999E-2</v>
      </c>
    </row>
    <row r="2382" spans="1:5" x14ac:dyDescent="0.3">
      <c r="A2382" s="8">
        <v>69</v>
      </c>
      <c r="B2382" s="8">
        <v>35</v>
      </c>
      <c r="C2382" s="8">
        <v>3052</v>
      </c>
      <c r="D2382" s="16">
        <v>-4.8896830000000002E-2</v>
      </c>
      <c r="E2382" s="8">
        <v>-2.4448415000000001E-2</v>
      </c>
    </row>
    <row r="2383" spans="1:5" x14ac:dyDescent="0.3">
      <c r="A2383" s="8">
        <v>69</v>
      </c>
      <c r="B2383" s="8">
        <v>36</v>
      </c>
      <c r="C2383" s="8">
        <v>3061</v>
      </c>
      <c r="D2383" s="16">
        <v>-4.5104919999999996E-3</v>
      </c>
      <c r="E2383" s="8">
        <v>-2.2552459999999998E-3</v>
      </c>
    </row>
    <row r="2384" spans="1:5" x14ac:dyDescent="0.3">
      <c r="A2384" s="8">
        <v>69</v>
      </c>
      <c r="B2384" s="8">
        <v>37</v>
      </c>
      <c r="C2384" s="8">
        <v>3024</v>
      </c>
      <c r="D2384" s="16">
        <v>-1.480773E-2</v>
      </c>
      <c r="E2384" s="8">
        <v>-7.4038649999999999E-3</v>
      </c>
    </row>
    <row r="2385" spans="1:5" x14ac:dyDescent="0.3">
      <c r="A2385" s="8">
        <v>69</v>
      </c>
      <c r="B2385" s="8">
        <v>38</v>
      </c>
      <c r="C2385" s="8">
        <v>3073</v>
      </c>
      <c r="D2385" s="16">
        <v>-5.2424180000000001E-2</v>
      </c>
      <c r="E2385" s="8">
        <v>-2.621209E-2</v>
      </c>
    </row>
    <row r="2386" spans="1:5" x14ac:dyDescent="0.3">
      <c r="A2386" s="8">
        <v>69</v>
      </c>
      <c r="B2386" s="8">
        <v>39</v>
      </c>
      <c r="C2386" s="8">
        <v>3061</v>
      </c>
      <c r="D2386" s="16">
        <v>-3.227526E-2</v>
      </c>
      <c r="E2386" s="8">
        <v>-1.613763E-2</v>
      </c>
    </row>
    <row r="2387" spans="1:5" x14ac:dyDescent="0.3">
      <c r="A2387" s="8">
        <v>69</v>
      </c>
      <c r="B2387" s="8">
        <v>40</v>
      </c>
      <c r="C2387" s="8">
        <v>3057</v>
      </c>
      <c r="D2387" s="16">
        <v>-6.6124720000000003E-3</v>
      </c>
      <c r="E2387" s="8">
        <v>-3.3062360000000002E-3</v>
      </c>
    </row>
    <row r="2388" spans="1:5" x14ac:dyDescent="0.3">
      <c r="A2388" s="8">
        <v>69</v>
      </c>
      <c r="B2388" s="8">
        <v>41</v>
      </c>
      <c r="C2388" s="8">
        <v>3029</v>
      </c>
      <c r="D2388" s="16">
        <v>-2.5872160000000002E-2</v>
      </c>
      <c r="E2388" s="8">
        <v>-1.2936080000000001E-2</v>
      </c>
    </row>
    <row r="2389" spans="1:5" x14ac:dyDescent="0.3">
      <c r="A2389" s="8">
        <v>69</v>
      </c>
      <c r="B2389" s="8">
        <v>42</v>
      </c>
      <c r="C2389" s="8">
        <v>3021</v>
      </c>
      <c r="D2389" s="16">
        <v>4.554836E-4</v>
      </c>
      <c r="E2389" s="8">
        <v>2.277418E-4</v>
      </c>
    </row>
    <row r="2390" spans="1:5" x14ac:dyDescent="0.3">
      <c r="A2390" s="8">
        <v>69</v>
      </c>
      <c r="B2390" s="8">
        <v>43</v>
      </c>
      <c r="C2390" s="8">
        <v>3043</v>
      </c>
      <c r="D2390" s="16">
        <v>-6.4712290000000002E-3</v>
      </c>
      <c r="E2390" s="8">
        <v>-3.2356145000000001E-3</v>
      </c>
    </row>
    <row r="2391" spans="1:5" x14ac:dyDescent="0.3">
      <c r="A2391" s="8">
        <v>69</v>
      </c>
      <c r="B2391" s="8">
        <v>44</v>
      </c>
      <c r="C2391" s="8">
        <v>3019</v>
      </c>
      <c r="D2391" s="16">
        <v>-4.0680800000000003E-2</v>
      </c>
      <c r="E2391" s="8">
        <v>-2.0340400000000002E-2</v>
      </c>
    </row>
    <row r="2392" spans="1:5" x14ac:dyDescent="0.3">
      <c r="A2392" s="8">
        <v>69</v>
      </c>
      <c r="B2392" s="8">
        <v>45</v>
      </c>
      <c r="C2392" s="8">
        <v>3055</v>
      </c>
      <c r="D2392" s="16">
        <v>-2.439846E-2</v>
      </c>
      <c r="E2392" s="8">
        <v>-1.219923E-2</v>
      </c>
    </row>
    <row r="2393" spans="1:5" x14ac:dyDescent="0.3">
      <c r="A2393" s="8">
        <v>69</v>
      </c>
      <c r="B2393" s="8">
        <v>46</v>
      </c>
      <c r="C2393" s="8">
        <v>3043</v>
      </c>
      <c r="D2393" s="16">
        <v>-3.815967E-2</v>
      </c>
      <c r="E2393" s="8">
        <v>-1.9079835E-2</v>
      </c>
    </row>
    <row r="2394" spans="1:5" x14ac:dyDescent="0.3">
      <c r="A2394" s="8">
        <v>69</v>
      </c>
      <c r="B2394" s="8">
        <v>47</v>
      </c>
      <c r="C2394" s="8">
        <v>3031</v>
      </c>
      <c r="D2394" s="16">
        <v>-5.0691729999999997E-2</v>
      </c>
      <c r="E2394" s="8">
        <v>-2.5345864999999999E-2</v>
      </c>
    </row>
    <row r="2395" spans="1:5" x14ac:dyDescent="0.3">
      <c r="A2395" s="8">
        <v>69</v>
      </c>
      <c r="B2395" s="8">
        <v>48</v>
      </c>
      <c r="C2395" s="8">
        <v>3048</v>
      </c>
      <c r="D2395" s="16">
        <v>-1.1973279999999999E-2</v>
      </c>
      <c r="E2395" s="8">
        <v>-5.9866399999999997E-3</v>
      </c>
    </row>
    <row r="2396" spans="1:5" x14ac:dyDescent="0.3">
      <c r="A2396" s="8">
        <v>69</v>
      </c>
      <c r="B2396" s="8">
        <v>49</v>
      </c>
      <c r="C2396" s="8">
        <v>3022</v>
      </c>
      <c r="D2396" s="16">
        <v>1.423731E-2</v>
      </c>
      <c r="E2396" s="8">
        <v>7.1186549999999998E-3</v>
      </c>
    </row>
    <row r="2397" spans="1:5" x14ac:dyDescent="0.3">
      <c r="A2397" s="8">
        <v>69</v>
      </c>
      <c r="B2397" s="8">
        <v>50</v>
      </c>
      <c r="C2397" s="8">
        <v>3068</v>
      </c>
      <c r="D2397" s="16">
        <v>-3.1371530000000002E-2</v>
      </c>
      <c r="E2397" s="8">
        <v>-1.5685765000000001E-2</v>
      </c>
    </row>
    <row r="2398" spans="1:5" x14ac:dyDescent="0.3">
      <c r="A2398" s="8">
        <v>69</v>
      </c>
      <c r="B2398" s="8">
        <v>51</v>
      </c>
      <c r="C2398" s="8">
        <v>3046</v>
      </c>
      <c r="D2398" s="16">
        <v>1.2104770000000001E-2</v>
      </c>
      <c r="E2398" s="8">
        <v>6.0523850000000004E-3</v>
      </c>
    </row>
    <row r="2399" spans="1:5" x14ac:dyDescent="0.3">
      <c r="A2399" s="8">
        <v>69</v>
      </c>
      <c r="B2399" s="8">
        <v>52</v>
      </c>
      <c r="C2399" s="8">
        <v>3047</v>
      </c>
      <c r="D2399" s="16">
        <v>-1.4882309999999999E-2</v>
      </c>
      <c r="E2399" s="8">
        <v>-7.4411549999999996E-3</v>
      </c>
    </row>
    <row r="2400" spans="1:5" x14ac:dyDescent="0.3">
      <c r="A2400" s="8">
        <v>69</v>
      </c>
      <c r="B2400" s="8">
        <v>53</v>
      </c>
      <c r="C2400" s="8">
        <v>3048</v>
      </c>
      <c r="D2400" s="16">
        <v>-3.9696339999999997E-2</v>
      </c>
      <c r="E2400" s="8">
        <v>-1.9848169999999998E-2</v>
      </c>
    </row>
    <row r="2401" spans="1:5" x14ac:dyDescent="0.3">
      <c r="A2401" s="8">
        <v>69</v>
      </c>
      <c r="B2401" s="8">
        <v>54</v>
      </c>
      <c r="C2401" s="8">
        <v>3034</v>
      </c>
      <c r="D2401" s="16">
        <v>1.9943900000000001E-2</v>
      </c>
      <c r="E2401" s="8">
        <v>9.9719500000000003E-3</v>
      </c>
    </row>
    <row r="2402" spans="1:5" x14ac:dyDescent="0.3">
      <c r="A2402" s="8">
        <v>69</v>
      </c>
      <c r="B2402" s="8">
        <v>55</v>
      </c>
      <c r="C2402" s="8">
        <v>3055</v>
      </c>
      <c r="D2402" s="16">
        <v>-4.3511779999999998E-3</v>
      </c>
      <c r="E2402" s="8">
        <v>-2.1755889999999999E-3</v>
      </c>
    </row>
    <row r="2403" spans="1:5" x14ac:dyDescent="0.3">
      <c r="A2403" s="8">
        <v>69</v>
      </c>
      <c r="B2403" s="8">
        <v>56</v>
      </c>
      <c r="C2403" s="8">
        <v>3060</v>
      </c>
      <c r="D2403" s="16">
        <v>-1.9973560000000001E-2</v>
      </c>
      <c r="E2403" s="8">
        <v>-9.9867800000000007E-3</v>
      </c>
    </row>
    <row r="2404" spans="1:5" x14ac:dyDescent="0.3">
      <c r="A2404" s="8">
        <v>69</v>
      </c>
      <c r="B2404" s="8">
        <v>57</v>
      </c>
      <c r="C2404" s="8">
        <v>3075</v>
      </c>
      <c r="D2404" s="16">
        <v>-8.5567869999999997E-3</v>
      </c>
      <c r="E2404" s="8">
        <v>-4.2783934999999999E-3</v>
      </c>
    </row>
    <row r="2405" spans="1:5" x14ac:dyDescent="0.3">
      <c r="A2405" s="8">
        <v>69</v>
      </c>
      <c r="B2405" s="8">
        <v>58</v>
      </c>
      <c r="C2405" s="8">
        <v>3054</v>
      </c>
      <c r="D2405" s="16">
        <v>-4.9057000000000003E-2</v>
      </c>
      <c r="E2405" s="8">
        <v>-2.4528500000000002E-2</v>
      </c>
    </row>
    <row r="2406" spans="1:5" x14ac:dyDescent="0.3">
      <c r="A2406" s="8">
        <v>69</v>
      </c>
      <c r="B2406" s="8">
        <v>59</v>
      </c>
      <c r="C2406" s="8">
        <v>3058</v>
      </c>
      <c r="D2406" s="16">
        <v>-4.4351939999999999E-2</v>
      </c>
      <c r="E2406" s="8">
        <v>-2.217597E-2</v>
      </c>
    </row>
    <row r="2407" spans="1:5" x14ac:dyDescent="0.3">
      <c r="A2407" s="8">
        <v>69</v>
      </c>
      <c r="B2407" s="8">
        <v>60</v>
      </c>
      <c r="C2407" s="8">
        <v>3053</v>
      </c>
      <c r="D2407" s="16">
        <v>4.5902949999999998E-2</v>
      </c>
      <c r="E2407" s="8">
        <v>2.2951474999999999E-2</v>
      </c>
    </row>
    <row r="2408" spans="1:5" x14ac:dyDescent="0.3">
      <c r="A2408" s="8">
        <v>69</v>
      </c>
      <c r="B2408" s="8">
        <v>61</v>
      </c>
      <c r="C2408" s="8">
        <v>3051</v>
      </c>
      <c r="D2408" s="16">
        <v>3.4286219999999999E-2</v>
      </c>
      <c r="E2408" s="8">
        <v>1.714311E-2</v>
      </c>
    </row>
    <row r="2409" spans="1:5" x14ac:dyDescent="0.3">
      <c r="A2409" s="8">
        <v>69</v>
      </c>
      <c r="B2409" s="8">
        <v>62</v>
      </c>
      <c r="C2409" s="8">
        <v>3058</v>
      </c>
      <c r="D2409" s="16">
        <v>-1.8745439999999999E-2</v>
      </c>
      <c r="E2409" s="8">
        <v>-9.3727199999999993E-3</v>
      </c>
    </row>
    <row r="2410" spans="1:5" x14ac:dyDescent="0.3">
      <c r="A2410" s="8">
        <v>69</v>
      </c>
      <c r="B2410" s="8">
        <v>63</v>
      </c>
      <c r="C2410" s="8">
        <v>3057</v>
      </c>
      <c r="D2410" s="16">
        <v>-1.366475E-2</v>
      </c>
      <c r="E2410" s="8">
        <v>-6.8323749999999999E-3</v>
      </c>
    </row>
    <row r="2411" spans="1:5" x14ac:dyDescent="0.3">
      <c r="A2411" s="8">
        <v>69</v>
      </c>
      <c r="B2411" s="8">
        <v>64</v>
      </c>
      <c r="C2411" s="8">
        <v>3055</v>
      </c>
      <c r="D2411" s="16">
        <v>-1.3235739999999999E-2</v>
      </c>
      <c r="E2411" s="8">
        <v>-6.6178699999999997E-3</v>
      </c>
    </row>
    <row r="2412" spans="1:5" x14ac:dyDescent="0.3">
      <c r="A2412" s="8">
        <v>69</v>
      </c>
      <c r="B2412" s="8">
        <v>65</v>
      </c>
      <c r="C2412" s="8">
        <v>3055</v>
      </c>
      <c r="D2412" s="16">
        <v>4.986969E-3</v>
      </c>
      <c r="E2412" s="8">
        <v>2.4934845E-3</v>
      </c>
    </row>
    <row r="2413" spans="1:5" x14ac:dyDescent="0.3">
      <c r="A2413" s="8">
        <v>69</v>
      </c>
      <c r="B2413" s="8">
        <v>66</v>
      </c>
      <c r="C2413" s="8">
        <v>3055</v>
      </c>
      <c r="D2413" s="16">
        <v>-5.440569E-2</v>
      </c>
      <c r="E2413" s="8">
        <v>-2.7202845E-2</v>
      </c>
    </row>
    <row r="2414" spans="1:5" x14ac:dyDescent="0.3">
      <c r="A2414" s="8">
        <v>69</v>
      </c>
      <c r="B2414" s="8">
        <v>67</v>
      </c>
      <c r="C2414" s="8">
        <v>3047</v>
      </c>
      <c r="D2414" s="16">
        <v>-7.9085199999999994E-2</v>
      </c>
      <c r="E2414" s="8">
        <v>-3.9542599999999997E-2</v>
      </c>
    </row>
    <row r="2415" spans="1:5" x14ac:dyDescent="0.3">
      <c r="A2415" s="8">
        <v>69</v>
      </c>
      <c r="B2415" s="8">
        <v>68</v>
      </c>
      <c r="C2415" s="8">
        <v>3044</v>
      </c>
      <c r="D2415" s="16">
        <v>7.7798229999999999E-3</v>
      </c>
      <c r="E2415" s="8">
        <v>3.8899115E-3</v>
      </c>
    </row>
    <row r="2416" spans="1:5" x14ac:dyDescent="0.3">
      <c r="A2416" s="8">
        <v>69</v>
      </c>
      <c r="B2416" s="8">
        <v>69</v>
      </c>
      <c r="C2416" s="8">
        <v>3151</v>
      </c>
      <c r="D2416" s="16">
        <v>1.055507</v>
      </c>
      <c r="E2416" s="8"/>
    </row>
    <row r="2417" spans="1:5" x14ac:dyDescent="0.3">
      <c r="A2417" s="8">
        <v>70</v>
      </c>
      <c r="B2417" s="8">
        <v>1</v>
      </c>
      <c r="C2417" s="8">
        <v>3072</v>
      </c>
      <c r="D2417" s="16">
        <v>-5.5729830000000001E-2</v>
      </c>
      <c r="E2417" s="8">
        <v>-2.7864915000000001E-2</v>
      </c>
    </row>
    <row r="2418" spans="1:5" x14ac:dyDescent="0.3">
      <c r="A2418" s="8">
        <v>70</v>
      </c>
      <c r="B2418" s="8">
        <v>2</v>
      </c>
      <c r="C2418" s="8">
        <v>3049</v>
      </c>
      <c r="D2418" s="16">
        <v>-8.2214950000000005E-3</v>
      </c>
      <c r="E2418" s="8">
        <v>-4.1107475000000003E-3</v>
      </c>
    </row>
    <row r="2419" spans="1:5" x14ac:dyDescent="0.3">
      <c r="A2419" s="8">
        <v>70</v>
      </c>
      <c r="B2419" s="8">
        <v>3</v>
      </c>
      <c r="C2419" s="8">
        <v>3071</v>
      </c>
      <c r="D2419" s="16">
        <v>-7.7729870000000006E-2</v>
      </c>
      <c r="E2419" s="8">
        <v>-3.8864935000000003E-2</v>
      </c>
    </row>
    <row r="2420" spans="1:5" x14ac:dyDescent="0.3">
      <c r="A2420" s="8">
        <v>70</v>
      </c>
      <c r="B2420" s="8">
        <v>4</v>
      </c>
      <c r="C2420" s="8">
        <v>3046</v>
      </c>
      <c r="D2420" s="16">
        <v>-3.032159E-3</v>
      </c>
      <c r="E2420" s="8">
        <v>-1.5160795E-3</v>
      </c>
    </row>
    <row r="2421" spans="1:5" x14ac:dyDescent="0.3">
      <c r="A2421" s="8">
        <v>70</v>
      </c>
      <c r="B2421" s="8">
        <v>5</v>
      </c>
      <c r="C2421" s="8">
        <v>3032</v>
      </c>
      <c r="D2421" s="16">
        <v>-1.6972549999999999E-2</v>
      </c>
      <c r="E2421" s="8">
        <v>-8.4862749999999997E-3</v>
      </c>
    </row>
    <row r="2422" spans="1:5" x14ac:dyDescent="0.3">
      <c r="A2422" s="8">
        <v>70</v>
      </c>
      <c r="B2422" s="8">
        <v>6</v>
      </c>
      <c r="C2422" s="8">
        <v>3050</v>
      </c>
      <c r="D2422" s="16">
        <v>-1.098384E-2</v>
      </c>
      <c r="E2422" s="8">
        <v>-5.49192E-3</v>
      </c>
    </row>
    <row r="2423" spans="1:5" x14ac:dyDescent="0.3">
      <c r="A2423" s="8">
        <v>70</v>
      </c>
      <c r="B2423" s="8">
        <v>7</v>
      </c>
      <c r="C2423" s="8">
        <v>3045</v>
      </c>
      <c r="D2423" s="16">
        <v>2.6003100000000001E-2</v>
      </c>
      <c r="E2423" s="8">
        <v>1.3001550000000001E-2</v>
      </c>
    </row>
    <row r="2424" spans="1:5" x14ac:dyDescent="0.3">
      <c r="A2424" s="8">
        <v>70</v>
      </c>
      <c r="B2424" s="8">
        <v>8</v>
      </c>
      <c r="C2424" s="8">
        <v>3065</v>
      </c>
      <c r="D2424" s="16">
        <v>1.8850579999999999E-2</v>
      </c>
      <c r="E2424" s="8">
        <v>9.4252899999999994E-3</v>
      </c>
    </row>
    <row r="2425" spans="1:5" x14ac:dyDescent="0.3">
      <c r="A2425" s="8">
        <v>70</v>
      </c>
      <c r="B2425" s="8">
        <v>9</v>
      </c>
      <c r="C2425" s="8">
        <v>3054</v>
      </c>
      <c r="D2425" s="16">
        <v>-3.341649E-2</v>
      </c>
      <c r="E2425" s="8">
        <v>-1.6708245E-2</v>
      </c>
    </row>
    <row r="2426" spans="1:5" x14ac:dyDescent="0.3">
      <c r="A2426" s="8">
        <v>70</v>
      </c>
      <c r="B2426" s="8">
        <v>10</v>
      </c>
      <c r="C2426" s="8">
        <v>3047</v>
      </c>
      <c r="D2426" s="16">
        <v>-4.96155E-2</v>
      </c>
      <c r="E2426" s="8">
        <v>-2.480775E-2</v>
      </c>
    </row>
    <row r="2427" spans="1:5" x14ac:dyDescent="0.3">
      <c r="A2427" s="8">
        <v>70</v>
      </c>
      <c r="B2427" s="8">
        <v>11</v>
      </c>
      <c r="C2427" s="8">
        <v>3045</v>
      </c>
      <c r="D2427" s="16">
        <v>2.8419320000000001E-2</v>
      </c>
      <c r="E2427" s="8">
        <v>1.4209660000000001E-2</v>
      </c>
    </row>
    <row r="2428" spans="1:5" x14ac:dyDescent="0.3">
      <c r="A2428" s="8">
        <v>70</v>
      </c>
      <c r="B2428" s="8">
        <v>12</v>
      </c>
      <c r="C2428" s="8">
        <v>3068</v>
      </c>
      <c r="D2428" s="16">
        <v>-3.1894779999999998E-2</v>
      </c>
      <c r="E2428" s="8">
        <v>-1.5947389999999999E-2</v>
      </c>
    </row>
    <row r="2429" spans="1:5" x14ac:dyDescent="0.3">
      <c r="A2429" s="8">
        <v>70</v>
      </c>
      <c r="B2429" s="8">
        <v>13</v>
      </c>
      <c r="C2429" s="8">
        <v>3047</v>
      </c>
      <c r="D2429" s="16">
        <v>-3.013981E-2</v>
      </c>
      <c r="E2429" s="8">
        <v>-1.5069905E-2</v>
      </c>
    </row>
    <row r="2430" spans="1:5" x14ac:dyDescent="0.3">
      <c r="A2430" s="8">
        <v>70</v>
      </c>
      <c r="B2430" s="8">
        <v>14</v>
      </c>
      <c r="C2430" s="8">
        <v>3048</v>
      </c>
      <c r="D2430" s="16">
        <v>1.7859430000000001E-4</v>
      </c>
      <c r="E2430" s="8">
        <v>8.9297150000000006E-5</v>
      </c>
    </row>
    <row r="2431" spans="1:5" x14ac:dyDescent="0.3">
      <c r="A2431" s="8">
        <v>70</v>
      </c>
      <c r="B2431" s="8">
        <v>15</v>
      </c>
      <c r="C2431" s="8">
        <v>3049</v>
      </c>
      <c r="D2431" s="16">
        <v>2.357778E-3</v>
      </c>
      <c r="E2431" s="8">
        <v>1.178889E-3</v>
      </c>
    </row>
    <row r="2432" spans="1:5" x14ac:dyDescent="0.3">
      <c r="A2432" s="8">
        <v>70</v>
      </c>
      <c r="B2432" s="8">
        <v>16</v>
      </c>
      <c r="C2432" s="8">
        <v>3061</v>
      </c>
      <c r="D2432" s="16">
        <v>3.9648969999999999E-2</v>
      </c>
      <c r="E2432" s="8">
        <v>1.9824484999999999E-2</v>
      </c>
    </row>
    <row r="2433" spans="1:5" x14ac:dyDescent="0.3">
      <c r="A2433" s="8">
        <v>70</v>
      </c>
      <c r="B2433" s="8">
        <v>17</v>
      </c>
      <c r="C2433" s="8">
        <v>3053</v>
      </c>
      <c r="D2433" s="16">
        <v>-5.6619910000000002E-2</v>
      </c>
      <c r="E2433" s="8">
        <v>-2.8309955000000001E-2</v>
      </c>
    </row>
    <row r="2434" spans="1:5" x14ac:dyDescent="0.3">
      <c r="A2434" s="8">
        <v>70</v>
      </c>
      <c r="B2434" s="8">
        <v>18</v>
      </c>
      <c r="C2434" s="8">
        <v>3072</v>
      </c>
      <c r="D2434" s="16">
        <v>1.7344930000000001E-2</v>
      </c>
      <c r="E2434" s="8">
        <v>8.6724650000000007E-3</v>
      </c>
    </row>
    <row r="2435" spans="1:5" x14ac:dyDescent="0.3">
      <c r="A2435" s="8">
        <v>70</v>
      </c>
      <c r="B2435" s="8">
        <v>19</v>
      </c>
      <c r="C2435" s="8">
        <v>3059</v>
      </c>
      <c r="D2435" s="16">
        <v>-7.3013970000000003E-3</v>
      </c>
      <c r="E2435" s="8">
        <v>-3.6506985000000001E-3</v>
      </c>
    </row>
    <row r="2436" spans="1:5" x14ac:dyDescent="0.3">
      <c r="A2436" s="8">
        <v>70</v>
      </c>
      <c r="B2436" s="8">
        <v>20</v>
      </c>
      <c r="C2436" s="8">
        <v>3059</v>
      </c>
      <c r="D2436" s="16">
        <v>-2.0786209999999999E-2</v>
      </c>
      <c r="E2436" s="8">
        <v>-1.0393105E-2</v>
      </c>
    </row>
    <row r="2437" spans="1:5" x14ac:dyDescent="0.3">
      <c r="A2437" s="8">
        <v>70</v>
      </c>
      <c r="B2437" s="8">
        <v>21</v>
      </c>
      <c r="C2437" s="8">
        <v>3061</v>
      </c>
      <c r="D2437" s="16">
        <v>1.6021230000000001E-2</v>
      </c>
      <c r="E2437" s="8">
        <v>8.0106150000000004E-3</v>
      </c>
    </row>
    <row r="2438" spans="1:5" x14ac:dyDescent="0.3">
      <c r="A2438" s="8">
        <v>70</v>
      </c>
      <c r="B2438" s="8">
        <v>22</v>
      </c>
      <c r="C2438" s="8">
        <v>3049</v>
      </c>
      <c r="D2438" s="16">
        <v>-2.5402569999999999E-2</v>
      </c>
      <c r="E2438" s="8">
        <v>-1.2701285E-2</v>
      </c>
    </row>
    <row r="2439" spans="1:5" x14ac:dyDescent="0.3">
      <c r="A2439" s="8">
        <v>70</v>
      </c>
      <c r="B2439" s="8">
        <v>23</v>
      </c>
      <c r="C2439" s="8">
        <v>3047</v>
      </c>
      <c r="D2439" s="16">
        <v>2.2863979999999999E-2</v>
      </c>
      <c r="E2439" s="8">
        <v>1.143199E-2</v>
      </c>
    </row>
    <row r="2440" spans="1:5" x14ac:dyDescent="0.3">
      <c r="A2440" s="8">
        <v>70</v>
      </c>
      <c r="B2440" s="8">
        <v>24</v>
      </c>
      <c r="C2440" s="8">
        <v>3070</v>
      </c>
      <c r="D2440" s="16">
        <v>9.1624770000000005E-3</v>
      </c>
      <c r="E2440" s="8">
        <v>4.5812385000000002E-3</v>
      </c>
    </row>
    <row r="2441" spans="1:5" x14ac:dyDescent="0.3">
      <c r="A2441" s="8">
        <v>70</v>
      </c>
      <c r="B2441" s="8">
        <v>25</v>
      </c>
      <c r="C2441" s="8">
        <v>3054</v>
      </c>
      <c r="D2441" s="16">
        <v>3.2994379999999997E-2</v>
      </c>
      <c r="E2441" s="8">
        <v>1.6497189999999998E-2</v>
      </c>
    </row>
    <row r="2442" spans="1:5" x14ac:dyDescent="0.3">
      <c r="A2442" s="8">
        <v>70</v>
      </c>
      <c r="B2442" s="8">
        <v>26</v>
      </c>
      <c r="C2442" s="8">
        <v>3064</v>
      </c>
      <c r="D2442" s="16">
        <v>-1.2050099999999999E-2</v>
      </c>
      <c r="E2442" s="8">
        <v>-6.0250499999999997E-3</v>
      </c>
    </row>
    <row r="2443" spans="1:5" x14ac:dyDescent="0.3">
      <c r="A2443" s="8">
        <v>70</v>
      </c>
      <c r="B2443" s="8">
        <v>27</v>
      </c>
      <c r="C2443" s="8">
        <v>3076</v>
      </c>
      <c r="D2443" s="16">
        <v>-8.7047840000000001E-3</v>
      </c>
      <c r="E2443" s="8">
        <v>-4.3523920000000001E-3</v>
      </c>
    </row>
    <row r="2444" spans="1:5" x14ac:dyDescent="0.3">
      <c r="A2444" s="8">
        <v>70</v>
      </c>
      <c r="B2444" s="8">
        <v>28</v>
      </c>
      <c r="C2444" s="8">
        <v>3040</v>
      </c>
      <c r="D2444" s="16">
        <v>-4.3616439999999999E-2</v>
      </c>
      <c r="E2444" s="8">
        <v>-2.180822E-2</v>
      </c>
    </row>
    <row r="2445" spans="1:5" x14ac:dyDescent="0.3">
      <c r="A2445" s="8">
        <v>70</v>
      </c>
      <c r="B2445" s="8">
        <v>29</v>
      </c>
      <c r="C2445" s="8">
        <v>3050</v>
      </c>
      <c r="D2445" s="16">
        <v>-2.1724110000000001E-2</v>
      </c>
      <c r="E2445" s="8">
        <v>-1.0862055000000001E-2</v>
      </c>
    </row>
    <row r="2446" spans="1:5" x14ac:dyDescent="0.3">
      <c r="A2446" s="8">
        <v>70</v>
      </c>
      <c r="B2446" s="8">
        <v>30</v>
      </c>
      <c r="C2446" s="8">
        <v>3057</v>
      </c>
      <c r="D2446" s="16">
        <v>-2.9719160000000001E-2</v>
      </c>
      <c r="E2446" s="8">
        <v>-1.4859580000000001E-2</v>
      </c>
    </row>
    <row r="2447" spans="1:5" x14ac:dyDescent="0.3">
      <c r="A2447" s="8">
        <v>70</v>
      </c>
      <c r="B2447" s="8">
        <v>31</v>
      </c>
      <c r="C2447" s="8">
        <v>2977</v>
      </c>
      <c r="D2447" s="16">
        <v>-1.4128740000000001E-2</v>
      </c>
      <c r="E2447" s="8">
        <v>-7.0643700000000004E-3</v>
      </c>
    </row>
    <row r="2448" spans="1:5" x14ac:dyDescent="0.3">
      <c r="A2448" s="8">
        <v>70</v>
      </c>
      <c r="B2448" s="8">
        <v>32</v>
      </c>
      <c r="C2448" s="8">
        <v>3037</v>
      </c>
      <c r="D2448" s="16">
        <v>-1.2587549999999999E-2</v>
      </c>
      <c r="E2448" s="8">
        <v>-6.2937749999999997E-3</v>
      </c>
    </row>
    <row r="2449" spans="1:5" x14ac:dyDescent="0.3">
      <c r="A2449" s="8">
        <v>70</v>
      </c>
      <c r="B2449" s="8">
        <v>33</v>
      </c>
      <c r="C2449" s="8">
        <v>3070</v>
      </c>
      <c r="D2449" s="16">
        <v>-3.485195E-2</v>
      </c>
      <c r="E2449" s="8">
        <v>-1.7425975E-2</v>
      </c>
    </row>
    <row r="2450" spans="1:5" x14ac:dyDescent="0.3">
      <c r="A2450" s="8">
        <v>70</v>
      </c>
      <c r="B2450" s="8">
        <v>34</v>
      </c>
      <c r="C2450" s="8">
        <v>3063</v>
      </c>
      <c r="D2450" s="16">
        <v>1.7607790000000002E-2</v>
      </c>
      <c r="E2450" s="8">
        <v>8.8038950000000008E-3</v>
      </c>
    </row>
    <row r="2451" spans="1:5" x14ac:dyDescent="0.3">
      <c r="A2451" s="8">
        <v>70</v>
      </c>
      <c r="B2451" s="8">
        <v>35</v>
      </c>
      <c r="C2451" s="8">
        <v>3059</v>
      </c>
      <c r="D2451" s="16">
        <v>-1.1166199999999999E-2</v>
      </c>
      <c r="E2451" s="8">
        <v>-5.5830999999999997E-3</v>
      </c>
    </row>
    <row r="2452" spans="1:5" x14ac:dyDescent="0.3">
      <c r="A2452" s="8">
        <v>70</v>
      </c>
      <c r="B2452" s="8">
        <v>36</v>
      </c>
      <c r="C2452" s="8">
        <v>3065</v>
      </c>
      <c r="D2452" s="16">
        <v>-1.180282E-2</v>
      </c>
      <c r="E2452" s="8">
        <v>-5.9014100000000002E-3</v>
      </c>
    </row>
    <row r="2453" spans="1:5" x14ac:dyDescent="0.3">
      <c r="A2453" s="8">
        <v>70</v>
      </c>
      <c r="B2453" s="8">
        <v>37</v>
      </c>
      <c r="C2453" s="8">
        <v>3028</v>
      </c>
      <c r="D2453" s="16">
        <v>-2.0196950000000002E-2</v>
      </c>
      <c r="E2453" s="8">
        <v>-1.0098475000000001E-2</v>
      </c>
    </row>
    <row r="2454" spans="1:5" x14ac:dyDescent="0.3">
      <c r="A2454" s="8">
        <v>70</v>
      </c>
      <c r="B2454" s="8">
        <v>38</v>
      </c>
      <c r="C2454" s="8">
        <v>3072</v>
      </c>
      <c r="D2454" s="16">
        <v>2.1353990000000001E-3</v>
      </c>
      <c r="E2454" s="8">
        <v>1.0676995E-3</v>
      </c>
    </row>
    <row r="2455" spans="1:5" x14ac:dyDescent="0.3">
      <c r="A2455" s="8">
        <v>70</v>
      </c>
      <c r="B2455" s="8">
        <v>39</v>
      </c>
      <c r="C2455" s="8">
        <v>3065</v>
      </c>
      <c r="D2455" s="16">
        <v>-3.2387119999999998E-2</v>
      </c>
      <c r="E2455" s="8">
        <v>-1.6193559999999999E-2</v>
      </c>
    </row>
    <row r="2456" spans="1:5" x14ac:dyDescent="0.3">
      <c r="A2456" s="8">
        <v>70</v>
      </c>
      <c r="B2456" s="8">
        <v>40</v>
      </c>
      <c r="C2456" s="8">
        <v>3058</v>
      </c>
      <c r="D2456" s="16">
        <v>-3.6503300000000002E-2</v>
      </c>
      <c r="E2456" s="8">
        <v>-1.8251650000000001E-2</v>
      </c>
    </row>
    <row r="2457" spans="1:5" x14ac:dyDescent="0.3">
      <c r="A2457" s="8">
        <v>70</v>
      </c>
      <c r="B2457" s="8">
        <v>41</v>
      </c>
      <c r="C2457" s="8">
        <v>3037</v>
      </c>
      <c r="D2457" s="16">
        <v>-2.8078800000000001E-2</v>
      </c>
      <c r="E2457" s="8">
        <v>-1.40394E-2</v>
      </c>
    </row>
    <row r="2458" spans="1:5" x14ac:dyDescent="0.3">
      <c r="A2458" s="8">
        <v>70</v>
      </c>
      <c r="B2458" s="8">
        <v>42</v>
      </c>
      <c r="C2458" s="8">
        <v>3029</v>
      </c>
      <c r="D2458" s="16">
        <v>-5.5240869999999997E-2</v>
      </c>
      <c r="E2458" s="8">
        <v>-2.7620434999999999E-2</v>
      </c>
    </row>
    <row r="2459" spans="1:5" x14ac:dyDescent="0.3">
      <c r="A2459" s="8">
        <v>70</v>
      </c>
      <c r="B2459" s="8">
        <v>43</v>
      </c>
      <c r="C2459" s="8">
        <v>3051</v>
      </c>
      <c r="D2459" s="16">
        <v>-3.3228319999999999E-2</v>
      </c>
      <c r="E2459" s="8">
        <v>-1.6614159999999999E-2</v>
      </c>
    </row>
    <row r="2460" spans="1:5" x14ac:dyDescent="0.3">
      <c r="A2460" s="8">
        <v>70</v>
      </c>
      <c r="B2460" s="8">
        <v>44</v>
      </c>
      <c r="C2460" s="8">
        <v>3030</v>
      </c>
      <c r="D2460" s="16">
        <v>-2.9296699999999998E-2</v>
      </c>
      <c r="E2460" s="8">
        <v>-1.4648349999999999E-2</v>
      </c>
    </row>
    <row r="2461" spans="1:5" x14ac:dyDescent="0.3">
      <c r="A2461" s="8">
        <v>70</v>
      </c>
      <c r="B2461" s="8">
        <v>45</v>
      </c>
      <c r="C2461" s="8">
        <v>3055</v>
      </c>
      <c r="D2461" s="16">
        <v>-2.5365829999999999E-2</v>
      </c>
      <c r="E2461" s="8">
        <v>-1.2682914999999999E-2</v>
      </c>
    </row>
    <row r="2462" spans="1:5" x14ac:dyDescent="0.3">
      <c r="A2462" s="8">
        <v>70</v>
      </c>
      <c r="B2462" s="8">
        <v>46</v>
      </c>
      <c r="C2462" s="8">
        <v>3048</v>
      </c>
      <c r="D2462" s="16">
        <v>-5.0253100000000002E-2</v>
      </c>
      <c r="E2462" s="8">
        <v>-2.5126550000000001E-2</v>
      </c>
    </row>
    <row r="2463" spans="1:5" x14ac:dyDescent="0.3">
      <c r="A2463" s="8">
        <v>70</v>
      </c>
      <c r="B2463" s="8">
        <v>47</v>
      </c>
      <c r="C2463" s="8">
        <v>3031</v>
      </c>
      <c r="D2463" s="16">
        <v>-3.2027180000000002E-2</v>
      </c>
      <c r="E2463" s="8">
        <v>-1.6013590000000001E-2</v>
      </c>
    </row>
    <row r="2464" spans="1:5" x14ac:dyDescent="0.3">
      <c r="A2464" s="8">
        <v>70</v>
      </c>
      <c r="B2464" s="8">
        <v>48</v>
      </c>
      <c r="C2464" s="8">
        <v>3062</v>
      </c>
      <c r="D2464" s="16">
        <v>-4.1439219999999999E-2</v>
      </c>
      <c r="E2464" s="8">
        <v>-2.0719609999999999E-2</v>
      </c>
    </row>
    <row r="2465" spans="1:5" x14ac:dyDescent="0.3">
      <c r="A2465" s="8">
        <v>70</v>
      </c>
      <c r="B2465" s="8">
        <v>49</v>
      </c>
      <c r="C2465" s="8">
        <v>3026</v>
      </c>
      <c r="D2465" s="16">
        <v>-5.7472850000000004E-3</v>
      </c>
      <c r="E2465" s="8">
        <v>-2.8736425000000002E-3</v>
      </c>
    </row>
    <row r="2466" spans="1:5" x14ac:dyDescent="0.3">
      <c r="A2466" s="8">
        <v>70</v>
      </c>
      <c r="B2466" s="8">
        <v>50</v>
      </c>
      <c r="C2466" s="8">
        <v>3071</v>
      </c>
      <c r="D2466" s="16">
        <v>-1.6610639999999999E-2</v>
      </c>
      <c r="E2466" s="8">
        <v>-8.3053199999999997E-3</v>
      </c>
    </row>
    <row r="2467" spans="1:5" x14ac:dyDescent="0.3">
      <c r="A2467" s="8">
        <v>70</v>
      </c>
      <c r="B2467" s="8">
        <v>51</v>
      </c>
      <c r="C2467" s="8">
        <v>3052</v>
      </c>
      <c r="D2467" s="16">
        <v>-2.1351780000000001E-2</v>
      </c>
      <c r="E2467" s="8">
        <v>-1.067589E-2</v>
      </c>
    </row>
    <row r="2468" spans="1:5" x14ac:dyDescent="0.3">
      <c r="A2468" s="8">
        <v>70</v>
      </c>
      <c r="B2468" s="8">
        <v>52</v>
      </c>
      <c r="C2468" s="8">
        <v>3053</v>
      </c>
      <c r="D2468" s="16">
        <v>-2.399124E-2</v>
      </c>
      <c r="E2468" s="8">
        <v>-1.199562E-2</v>
      </c>
    </row>
    <row r="2469" spans="1:5" x14ac:dyDescent="0.3">
      <c r="A2469" s="8">
        <v>70</v>
      </c>
      <c r="B2469" s="8">
        <v>53</v>
      </c>
      <c r="C2469" s="8">
        <v>3054</v>
      </c>
      <c r="D2469" s="16">
        <v>-1.4732179999999999E-2</v>
      </c>
      <c r="E2469" s="8">
        <v>-7.3660899999999996E-3</v>
      </c>
    </row>
    <row r="2470" spans="1:5" x14ac:dyDescent="0.3">
      <c r="A2470" s="8">
        <v>70</v>
      </c>
      <c r="B2470" s="8">
        <v>54</v>
      </c>
      <c r="C2470" s="8">
        <v>3039</v>
      </c>
      <c r="D2470" s="16">
        <v>3.8242839999999998E-3</v>
      </c>
      <c r="E2470" s="8">
        <v>1.9121419999999999E-3</v>
      </c>
    </row>
    <row r="2471" spans="1:5" x14ac:dyDescent="0.3">
      <c r="A2471" s="8">
        <v>70</v>
      </c>
      <c r="B2471" s="8">
        <v>55</v>
      </c>
      <c r="C2471" s="8">
        <v>3062</v>
      </c>
      <c r="D2471" s="16">
        <v>3.9419490000000001E-3</v>
      </c>
      <c r="E2471" s="8">
        <v>1.9709745000000001E-3</v>
      </c>
    </row>
    <row r="2472" spans="1:5" x14ac:dyDescent="0.3">
      <c r="A2472" s="8">
        <v>70</v>
      </c>
      <c r="B2472" s="8">
        <v>56</v>
      </c>
      <c r="C2472" s="8">
        <v>3061</v>
      </c>
      <c r="D2472" s="16">
        <v>3.5033450000000001E-2</v>
      </c>
      <c r="E2472" s="8">
        <v>1.7516725E-2</v>
      </c>
    </row>
    <row r="2473" spans="1:5" x14ac:dyDescent="0.3">
      <c r="A2473" s="8">
        <v>70</v>
      </c>
      <c r="B2473" s="8">
        <v>57</v>
      </c>
      <c r="C2473" s="8">
        <v>3075</v>
      </c>
      <c r="D2473" s="16">
        <v>5.2081160000000001E-2</v>
      </c>
      <c r="E2473" s="8">
        <v>2.6040580000000001E-2</v>
      </c>
    </row>
    <row r="2474" spans="1:5" x14ac:dyDescent="0.3">
      <c r="A2474" s="8">
        <v>70</v>
      </c>
      <c r="B2474" s="8">
        <v>58</v>
      </c>
      <c r="C2474" s="8">
        <v>3061</v>
      </c>
      <c r="D2474" s="16">
        <v>-2.4745380000000001E-2</v>
      </c>
      <c r="E2474" s="8">
        <v>-1.237269E-2</v>
      </c>
    </row>
    <row r="2475" spans="1:5" x14ac:dyDescent="0.3">
      <c r="A2475" s="8">
        <v>70</v>
      </c>
      <c r="B2475" s="8">
        <v>59</v>
      </c>
      <c r="C2475" s="8">
        <v>3061</v>
      </c>
      <c r="D2475" s="16">
        <v>-2.4864460000000001E-2</v>
      </c>
      <c r="E2475" s="8">
        <v>-1.2432230000000001E-2</v>
      </c>
    </row>
    <row r="2476" spans="1:5" x14ac:dyDescent="0.3">
      <c r="A2476" s="8">
        <v>70</v>
      </c>
      <c r="B2476" s="8">
        <v>60</v>
      </c>
      <c r="C2476" s="8">
        <v>3053</v>
      </c>
      <c r="D2476" s="16">
        <v>1.247415E-2</v>
      </c>
      <c r="E2476" s="8">
        <v>6.2370749999999999E-3</v>
      </c>
    </row>
    <row r="2477" spans="1:5" x14ac:dyDescent="0.3">
      <c r="A2477" s="8">
        <v>70</v>
      </c>
      <c r="B2477" s="8">
        <v>61</v>
      </c>
      <c r="C2477" s="8">
        <v>3056</v>
      </c>
      <c r="D2477" s="16">
        <v>2.460451E-2</v>
      </c>
      <c r="E2477" s="8">
        <v>1.2302255E-2</v>
      </c>
    </row>
    <row r="2478" spans="1:5" x14ac:dyDescent="0.3">
      <c r="A2478" s="8">
        <v>70</v>
      </c>
      <c r="B2478" s="8">
        <v>62</v>
      </c>
      <c r="C2478" s="8">
        <v>3062</v>
      </c>
      <c r="D2478" s="16">
        <v>-2.1668070000000001E-2</v>
      </c>
      <c r="E2478" s="8">
        <v>-1.0834035000000001E-2</v>
      </c>
    </row>
    <row r="2479" spans="1:5" x14ac:dyDescent="0.3">
      <c r="A2479" s="8">
        <v>70</v>
      </c>
      <c r="B2479" s="8">
        <v>63</v>
      </c>
      <c r="C2479" s="8">
        <v>3060</v>
      </c>
      <c r="D2479" s="16">
        <v>4.9163030000000003E-3</v>
      </c>
      <c r="E2479" s="8">
        <v>2.4581515000000002E-3</v>
      </c>
    </row>
    <row r="2480" spans="1:5" x14ac:dyDescent="0.3">
      <c r="A2480" s="8">
        <v>70</v>
      </c>
      <c r="B2480" s="8">
        <v>64</v>
      </c>
      <c r="C2480" s="8">
        <v>3060</v>
      </c>
      <c r="D2480" s="16">
        <v>-1.8776709999999999E-2</v>
      </c>
      <c r="E2480" s="8">
        <v>-9.3883549999999993E-3</v>
      </c>
    </row>
    <row r="2481" spans="1:5" x14ac:dyDescent="0.3">
      <c r="A2481" s="8">
        <v>70</v>
      </c>
      <c r="B2481" s="8">
        <v>65</v>
      </c>
      <c r="C2481" s="8">
        <v>3057</v>
      </c>
      <c r="D2481" s="16">
        <v>-1.5160869999999999E-3</v>
      </c>
      <c r="E2481" s="8">
        <v>-7.5804349999999997E-4</v>
      </c>
    </row>
    <row r="2482" spans="1:5" x14ac:dyDescent="0.3">
      <c r="A2482" s="8">
        <v>70</v>
      </c>
      <c r="B2482" s="8">
        <v>66</v>
      </c>
      <c r="C2482" s="8">
        <v>3063</v>
      </c>
      <c r="D2482" s="16">
        <v>-9.4091490000000003E-3</v>
      </c>
      <c r="E2482" s="8">
        <v>-4.7045745000000002E-3</v>
      </c>
    </row>
    <row r="2483" spans="1:5" x14ac:dyDescent="0.3">
      <c r="A2483" s="8">
        <v>70</v>
      </c>
      <c r="B2483" s="8">
        <v>67</v>
      </c>
      <c r="C2483" s="8">
        <v>3051</v>
      </c>
      <c r="D2483" s="16">
        <v>-2.6703859999999999E-2</v>
      </c>
      <c r="E2483" s="8">
        <v>-1.335193E-2</v>
      </c>
    </row>
    <row r="2484" spans="1:5" x14ac:dyDescent="0.3">
      <c r="A2484" s="8">
        <v>70</v>
      </c>
      <c r="B2484" s="8">
        <v>68</v>
      </c>
      <c r="C2484" s="8">
        <v>3057</v>
      </c>
      <c r="D2484" s="16">
        <v>-6.3872449999999997E-2</v>
      </c>
      <c r="E2484" s="8">
        <v>-3.1936224999999999E-2</v>
      </c>
    </row>
    <row r="2485" spans="1:5" x14ac:dyDescent="0.3">
      <c r="A2485" s="8">
        <v>70</v>
      </c>
      <c r="B2485" s="8">
        <v>69</v>
      </c>
      <c r="C2485" s="8">
        <v>3056</v>
      </c>
      <c r="D2485" s="16">
        <v>1.5003259999999999E-2</v>
      </c>
      <c r="E2485" s="8">
        <v>7.5016299999999996E-3</v>
      </c>
    </row>
    <row r="2486" spans="1:5" x14ac:dyDescent="0.3">
      <c r="A2486" s="8">
        <v>70</v>
      </c>
      <c r="B2486" s="8">
        <v>70</v>
      </c>
      <c r="C2486" s="8">
        <v>3154</v>
      </c>
      <c r="D2486" s="16">
        <v>1.0599940000000001</v>
      </c>
      <c r="E2486" s="8"/>
    </row>
    <row r="2487" spans="1:5" x14ac:dyDescent="0.3">
      <c r="A2487" s="8">
        <v>71</v>
      </c>
      <c r="B2487" s="8">
        <v>1</v>
      </c>
      <c r="C2487" s="8">
        <v>3063</v>
      </c>
      <c r="D2487" s="16">
        <v>-5.7781529999999998E-2</v>
      </c>
      <c r="E2487" s="8">
        <v>-2.8890764999999999E-2</v>
      </c>
    </row>
    <row r="2488" spans="1:5" x14ac:dyDescent="0.3">
      <c r="A2488" s="8">
        <v>71</v>
      </c>
      <c r="B2488" s="8">
        <v>2</v>
      </c>
      <c r="C2488" s="8">
        <v>3033</v>
      </c>
      <c r="D2488" s="16">
        <v>-2.8028109999999998E-2</v>
      </c>
      <c r="E2488" s="8">
        <v>-1.4014054999999999E-2</v>
      </c>
    </row>
    <row r="2489" spans="1:5" x14ac:dyDescent="0.3">
      <c r="A2489" s="8">
        <v>71</v>
      </c>
      <c r="B2489" s="8">
        <v>3</v>
      </c>
      <c r="C2489" s="8">
        <v>3057</v>
      </c>
      <c r="D2489" s="16">
        <v>1.4408270000000001E-2</v>
      </c>
      <c r="E2489" s="8">
        <v>7.2041350000000004E-3</v>
      </c>
    </row>
    <row r="2490" spans="1:5" x14ac:dyDescent="0.3">
      <c r="A2490" s="8">
        <v>71</v>
      </c>
      <c r="B2490" s="8">
        <v>4</v>
      </c>
      <c r="C2490" s="8">
        <v>3033</v>
      </c>
      <c r="D2490" s="16">
        <v>-4.5103879999999999E-2</v>
      </c>
      <c r="E2490" s="8">
        <v>-2.2551939999999999E-2</v>
      </c>
    </row>
    <row r="2491" spans="1:5" x14ac:dyDescent="0.3">
      <c r="A2491" s="8">
        <v>71</v>
      </c>
      <c r="B2491" s="8">
        <v>5</v>
      </c>
      <c r="C2491" s="8">
        <v>3025</v>
      </c>
      <c r="D2491" s="16">
        <v>-2.4523469999999999E-2</v>
      </c>
      <c r="E2491" s="8">
        <v>-1.2261734999999999E-2</v>
      </c>
    </row>
    <row r="2492" spans="1:5" x14ac:dyDescent="0.3">
      <c r="A2492" s="8">
        <v>71</v>
      </c>
      <c r="B2492" s="8">
        <v>6</v>
      </c>
      <c r="C2492" s="8">
        <v>3041</v>
      </c>
      <c r="D2492" s="16">
        <v>-6.314285E-2</v>
      </c>
      <c r="E2492" s="8">
        <v>-3.1571425E-2</v>
      </c>
    </row>
    <row r="2493" spans="1:5" x14ac:dyDescent="0.3">
      <c r="A2493" s="8">
        <v>71</v>
      </c>
      <c r="B2493" s="8">
        <v>7</v>
      </c>
      <c r="C2493" s="8">
        <v>3038</v>
      </c>
      <c r="D2493" s="16">
        <v>-2.4219379999999999E-2</v>
      </c>
      <c r="E2493" s="8">
        <v>-1.2109689999999999E-2</v>
      </c>
    </row>
    <row r="2494" spans="1:5" x14ac:dyDescent="0.3">
      <c r="A2494" s="8">
        <v>71</v>
      </c>
      <c r="B2494" s="8">
        <v>8</v>
      </c>
      <c r="C2494" s="8">
        <v>3052</v>
      </c>
      <c r="D2494" s="16">
        <v>-3.2694380000000002E-2</v>
      </c>
      <c r="E2494" s="8">
        <v>-1.6347190000000001E-2</v>
      </c>
    </row>
    <row r="2495" spans="1:5" x14ac:dyDescent="0.3">
      <c r="A2495" s="8">
        <v>71</v>
      </c>
      <c r="B2495" s="8">
        <v>9</v>
      </c>
      <c r="C2495" s="8">
        <v>3048</v>
      </c>
      <c r="D2495" s="16">
        <v>9.3124660000000001E-3</v>
      </c>
      <c r="E2495" s="8">
        <v>4.6562330000000001E-3</v>
      </c>
    </row>
    <row r="2496" spans="1:5" x14ac:dyDescent="0.3">
      <c r="A2496" s="8">
        <v>71</v>
      </c>
      <c r="B2496" s="8">
        <v>10</v>
      </c>
      <c r="C2496" s="8">
        <v>3035</v>
      </c>
      <c r="D2496" s="16">
        <v>1.7000930000000001E-2</v>
      </c>
      <c r="E2496" s="8">
        <v>8.5004650000000005E-3</v>
      </c>
    </row>
    <row r="2497" spans="1:5" x14ac:dyDescent="0.3">
      <c r="A2497" s="8">
        <v>71</v>
      </c>
      <c r="B2497" s="8">
        <v>11</v>
      </c>
      <c r="C2497" s="8">
        <v>3038</v>
      </c>
      <c r="D2497" s="16">
        <v>-1.2441189999999999E-3</v>
      </c>
      <c r="E2497" s="8">
        <v>-6.2205949999999996E-4</v>
      </c>
    </row>
    <row r="2498" spans="1:5" x14ac:dyDescent="0.3">
      <c r="A2498" s="8">
        <v>71</v>
      </c>
      <c r="B2498" s="8">
        <v>12</v>
      </c>
      <c r="C2498" s="8">
        <v>3060</v>
      </c>
      <c r="D2498" s="16">
        <v>-6.4208760000000004E-2</v>
      </c>
      <c r="E2498" s="8">
        <v>-3.2104380000000002E-2</v>
      </c>
    </row>
    <row r="2499" spans="1:5" x14ac:dyDescent="0.3">
      <c r="A2499" s="8">
        <v>71</v>
      </c>
      <c r="B2499" s="8">
        <v>13</v>
      </c>
      <c r="C2499" s="8">
        <v>3036</v>
      </c>
      <c r="D2499" s="16">
        <v>-1.783568E-2</v>
      </c>
      <c r="E2499" s="8">
        <v>-8.9178399999999998E-3</v>
      </c>
    </row>
    <row r="2500" spans="1:5" x14ac:dyDescent="0.3">
      <c r="A2500" s="8">
        <v>71</v>
      </c>
      <c r="B2500" s="8">
        <v>14</v>
      </c>
      <c r="C2500" s="8">
        <v>3037</v>
      </c>
      <c r="D2500" s="16">
        <v>-2.3804070000000002E-3</v>
      </c>
      <c r="E2500" s="8">
        <v>-1.1902035000000001E-3</v>
      </c>
    </row>
    <row r="2501" spans="1:5" x14ac:dyDescent="0.3">
      <c r="A2501" s="8">
        <v>71</v>
      </c>
      <c r="B2501" s="8">
        <v>15</v>
      </c>
      <c r="C2501" s="8">
        <v>3044</v>
      </c>
      <c r="D2501" s="16">
        <v>-3.5693889999999999E-2</v>
      </c>
      <c r="E2501" s="8">
        <v>-1.7846944999999999E-2</v>
      </c>
    </row>
    <row r="2502" spans="1:5" x14ac:dyDescent="0.3">
      <c r="A2502" s="8">
        <v>71</v>
      </c>
      <c r="B2502" s="8">
        <v>16</v>
      </c>
      <c r="C2502" s="8">
        <v>3049</v>
      </c>
      <c r="D2502" s="16">
        <v>-2.3637289999999998E-2</v>
      </c>
      <c r="E2502" s="8">
        <v>-1.1818644999999999E-2</v>
      </c>
    </row>
    <row r="2503" spans="1:5" x14ac:dyDescent="0.3">
      <c r="A2503" s="8">
        <v>71</v>
      </c>
      <c r="B2503" s="8">
        <v>17</v>
      </c>
      <c r="C2503" s="8">
        <v>3047</v>
      </c>
      <c r="D2503" s="16">
        <v>-8.683105E-3</v>
      </c>
      <c r="E2503" s="8">
        <v>-4.3415525E-3</v>
      </c>
    </row>
    <row r="2504" spans="1:5" x14ac:dyDescent="0.3">
      <c r="A2504" s="8">
        <v>71</v>
      </c>
      <c r="B2504" s="8">
        <v>18</v>
      </c>
      <c r="C2504" s="8">
        <v>3063</v>
      </c>
      <c r="D2504" s="16">
        <v>5.1071659999999998E-3</v>
      </c>
      <c r="E2504" s="8">
        <v>2.5535829999999999E-3</v>
      </c>
    </row>
    <row r="2505" spans="1:5" x14ac:dyDescent="0.3">
      <c r="A2505" s="8">
        <v>71</v>
      </c>
      <c r="B2505" s="8">
        <v>19</v>
      </c>
      <c r="C2505" s="8">
        <v>3047</v>
      </c>
      <c r="D2505" s="16">
        <v>1.1912560000000001E-2</v>
      </c>
      <c r="E2505" s="8">
        <v>5.9562800000000004E-3</v>
      </c>
    </row>
    <row r="2506" spans="1:5" x14ac:dyDescent="0.3">
      <c r="A2506" s="8">
        <v>71</v>
      </c>
      <c r="B2506" s="8">
        <v>20</v>
      </c>
      <c r="C2506" s="8">
        <v>3049</v>
      </c>
      <c r="D2506" s="16">
        <v>6.4894050000000004E-4</v>
      </c>
      <c r="E2506" s="8">
        <v>3.2447025000000002E-4</v>
      </c>
    </row>
    <row r="2507" spans="1:5" x14ac:dyDescent="0.3">
      <c r="A2507" s="8">
        <v>71</v>
      </c>
      <c r="B2507" s="8">
        <v>21</v>
      </c>
      <c r="C2507" s="8">
        <v>3051</v>
      </c>
      <c r="D2507" s="16">
        <v>-2.2661899999999999E-2</v>
      </c>
      <c r="E2507" s="8">
        <v>-1.1330949999999999E-2</v>
      </c>
    </row>
    <row r="2508" spans="1:5" x14ac:dyDescent="0.3">
      <c r="A2508" s="8">
        <v>71</v>
      </c>
      <c r="B2508" s="8">
        <v>22</v>
      </c>
      <c r="C2508" s="8">
        <v>3041</v>
      </c>
      <c r="D2508" s="16">
        <v>-2.6140759999999999E-2</v>
      </c>
      <c r="E2508" s="8">
        <v>-1.3070379999999999E-2</v>
      </c>
    </row>
    <row r="2509" spans="1:5" x14ac:dyDescent="0.3">
      <c r="A2509" s="8">
        <v>71</v>
      </c>
      <c r="B2509" s="8">
        <v>23</v>
      </c>
      <c r="C2509" s="8">
        <v>3039</v>
      </c>
      <c r="D2509" s="16">
        <v>2.9890619999999998E-3</v>
      </c>
      <c r="E2509" s="8">
        <v>1.4945309999999999E-3</v>
      </c>
    </row>
    <row r="2510" spans="1:5" x14ac:dyDescent="0.3">
      <c r="A2510" s="8">
        <v>71</v>
      </c>
      <c r="B2510" s="8">
        <v>24</v>
      </c>
      <c r="C2510" s="8">
        <v>3064</v>
      </c>
      <c r="D2510" s="16">
        <v>-9.2791350000000009E-3</v>
      </c>
      <c r="E2510" s="8">
        <v>-4.6395675000000004E-3</v>
      </c>
    </row>
    <row r="2511" spans="1:5" x14ac:dyDescent="0.3">
      <c r="A2511" s="8">
        <v>71</v>
      </c>
      <c r="B2511" s="8">
        <v>25</v>
      </c>
      <c r="C2511" s="8">
        <v>3046</v>
      </c>
      <c r="D2511" s="16">
        <v>-6.2711550000000005E-2</v>
      </c>
      <c r="E2511" s="8">
        <v>-3.1355775000000002E-2</v>
      </c>
    </row>
    <row r="2512" spans="1:5" x14ac:dyDescent="0.3">
      <c r="A2512" s="8">
        <v>71</v>
      </c>
      <c r="B2512" s="8">
        <v>26</v>
      </c>
      <c r="C2512" s="8">
        <v>3056</v>
      </c>
      <c r="D2512" s="16">
        <v>-3.9311909999999999E-2</v>
      </c>
      <c r="E2512" s="8">
        <v>-1.9655954999999999E-2</v>
      </c>
    </row>
    <row r="2513" spans="1:5" x14ac:dyDescent="0.3">
      <c r="A2513" s="8">
        <v>71</v>
      </c>
      <c r="B2513" s="8">
        <v>27</v>
      </c>
      <c r="C2513" s="8">
        <v>3063</v>
      </c>
      <c r="D2513" s="16">
        <v>-1.7478229999999999E-3</v>
      </c>
      <c r="E2513" s="8">
        <v>-8.7391149999999996E-4</v>
      </c>
    </row>
    <row r="2514" spans="1:5" x14ac:dyDescent="0.3">
      <c r="A2514" s="8">
        <v>71</v>
      </c>
      <c r="B2514" s="8">
        <v>28</v>
      </c>
      <c r="C2514" s="8">
        <v>3031</v>
      </c>
      <c r="D2514" s="16">
        <v>-1.4634889999999999E-2</v>
      </c>
      <c r="E2514" s="8">
        <v>-7.3174449999999997E-3</v>
      </c>
    </row>
    <row r="2515" spans="1:5" x14ac:dyDescent="0.3">
      <c r="A2515" s="8">
        <v>71</v>
      </c>
      <c r="B2515" s="8">
        <v>29</v>
      </c>
      <c r="C2515" s="8">
        <v>3038</v>
      </c>
      <c r="D2515" s="16">
        <v>3.4930139999999998E-2</v>
      </c>
      <c r="E2515" s="8">
        <v>1.7465069999999999E-2</v>
      </c>
    </row>
    <row r="2516" spans="1:5" x14ac:dyDescent="0.3">
      <c r="A2516" s="8">
        <v>71</v>
      </c>
      <c r="B2516" s="8">
        <v>30</v>
      </c>
      <c r="C2516" s="8">
        <v>3042</v>
      </c>
      <c r="D2516" s="16">
        <v>8.3022459999999992E-3</v>
      </c>
      <c r="E2516" s="8">
        <v>4.1511229999999996E-3</v>
      </c>
    </row>
    <row r="2517" spans="1:5" x14ac:dyDescent="0.3">
      <c r="A2517" s="8">
        <v>71</v>
      </c>
      <c r="B2517" s="8">
        <v>31</v>
      </c>
      <c r="C2517" s="8">
        <v>2968</v>
      </c>
      <c r="D2517" s="16">
        <v>-3.4476939999999998E-2</v>
      </c>
      <c r="E2517" s="8">
        <v>-1.7238469999999999E-2</v>
      </c>
    </row>
    <row r="2518" spans="1:5" x14ac:dyDescent="0.3">
      <c r="A2518" s="8">
        <v>71</v>
      </c>
      <c r="B2518" s="8">
        <v>32</v>
      </c>
      <c r="C2518" s="8">
        <v>3038</v>
      </c>
      <c r="D2518" s="16">
        <v>4.1554319999999999E-2</v>
      </c>
      <c r="E2518" s="8">
        <v>2.0777159999999999E-2</v>
      </c>
    </row>
    <row r="2519" spans="1:5" x14ac:dyDescent="0.3">
      <c r="A2519" s="8">
        <v>71</v>
      </c>
      <c r="B2519" s="8">
        <v>33</v>
      </c>
      <c r="C2519" s="8">
        <v>3061</v>
      </c>
      <c r="D2519" s="16">
        <v>-2.8113019999999999E-2</v>
      </c>
      <c r="E2519" s="8">
        <v>-1.4056509999999999E-2</v>
      </c>
    </row>
    <row r="2520" spans="1:5" x14ac:dyDescent="0.3">
      <c r="A2520" s="8">
        <v>71</v>
      </c>
      <c r="B2520" s="8">
        <v>34</v>
      </c>
      <c r="C2520" s="8">
        <v>3052</v>
      </c>
      <c r="D2520" s="16">
        <v>-1.1823510000000001E-2</v>
      </c>
      <c r="E2520" s="8">
        <v>-5.9117550000000003E-3</v>
      </c>
    </row>
    <row r="2521" spans="1:5" x14ac:dyDescent="0.3">
      <c r="A2521" s="8">
        <v>71</v>
      </c>
      <c r="B2521" s="8">
        <v>35</v>
      </c>
      <c r="C2521" s="8">
        <v>3050</v>
      </c>
      <c r="D2521" s="16">
        <v>-3.5097179999999999E-2</v>
      </c>
      <c r="E2521" s="8">
        <v>-1.7548589999999999E-2</v>
      </c>
    </row>
    <row r="2522" spans="1:5" x14ac:dyDescent="0.3">
      <c r="A2522" s="8">
        <v>71</v>
      </c>
      <c r="B2522" s="8">
        <v>36</v>
      </c>
      <c r="C2522" s="8">
        <v>3058</v>
      </c>
      <c r="D2522" s="16">
        <v>-5.7733810000000003E-2</v>
      </c>
      <c r="E2522" s="8">
        <v>-2.8866905000000002E-2</v>
      </c>
    </row>
    <row r="2523" spans="1:5" x14ac:dyDescent="0.3">
      <c r="A2523" s="8">
        <v>71</v>
      </c>
      <c r="B2523" s="8">
        <v>37</v>
      </c>
      <c r="C2523" s="8">
        <v>3024</v>
      </c>
      <c r="D2523" s="16">
        <v>1.0632559999999999E-2</v>
      </c>
      <c r="E2523" s="8">
        <v>5.3162799999999996E-3</v>
      </c>
    </row>
    <row r="2524" spans="1:5" x14ac:dyDescent="0.3">
      <c r="A2524" s="8">
        <v>71</v>
      </c>
      <c r="B2524" s="8">
        <v>38</v>
      </c>
      <c r="C2524" s="8">
        <v>3064</v>
      </c>
      <c r="D2524" s="16">
        <v>-1.5084999999999999E-2</v>
      </c>
      <c r="E2524" s="8">
        <v>-7.5424999999999997E-3</v>
      </c>
    </row>
    <row r="2525" spans="1:5" x14ac:dyDescent="0.3">
      <c r="A2525" s="8">
        <v>71</v>
      </c>
      <c r="B2525" s="8">
        <v>39</v>
      </c>
      <c r="C2525" s="8">
        <v>3054</v>
      </c>
      <c r="D2525" s="16">
        <v>-3.5928250000000002E-2</v>
      </c>
      <c r="E2525" s="8">
        <v>-1.7964125000000001E-2</v>
      </c>
    </row>
    <row r="2526" spans="1:5" x14ac:dyDescent="0.3">
      <c r="A2526" s="8">
        <v>71</v>
      </c>
      <c r="B2526" s="8">
        <v>40</v>
      </c>
      <c r="C2526" s="8">
        <v>3058</v>
      </c>
      <c r="D2526" s="16">
        <v>-5.854256E-2</v>
      </c>
      <c r="E2526" s="8">
        <v>-2.927128E-2</v>
      </c>
    </row>
    <row r="2527" spans="1:5" x14ac:dyDescent="0.3">
      <c r="A2527" s="8">
        <v>71</v>
      </c>
      <c r="B2527" s="8">
        <v>41</v>
      </c>
      <c r="C2527" s="8">
        <v>3023</v>
      </c>
      <c r="D2527" s="16">
        <v>6.6894789999999999E-3</v>
      </c>
      <c r="E2527" s="8">
        <v>3.3447395E-3</v>
      </c>
    </row>
    <row r="2528" spans="1:5" x14ac:dyDescent="0.3">
      <c r="A2528" s="8">
        <v>71</v>
      </c>
      <c r="B2528" s="8">
        <v>42</v>
      </c>
      <c r="C2528" s="8">
        <v>3014</v>
      </c>
      <c r="D2528" s="16">
        <v>-1.9063859999999999E-3</v>
      </c>
      <c r="E2528" s="8">
        <v>-9.5319299999999997E-4</v>
      </c>
    </row>
    <row r="2529" spans="1:5" x14ac:dyDescent="0.3">
      <c r="A2529" s="8">
        <v>71</v>
      </c>
      <c r="B2529" s="8">
        <v>43</v>
      </c>
      <c r="C2529" s="8">
        <v>3037</v>
      </c>
      <c r="D2529" s="16">
        <v>-1.19942E-2</v>
      </c>
      <c r="E2529" s="8">
        <v>-5.9971E-3</v>
      </c>
    </row>
    <row r="2530" spans="1:5" x14ac:dyDescent="0.3">
      <c r="A2530" s="8">
        <v>71</v>
      </c>
      <c r="B2530" s="8">
        <v>44</v>
      </c>
      <c r="C2530" s="8">
        <v>3027</v>
      </c>
      <c r="D2530" s="16">
        <v>-7.9152679999999996E-3</v>
      </c>
      <c r="E2530" s="8">
        <v>-3.9576339999999998E-3</v>
      </c>
    </row>
    <row r="2531" spans="1:5" x14ac:dyDescent="0.3">
      <c r="A2531" s="8">
        <v>71</v>
      </c>
      <c r="B2531" s="8">
        <v>45</v>
      </c>
      <c r="C2531" s="8">
        <v>3049</v>
      </c>
      <c r="D2531" s="16">
        <v>1.4341949999999999E-2</v>
      </c>
      <c r="E2531" s="8">
        <v>7.1709749999999996E-3</v>
      </c>
    </row>
    <row r="2532" spans="1:5" x14ac:dyDescent="0.3">
      <c r="A2532" s="8">
        <v>71</v>
      </c>
      <c r="B2532" s="8">
        <v>46</v>
      </c>
      <c r="C2532" s="8">
        <v>3038</v>
      </c>
      <c r="D2532" s="16">
        <v>-3.2746659999999997E-2</v>
      </c>
      <c r="E2532" s="8">
        <v>-1.6373329999999998E-2</v>
      </c>
    </row>
    <row r="2533" spans="1:5" x14ac:dyDescent="0.3">
      <c r="A2533" s="8">
        <v>71</v>
      </c>
      <c r="B2533" s="8">
        <v>47</v>
      </c>
      <c r="C2533" s="8">
        <v>3026</v>
      </c>
      <c r="D2533" s="16">
        <v>1.366885E-4</v>
      </c>
      <c r="E2533" s="8">
        <v>6.8344249999999999E-5</v>
      </c>
    </row>
    <row r="2534" spans="1:5" x14ac:dyDescent="0.3">
      <c r="A2534" s="8">
        <v>71</v>
      </c>
      <c r="B2534" s="8">
        <v>48</v>
      </c>
      <c r="C2534" s="8">
        <v>3045</v>
      </c>
      <c r="D2534" s="16">
        <v>-3.212488E-4</v>
      </c>
      <c r="E2534" s="8">
        <v>-1.606244E-4</v>
      </c>
    </row>
    <row r="2535" spans="1:5" x14ac:dyDescent="0.3">
      <c r="A2535" s="8">
        <v>71</v>
      </c>
      <c r="B2535" s="8">
        <v>49</v>
      </c>
      <c r="C2535" s="8">
        <v>3019</v>
      </c>
      <c r="D2535" s="16">
        <v>-4.8391990000000003E-2</v>
      </c>
      <c r="E2535" s="8">
        <v>-2.4195995000000001E-2</v>
      </c>
    </row>
    <row r="2536" spans="1:5" x14ac:dyDescent="0.3">
      <c r="A2536" s="8">
        <v>71</v>
      </c>
      <c r="B2536" s="8">
        <v>50</v>
      </c>
      <c r="C2536" s="8">
        <v>3060</v>
      </c>
      <c r="D2536" s="16">
        <v>-7.2818960000000004E-3</v>
      </c>
      <c r="E2536" s="8">
        <v>-3.6409480000000002E-3</v>
      </c>
    </row>
    <row r="2537" spans="1:5" x14ac:dyDescent="0.3">
      <c r="A2537" s="8">
        <v>71</v>
      </c>
      <c r="B2537" s="8">
        <v>51</v>
      </c>
      <c r="C2537" s="8">
        <v>3040</v>
      </c>
      <c r="D2537" s="16">
        <v>-5.334295E-2</v>
      </c>
      <c r="E2537" s="8">
        <v>-2.6671475E-2</v>
      </c>
    </row>
    <row r="2538" spans="1:5" x14ac:dyDescent="0.3">
      <c r="A2538" s="8">
        <v>71</v>
      </c>
      <c r="B2538" s="8">
        <v>52</v>
      </c>
      <c r="C2538" s="8">
        <v>3042</v>
      </c>
      <c r="D2538" s="16">
        <v>-3.4619299999999999E-2</v>
      </c>
      <c r="E2538" s="8">
        <v>-1.7309649999999999E-2</v>
      </c>
    </row>
    <row r="2539" spans="1:5" x14ac:dyDescent="0.3">
      <c r="A2539" s="8">
        <v>71</v>
      </c>
      <c r="B2539" s="8">
        <v>53</v>
      </c>
      <c r="C2539" s="8">
        <v>3043</v>
      </c>
      <c r="D2539" s="16">
        <v>2.29375E-2</v>
      </c>
      <c r="E2539" s="8">
        <v>1.146875E-2</v>
      </c>
    </row>
    <row r="2540" spans="1:5" x14ac:dyDescent="0.3">
      <c r="A2540" s="8">
        <v>71</v>
      </c>
      <c r="B2540" s="8">
        <v>54</v>
      </c>
      <c r="C2540" s="8">
        <v>3034</v>
      </c>
      <c r="D2540" s="16">
        <v>-2.7360059999999999E-2</v>
      </c>
      <c r="E2540" s="8">
        <v>-1.3680029999999999E-2</v>
      </c>
    </row>
    <row r="2541" spans="1:5" x14ac:dyDescent="0.3">
      <c r="A2541" s="8">
        <v>71</v>
      </c>
      <c r="B2541" s="8">
        <v>55</v>
      </c>
      <c r="C2541" s="8">
        <v>3048</v>
      </c>
      <c r="D2541" s="16">
        <v>-1.336445E-2</v>
      </c>
      <c r="E2541" s="8">
        <v>-6.682225E-3</v>
      </c>
    </row>
    <row r="2542" spans="1:5" x14ac:dyDescent="0.3">
      <c r="A2542" s="8">
        <v>71</v>
      </c>
      <c r="B2542" s="8">
        <v>56</v>
      </c>
      <c r="C2542" s="8">
        <v>3053</v>
      </c>
      <c r="D2542" s="16">
        <v>-1.38362E-2</v>
      </c>
      <c r="E2542" s="8">
        <v>-6.9180999999999999E-3</v>
      </c>
    </row>
    <row r="2543" spans="1:5" x14ac:dyDescent="0.3">
      <c r="A2543" s="8">
        <v>71</v>
      </c>
      <c r="B2543" s="8">
        <v>57</v>
      </c>
      <c r="C2543" s="8">
        <v>3070</v>
      </c>
      <c r="D2543" s="16">
        <v>-1.480216E-2</v>
      </c>
      <c r="E2543" s="8">
        <v>-7.40108E-3</v>
      </c>
    </row>
    <row r="2544" spans="1:5" x14ac:dyDescent="0.3">
      <c r="A2544" s="8">
        <v>71</v>
      </c>
      <c r="B2544" s="8">
        <v>58</v>
      </c>
      <c r="C2544" s="8">
        <v>3048</v>
      </c>
      <c r="D2544" s="16">
        <v>5.8492910000000004E-3</v>
      </c>
      <c r="E2544" s="8">
        <v>2.9246455000000002E-3</v>
      </c>
    </row>
    <row r="2545" spans="1:5" x14ac:dyDescent="0.3">
      <c r="A2545" s="8">
        <v>71</v>
      </c>
      <c r="B2545" s="8">
        <v>59</v>
      </c>
      <c r="C2545" s="8">
        <v>3051</v>
      </c>
      <c r="D2545" s="16">
        <v>3.2937389999999997E-2</v>
      </c>
      <c r="E2545" s="8">
        <v>1.6468694999999998E-2</v>
      </c>
    </row>
    <row r="2546" spans="1:5" x14ac:dyDescent="0.3">
      <c r="A2546" s="8">
        <v>71</v>
      </c>
      <c r="B2546" s="8">
        <v>60</v>
      </c>
      <c r="C2546" s="8">
        <v>3048</v>
      </c>
      <c r="D2546" s="16">
        <v>2.626321E-3</v>
      </c>
      <c r="E2546" s="8">
        <v>1.3131605E-3</v>
      </c>
    </row>
    <row r="2547" spans="1:5" x14ac:dyDescent="0.3">
      <c r="A2547" s="8">
        <v>71</v>
      </c>
      <c r="B2547" s="8">
        <v>61</v>
      </c>
      <c r="C2547" s="8">
        <v>3047</v>
      </c>
      <c r="D2547" s="16">
        <v>-4.3099720000000001E-2</v>
      </c>
      <c r="E2547" s="8">
        <v>-2.1549860000000001E-2</v>
      </c>
    </row>
    <row r="2548" spans="1:5" x14ac:dyDescent="0.3">
      <c r="A2548" s="8">
        <v>71</v>
      </c>
      <c r="B2548" s="8">
        <v>62</v>
      </c>
      <c r="C2548" s="8">
        <v>3050</v>
      </c>
      <c r="D2548" s="16">
        <v>-2.9913800000000001E-2</v>
      </c>
      <c r="E2548" s="8">
        <v>-1.49569E-2</v>
      </c>
    </row>
    <row r="2549" spans="1:5" x14ac:dyDescent="0.3">
      <c r="A2549" s="8">
        <v>71</v>
      </c>
      <c r="B2549" s="8">
        <v>63</v>
      </c>
      <c r="C2549" s="8">
        <v>3050</v>
      </c>
      <c r="D2549" s="16">
        <v>-4.8852590000000001E-2</v>
      </c>
      <c r="E2549" s="8">
        <v>-2.4426295000000001E-2</v>
      </c>
    </row>
    <row r="2550" spans="1:5" x14ac:dyDescent="0.3">
      <c r="A2550" s="8">
        <v>71</v>
      </c>
      <c r="B2550" s="8">
        <v>64</v>
      </c>
      <c r="C2550" s="8">
        <v>3051</v>
      </c>
      <c r="D2550" s="16">
        <v>-2.8699200000000001E-2</v>
      </c>
      <c r="E2550" s="8">
        <v>-1.4349600000000001E-2</v>
      </c>
    </row>
    <row r="2551" spans="1:5" x14ac:dyDescent="0.3">
      <c r="A2551" s="8">
        <v>71</v>
      </c>
      <c r="B2551" s="8">
        <v>65</v>
      </c>
      <c r="C2551" s="8">
        <v>3046</v>
      </c>
      <c r="D2551" s="16">
        <v>-1.949793E-2</v>
      </c>
      <c r="E2551" s="8">
        <v>-9.7489650000000001E-3</v>
      </c>
    </row>
    <row r="2552" spans="1:5" x14ac:dyDescent="0.3">
      <c r="A2552" s="8">
        <v>71</v>
      </c>
      <c r="B2552" s="8">
        <v>66</v>
      </c>
      <c r="C2552" s="8">
        <v>3048</v>
      </c>
      <c r="D2552" s="16">
        <v>1.7552640000000001E-2</v>
      </c>
      <c r="E2552" s="8">
        <v>8.7763200000000006E-3</v>
      </c>
    </row>
    <row r="2553" spans="1:5" x14ac:dyDescent="0.3">
      <c r="A2553" s="8">
        <v>71</v>
      </c>
      <c r="B2553" s="8">
        <v>67</v>
      </c>
      <c r="C2553" s="8">
        <v>3040</v>
      </c>
      <c r="D2553" s="16">
        <v>1.651466E-2</v>
      </c>
      <c r="E2553" s="8">
        <v>8.2573300000000002E-3</v>
      </c>
    </row>
    <row r="2554" spans="1:5" x14ac:dyDescent="0.3">
      <c r="A2554" s="8">
        <v>71</v>
      </c>
      <c r="B2554" s="8">
        <v>68</v>
      </c>
      <c r="C2554" s="8">
        <v>3037</v>
      </c>
      <c r="D2554" s="16">
        <v>-3.2582130000000001E-2</v>
      </c>
      <c r="E2554" s="8">
        <v>-1.6291065E-2</v>
      </c>
    </row>
    <row r="2555" spans="1:5" x14ac:dyDescent="0.3">
      <c r="A2555" s="8">
        <v>71</v>
      </c>
      <c r="B2555" s="8">
        <v>69</v>
      </c>
      <c r="C2555" s="8">
        <v>3044</v>
      </c>
      <c r="D2555" s="16">
        <v>-2.4204710000000001E-2</v>
      </c>
      <c r="E2555" s="8">
        <v>-1.2102355E-2</v>
      </c>
    </row>
    <row r="2556" spans="1:5" x14ac:dyDescent="0.3">
      <c r="A2556" s="8">
        <v>71</v>
      </c>
      <c r="B2556" s="8">
        <v>70</v>
      </c>
      <c r="C2556" s="8">
        <v>3050</v>
      </c>
      <c r="D2556" s="16">
        <v>-4.9734540000000004E-3</v>
      </c>
      <c r="E2556" s="8">
        <v>-2.4867270000000002E-3</v>
      </c>
    </row>
    <row r="2557" spans="1:5" x14ac:dyDescent="0.3">
      <c r="A2557" s="8">
        <v>71</v>
      </c>
      <c r="B2557" s="8">
        <v>71</v>
      </c>
      <c r="C2557" s="8">
        <v>3146</v>
      </c>
      <c r="D2557" s="16">
        <v>1.0858449999999999</v>
      </c>
      <c r="E2557" s="8"/>
    </row>
    <row r="2558" spans="1:5" x14ac:dyDescent="0.3">
      <c r="A2558" s="8">
        <v>72</v>
      </c>
      <c r="B2558" s="8">
        <v>1</v>
      </c>
      <c r="C2558" s="8">
        <v>3066</v>
      </c>
      <c r="D2558" s="16">
        <v>-4.8866720000000002E-2</v>
      </c>
      <c r="E2558" s="8">
        <v>-2.4433360000000001E-2</v>
      </c>
    </row>
    <row r="2559" spans="1:5" x14ac:dyDescent="0.3">
      <c r="A2559" s="8">
        <v>72</v>
      </c>
      <c r="B2559" s="8">
        <v>2</v>
      </c>
      <c r="C2559" s="8">
        <v>3032</v>
      </c>
      <c r="D2559" s="16">
        <v>-2.806256E-2</v>
      </c>
      <c r="E2559" s="8">
        <v>-1.403128E-2</v>
      </c>
    </row>
    <row r="2560" spans="1:5" x14ac:dyDescent="0.3">
      <c r="A2560" s="8">
        <v>72</v>
      </c>
      <c r="B2560" s="8">
        <v>3</v>
      </c>
      <c r="C2560" s="8">
        <v>3058</v>
      </c>
      <c r="D2560" s="16">
        <v>4.0436029999999998E-3</v>
      </c>
      <c r="E2560" s="8">
        <v>2.0218014999999999E-3</v>
      </c>
    </row>
    <row r="2561" spans="1:5" x14ac:dyDescent="0.3">
      <c r="A2561" s="8">
        <v>72</v>
      </c>
      <c r="B2561" s="8">
        <v>4</v>
      </c>
      <c r="C2561" s="8">
        <v>3036</v>
      </c>
      <c r="D2561" s="16">
        <v>-2.370444E-2</v>
      </c>
      <c r="E2561" s="8">
        <v>-1.185222E-2</v>
      </c>
    </row>
    <row r="2562" spans="1:5" x14ac:dyDescent="0.3">
      <c r="A2562" s="8">
        <v>72</v>
      </c>
      <c r="B2562" s="8">
        <v>5</v>
      </c>
      <c r="C2562" s="8">
        <v>3024</v>
      </c>
      <c r="D2562" s="16">
        <v>2.8240560000000001E-3</v>
      </c>
      <c r="E2562" s="8">
        <v>1.4120280000000001E-3</v>
      </c>
    </row>
    <row r="2563" spans="1:5" x14ac:dyDescent="0.3">
      <c r="A2563" s="8">
        <v>72</v>
      </c>
      <c r="B2563" s="8">
        <v>6</v>
      </c>
      <c r="C2563" s="8">
        <v>3041</v>
      </c>
      <c r="D2563" s="16">
        <v>1.4282990000000001E-2</v>
      </c>
      <c r="E2563" s="8">
        <v>7.1414950000000003E-3</v>
      </c>
    </row>
    <row r="2564" spans="1:5" x14ac:dyDescent="0.3">
      <c r="A2564" s="8">
        <v>72</v>
      </c>
      <c r="B2564" s="8">
        <v>7</v>
      </c>
      <c r="C2564" s="8">
        <v>3034</v>
      </c>
      <c r="D2564" s="16">
        <v>6.8923960000000003E-3</v>
      </c>
      <c r="E2564" s="8">
        <v>3.4461980000000001E-3</v>
      </c>
    </row>
    <row r="2565" spans="1:5" x14ac:dyDescent="0.3">
      <c r="A2565" s="8">
        <v>72</v>
      </c>
      <c r="B2565" s="8">
        <v>8</v>
      </c>
      <c r="C2565" s="8">
        <v>3056</v>
      </c>
      <c r="D2565" s="16">
        <v>-4.1094409999999998E-2</v>
      </c>
      <c r="E2565" s="8">
        <v>-2.0547204999999999E-2</v>
      </c>
    </row>
    <row r="2566" spans="1:5" x14ac:dyDescent="0.3">
      <c r="A2566" s="8">
        <v>72</v>
      </c>
      <c r="B2566" s="8">
        <v>9</v>
      </c>
      <c r="C2566" s="8">
        <v>3040</v>
      </c>
      <c r="D2566" s="16">
        <v>1.398489E-2</v>
      </c>
      <c r="E2566" s="8">
        <v>6.9924449999999999E-3</v>
      </c>
    </row>
    <row r="2567" spans="1:5" x14ac:dyDescent="0.3">
      <c r="A2567" s="8">
        <v>72</v>
      </c>
      <c r="B2567" s="8">
        <v>10</v>
      </c>
      <c r="C2567" s="8">
        <v>3032</v>
      </c>
      <c r="D2567" s="16">
        <v>4.5097619999999998E-2</v>
      </c>
      <c r="E2567" s="8">
        <v>2.2548809999999999E-2</v>
      </c>
    </row>
    <row r="2568" spans="1:5" x14ac:dyDescent="0.3">
      <c r="A2568" s="8">
        <v>72</v>
      </c>
      <c r="B2568" s="8">
        <v>11</v>
      </c>
      <c r="C2568" s="8">
        <v>3041</v>
      </c>
      <c r="D2568" s="16">
        <v>-2.859275E-2</v>
      </c>
      <c r="E2568" s="8">
        <v>-1.4296375E-2</v>
      </c>
    </row>
    <row r="2569" spans="1:5" x14ac:dyDescent="0.3">
      <c r="A2569" s="8">
        <v>72</v>
      </c>
      <c r="B2569" s="8">
        <v>12</v>
      </c>
      <c r="C2569" s="8">
        <v>3056</v>
      </c>
      <c r="D2569" s="16">
        <v>-2.806264E-2</v>
      </c>
      <c r="E2569" s="8">
        <v>-1.403132E-2</v>
      </c>
    </row>
    <row r="2570" spans="1:5" x14ac:dyDescent="0.3">
      <c r="A2570" s="8">
        <v>72</v>
      </c>
      <c r="B2570" s="8">
        <v>13</v>
      </c>
      <c r="C2570" s="8">
        <v>3035</v>
      </c>
      <c r="D2570" s="16">
        <v>-3.6522779999999998E-2</v>
      </c>
      <c r="E2570" s="8">
        <v>-1.8261389999999999E-2</v>
      </c>
    </row>
    <row r="2571" spans="1:5" x14ac:dyDescent="0.3">
      <c r="A2571" s="8">
        <v>72</v>
      </c>
      <c r="B2571" s="8">
        <v>14</v>
      </c>
      <c r="C2571" s="8">
        <v>3034</v>
      </c>
      <c r="D2571" s="16">
        <v>-3.4792480000000001E-2</v>
      </c>
      <c r="E2571" s="8">
        <v>-1.739624E-2</v>
      </c>
    </row>
    <row r="2572" spans="1:5" x14ac:dyDescent="0.3">
      <c r="A2572" s="8">
        <v>72</v>
      </c>
      <c r="B2572" s="8">
        <v>15</v>
      </c>
      <c r="C2572" s="8">
        <v>3043</v>
      </c>
      <c r="D2572" s="16">
        <v>-2.376089E-2</v>
      </c>
      <c r="E2572" s="8">
        <v>-1.1880445E-2</v>
      </c>
    </row>
    <row r="2573" spans="1:5" x14ac:dyDescent="0.3">
      <c r="A2573" s="8">
        <v>72</v>
      </c>
      <c r="B2573" s="8">
        <v>16</v>
      </c>
      <c r="C2573" s="8">
        <v>3049</v>
      </c>
      <c r="D2573" s="16">
        <v>-4.9904320000000004E-3</v>
      </c>
      <c r="E2573" s="8">
        <v>-2.4952160000000002E-3</v>
      </c>
    </row>
    <row r="2574" spans="1:5" x14ac:dyDescent="0.3">
      <c r="A2574" s="8">
        <v>72</v>
      </c>
      <c r="B2574" s="8">
        <v>17</v>
      </c>
      <c r="C2574" s="8">
        <v>3039</v>
      </c>
      <c r="D2574" s="16">
        <v>4.9607449999999997E-2</v>
      </c>
      <c r="E2574" s="8">
        <v>2.4803724999999999E-2</v>
      </c>
    </row>
    <row r="2575" spans="1:5" x14ac:dyDescent="0.3">
      <c r="A2575" s="8">
        <v>72</v>
      </c>
      <c r="B2575" s="8">
        <v>18</v>
      </c>
      <c r="C2575" s="8">
        <v>3061</v>
      </c>
      <c r="D2575" s="16">
        <v>-1.954393E-3</v>
      </c>
      <c r="E2575" s="8">
        <v>-9.7719650000000001E-4</v>
      </c>
    </row>
    <row r="2576" spans="1:5" x14ac:dyDescent="0.3">
      <c r="A2576" s="8">
        <v>72</v>
      </c>
      <c r="B2576" s="8">
        <v>19</v>
      </c>
      <c r="C2576" s="8">
        <v>3039</v>
      </c>
      <c r="D2576" s="16">
        <v>3.3374089999999999E-3</v>
      </c>
      <c r="E2576" s="8">
        <v>1.6687045E-3</v>
      </c>
    </row>
    <row r="2577" spans="1:5" x14ac:dyDescent="0.3">
      <c r="A2577" s="8">
        <v>72</v>
      </c>
      <c r="B2577" s="8">
        <v>20</v>
      </c>
      <c r="C2577" s="8">
        <v>3048</v>
      </c>
      <c r="D2577" s="16">
        <v>-1.152046E-2</v>
      </c>
      <c r="E2577" s="8">
        <v>-5.7602299999999999E-3</v>
      </c>
    </row>
    <row r="2578" spans="1:5" x14ac:dyDescent="0.3">
      <c r="A2578" s="8">
        <v>72</v>
      </c>
      <c r="B2578" s="8">
        <v>21</v>
      </c>
      <c r="C2578" s="8">
        <v>3047</v>
      </c>
      <c r="D2578" s="16">
        <v>-1.8185130000000001E-2</v>
      </c>
      <c r="E2578" s="8">
        <v>-9.0925650000000004E-3</v>
      </c>
    </row>
    <row r="2579" spans="1:5" x14ac:dyDescent="0.3">
      <c r="A2579" s="8">
        <v>72</v>
      </c>
      <c r="B2579" s="8">
        <v>22</v>
      </c>
      <c r="C2579" s="8">
        <v>3038</v>
      </c>
      <c r="D2579" s="16">
        <v>8.1512819999999993E-3</v>
      </c>
      <c r="E2579" s="8">
        <v>4.0756409999999996E-3</v>
      </c>
    </row>
    <row r="2580" spans="1:5" x14ac:dyDescent="0.3">
      <c r="A2580" s="8">
        <v>72</v>
      </c>
      <c r="B2580" s="8">
        <v>23</v>
      </c>
      <c r="C2580" s="8">
        <v>3036</v>
      </c>
      <c r="D2580" s="16">
        <v>-4.5118249999999999E-2</v>
      </c>
      <c r="E2580" s="8">
        <v>-2.2559124999999999E-2</v>
      </c>
    </row>
    <row r="2581" spans="1:5" x14ac:dyDescent="0.3">
      <c r="A2581" s="8">
        <v>72</v>
      </c>
      <c r="B2581" s="8">
        <v>24</v>
      </c>
      <c r="C2581" s="8">
        <v>3063</v>
      </c>
      <c r="D2581" s="16">
        <v>-2.9766620000000001E-2</v>
      </c>
      <c r="E2581" s="8">
        <v>-1.488331E-2</v>
      </c>
    </row>
    <row r="2582" spans="1:5" x14ac:dyDescent="0.3">
      <c r="A2582" s="8">
        <v>72</v>
      </c>
      <c r="B2582" s="8">
        <v>25</v>
      </c>
      <c r="C2582" s="8">
        <v>3046</v>
      </c>
      <c r="D2582" s="16">
        <v>-3.2172800000000001E-2</v>
      </c>
      <c r="E2582" s="8">
        <v>-1.6086400000000001E-2</v>
      </c>
    </row>
    <row r="2583" spans="1:5" x14ac:dyDescent="0.3">
      <c r="A2583" s="8">
        <v>72</v>
      </c>
      <c r="B2583" s="8">
        <v>26</v>
      </c>
      <c r="C2583" s="8">
        <v>3052</v>
      </c>
      <c r="D2583" s="16">
        <v>-9.4582309999999992E-3</v>
      </c>
      <c r="E2583" s="8">
        <v>-4.7291154999999996E-3</v>
      </c>
    </row>
    <row r="2584" spans="1:5" x14ac:dyDescent="0.3">
      <c r="A2584" s="8">
        <v>72</v>
      </c>
      <c r="B2584" s="8">
        <v>27</v>
      </c>
      <c r="C2584" s="8">
        <v>3063</v>
      </c>
      <c r="D2584" s="16">
        <v>-1.7064840000000001E-2</v>
      </c>
      <c r="E2584" s="8">
        <v>-8.5324200000000006E-3</v>
      </c>
    </row>
    <row r="2585" spans="1:5" x14ac:dyDescent="0.3">
      <c r="A2585" s="8">
        <v>72</v>
      </c>
      <c r="B2585" s="8">
        <v>28</v>
      </c>
      <c r="C2585" s="8">
        <v>3029</v>
      </c>
      <c r="D2585" s="16">
        <v>1.062686E-2</v>
      </c>
      <c r="E2585" s="8">
        <v>5.3134300000000001E-3</v>
      </c>
    </row>
    <row r="2586" spans="1:5" x14ac:dyDescent="0.3">
      <c r="A2586" s="8">
        <v>72</v>
      </c>
      <c r="B2586" s="8">
        <v>29</v>
      </c>
      <c r="C2586" s="8">
        <v>3034</v>
      </c>
      <c r="D2586" s="16">
        <v>1.8029690000000001E-2</v>
      </c>
      <c r="E2586" s="8">
        <v>9.0148450000000005E-3</v>
      </c>
    </row>
    <row r="2587" spans="1:5" x14ac:dyDescent="0.3">
      <c r="A2587" s="8">
        <v>72</v>
      </c>
      <c r="B2587" s="8">
        <v>30</v>
      </c>
      <c r="C2587" s="8">
        <v>3044</v>
      </c>
      <c r="D2587" s="16">
        <v>2.0906810000000001E-2</v>
      </c>
      <c r="E2587" s="8">
        <v>1.0453405000000001E-2</v>
      </c>
    </row>
    <row r="2588" spans="1:5" x14ac:dyDescent="0.3">
      <c r="A2588" s="8">
        <v>72</v>
      </c>
      <c r="B2588" s="8">
        <v>31</v>
      </c>
      <c r="C2588" s="8">
        <v>2969</v>
      </c>
      <c r="D2588" s="16">
        <v>-1.9664230000000001E-2</v>
      </c>
      <c r="E2588" s="8">
        <v>-9.8321150000000006E-3</v>
      </c>
    </row>
    <row r="2589" spans="1:5" x14ac:dyDescent="0.3">
      <c r="A2589" s="8">
        <v>72</v>
      </c>
      <c r="B2589" s="8">
        <v>32</v>
      </c>
      <c r="C2589" s="8">
        <v>3031</v>
      </c>
      <c r="D2589" s="16">
        <v>-2.0182049999999999E-3</v>
      </c>
      <c r="E2589" s="8">
        <v>-1.0091025E-3</v>
      </c>
    </row>
    <row r="2590" spans="1:5" x14ac:dyDescent="0.3">
      <c r="A2590" s="8">
        <v>72</v>
      </c>
      <c r="B2590" s="8">
        <v>33</v>
      </c>
      <c r="C2590" s="8">
        <v>3064</v>
      </c>
      <c r="D2590" s="16">
        <v>-1.029886E-2</v>
      </c>
      <c r="E2590" s="8">
        <v>-5.14943E-3</v>
      </c>
    </row>
    <row r="2591" spans="1:5" x14ac:dyDescent="0.3">
      <c r="A2591" s="8">
        <v>72</v>
      </c>
      <c r="B2591" s="8">
        <v>34</v>
      </c>
      <c r="C2591" s="8">
        <v>3050</v>
      </c>
      <c r="D2591" s="16">
        <v>-1.211286E-2</v>
      </c>
      <c r="E2591" s="8">
        <v>-6.0564299999999998E-3</v>
      </c>
    </row>
    <row r="2592" spans="1:5" x14ac:dyDescent="0.3">
      <c r="A2592" s="8">
        <v>72</v>
      </c>
      <c r="B2592" s="8">
        <v>35</v>
      </c>
      <c r="C2592" s="8">
        <v>3044</v>
      </c>
      <c r="D2592" s="16">
        <v>-3.5066839999999999E-3</v>
      </c>
      <c r="E2592" s="8">
        <v>-1.753342E-3</v>
      </c>
    </row>
    <row r="2593" spans="1:5" x14ac:dyDescent="0.3">
      <c r="A2593" s="8">
        <v>72</v>
      </c>
      <c r="B2593" s="8">
        <v>36</v>
      </c>
      <c r="C2593" s="8">
        <v>3052</v>
      </c>
      <c r="D2593" s="16">
        <v>-4.0718619999999997E-2</v>
      </c>
      <c r="E2593" s="8">
        <v>-2.0359309999999999E-2</v>
      </c>
    </row>
    <row r="2594" spans="1:5" x14ac:dyDescent="0.3">
      <c r="A2594" s="8">
        <v>72</v>
      </c>
      <c r="B2594" s="8">
        <v>37</v>
      </c>
      <c r="C2594" s="8">
        <v>3015</v>
      </c>
      <c r="D2594" s="16">
        <v>-1.849371E-2</v>
      </c>
      <c r="E2594" s="8">
        <v>-9.246855E-3</v>
      </c>
    </row>
    <row r="2595" spans="1:5" x14ac:dyDescent="0.3">
      <c r="A2595" s="8">
        <v>72</v>
      </c>
      <c r="B2595" s="8">
        <v>38</v>
      </c>
      <c r="C2595" s="8">
        <v>3062</v>
      </c>
      <c r="D2595" s="16">
        <v>-6.4017780000000003E-3</v>
      </c>
      <c r="E2595" s="8">
        <v>-3.2008890000000002E-3</v>
      </c>
    </row>
    <row r="2596" spans="1:5" x14ac:dyDescent="0.3">
      <c r="A2596" s="8">
        <v>72</v>
      </c>
      <c r="B2596" s="8">
        <v>39</v>
      </c>
      <c r="C2596" s="8">
        <v>3049</v>
      </c>
      <c r="D2596" s="16">
        <v>-4.2762960000000003E-2</v>
      </c>
      <c r="E2596" s="8">
        <v>-2.1381480000000001E-2</v>
      </c>
    </row>
    <row r="2597" spans="1:5" x14ac:dyDescent="0.3">
      <c r="A2597" s="8">
        <v>72</v>
      </c>
      <c r="B2597" s="8">
        <v>40</v>
      </c>
      <c r="C2597" s="8">
        <v>3047</v>
      </c>
      <c r="D2597" s="16">
        <v>2.989383E-3</v>
      </c>
      <c r="E2597" s="8">
        <v>1.4946915E-3</v>
      </c>
    </row>
    <row r="2598" spans="1:5" x14ac:dyDescent="0.3">
      <c r="A2598" s="8">
        <v>72</v>
      </c>
      <c r="B2598" s="8">
        <v>41</v>
      </c>
      <c r="C2598" s="8">
        <v>3024</v>
      </c>
      <c r="D2598" s="16">
        <v>-3.8091439999999997E-2</v>
      </c>
      <c r="E2598" s="8">
        <v>-1.9045719999999999E-2</v>
      </c>
    </row>
    <row r="2599" spans="1:5" x14ac:dyDescent="0.3">
      <c r="A2599" s="8">
        <v>72</v>
      </c>
      <c r="B2599" s="8">
        <v>42</v>
      </c>
      <c r="C2599" s="8">
        <v>3014</v>
      </c>
      <c r="D2599" s="16">
        <v>-1.0766199999999999E-3</v>
      </c>
      <c r="E2599" s="8">
        <v>-5.3830999999999996E-4</v>
      </c>
    </row>
    <row r="2600" spans="1:5" x14ac:dyDescent="0.3">
      <c r="A2600" s="8">
        <v>72</v>
      </c>
      <c r="B2600" s="8">
        <v>43</v>
      </c>
      <c r="C2600" s="8">
        <v>3037</v>
      </c>
      <c r="D2600" s="16">
        <v>1.0357150000000001E-2</v>
      </c>
      <c r="E2600" s="8">
        <v>5.1785750000000004E-3</v>
      </c>
    </row>
    <row r="2601" spans="1:5" x14ac:dyDescent="0.3">
      <c r="A2601" s="8">
        <v>72</v>
      </c>
      <c r="B2601" s="8">
        <v>44</v>
      </c>
      <c r="C2601" s="8">
        <v>3017</v>
      </c>
      <c r="D2601" s="16">
        <v>4.2542539999999997E-2</v>
      </c>
      <c r="E2601" s="8">
        <v>2.1271269999999998E-2</v>
      </c>
    </row>
    <row r="2602" spans="1:5" x14ac:dyDescent="0.3">
      <c r="A2602" s="8">
        <v>72</v>
      </c>
      <c r="B2602" s="8">
        <v>45</v>
      </c>
      <c r="C2602" s="8">
        <v>3046</v>
      </c>
      <c r="D2602" s="16">
        <v>-1.7502400000000001E-2</v>
      </c>
      <c r="E2602" s="8">
        <v>-8.7512000000000006E-3</v>
      </c>
    </row>
    <row r="2603" spans="1:5" x14ac:dyDescent="0.3">
      <c r="A2603" s="8">
        <v>72</v>
      </c>
      <c r="B2603" s="8">
        <v>46</v>
      </c>
      <c r="C2603" s="8">
        <v>3036</v>
      </c>
      <c r="D2603" s="16">
        <v>-2.9003729999999998E-2</v>
      </c>
      <c r="E2603" s="8">
        <v>-1.4501864999999999E-2</v>
      </c>
    </row>
    <row r="2604" spans="1:5" x14ac:dyDescent="0.3">
      <c r="A2604" s="8">
        <v>72</v>
      </c>
      <c r="B2604" s="8">
        <v>47</v>
      </c>
      <c r="C2604" s="8">
        <v>3019</v>
      </c>
      <c r="D2604" s="16">
        <v>-3.692633E-2</v>
      </c>
      <c r="E2604" s="8">
        <v>-1.8463165E-2</v>
      </c>
    </row>
    <row r="2605" spans="1:5" x14ac:dyDescent="0.3">
      <c r="A2605" s="8">
        <v>72</v>
      </c>
      <c r="B2605" s="8">
        <v>48</v>
      </c>
      <c r="C2605" s="8">
        <v>3043</v>
      </c>
      <c r="D2605" s="16">
        <v>-4.6701199999999998E-2</v>
      </c>
      <c r="E2605" s="8">
        <v>-2.3350599999999999E-2</v>
      </c>
    </row>
    <row r="2606" spans="1:5" x14ac:dyDescent="0.3">
      <c r="A2606" s="8">
        <v>72</v>
      </c>
      <c r="B2606" s="8">
        <v>49</v>
      </c>
      <c r="C2606" s="8">
        <v>3018</v>
      </c>
      <c r="D2606" s="16">
        <v>-0.1007319</v>
      </c>
      <c r="E2606" s="8">
        <v>-5.036595E-2</v>
      </c>
    </row>
    <row r="2607" spans="1:5" x14ac:dyDescent="0.3">
      <c r="A2607" s="8">
        <v>72</v>
      </c>
      <c r="B2607" s="8">
        <v>50</v>
      </c>
      <c r="C2607" s="8">
        <v>3060</v>
      </c>
      <c r="D2607" s="16">
        <v>-3.5745209999999999E-2</v>
      </c>
      <c r="E2607" s="8">
        <v>-1.7872605E-2</v>
      </c>
    </row>
    <row r="2608" spans="1:5" x14ac:dyDescent="0.3">
      <c r="A2608" s="8">
        <v>72</v>
      </c>
      <c r="B2608" s="8">
        <v>51</v>
      </c>
      <c r="C2608" s="8">
        <v>3039</v>
      </c>
      <c r="D2608" s="16">
        <v>4.2215719999999998E-2</v>
      </c>
      <c r="E2608" s="8">
        <v>2.1107859999999999E-2</v>
      </c>
    </row>
    <row r="2609" spans="1:5" x14ac:dyDescent="0.3">
      <c r="A2609" s="8">
        <v>72</v>
      </c>
      <c r="B2609" s="8">
        <v>52</v>
      </c>
      <c r="C2609" s="8">
        <v>3040</v>
      </c>
      <c r="D2609" s="16">
        <v>-1.7309740000000001E-2</v>
      </c>
      <c r="E2609" s="8">
        <v>-8.6548700000000003E-3</v>
      </c>
    </row>
    <row r="2610" spans="1:5" x14ac:dyDescent="0.3">
      <c r="A2610" s="8">
        <v>72</v>
      </c>
      <c r="B2610" s="8">
        <v>53</v>
      </c>
      <c r="C2610" s="8">
        <v>3045</v>
      </c>
      <c r="D2610" s="16">
        <v>-9.735643E-4</v>
      </c>
      <c r="E2610" s="8">
        <v>-4.8678215E-4</v>
      </c>
    </row>
    <row r="2611" spans="1:5" x14ac:dyDescent="0.3">
      <c r="A2611" s="8">
        <v>72</v>
      </c>
      <c r="B2611" s="8">
        <v>54</v>
      </c>
      <c r="C2611" s="8">
        <v>3027</v>
      </c>
      <c r="D2611" s="16">
        <v>-1.001604E-2</v>
      </c>
      <c r="E2611" s="8">
        <v>-5.0080200000000002E-3</v>
      </c>
    </row>
    <row r="2612" spans="1:5" x14ac:dyDescent="0.3">
      <c r="A2612" s="8">
        <v>72</v>
      </c>
      <c r="B2612" s="8">
        <v>55</v>
      </c>
      <c r="C2612" s="8">
        <v>3047</v>
      </c>
      <c r="D2612" s="16">
        <v>-8.9978499999999999E-3</v>
      </c>
      <c r="E2612" s="8">
        <v>-4.498925E-3</v>
      </c>
    </row>
    <row r="2613" spans="1:5" x14ac:dyDescent="0.3">
      <c r="A2613" s="8">
        <v>72</v>
      </c>
      <c r="B2613" s="8">
        <v>56</v>
      </c>
      <c r="C2613" s="8">
        <v>3049</v>
      </c>
      <c r="D2613" s="16">
        <v>-3.5966730000000002E-2</v>
      </c>
      <c r="E2613" s="8">
        <v>-1.7983365000000001E-2</v>
      </c>
    </row>
    <row r="2614" spans="1:5" x14ac:dyDescent="0.3">
      <c r="A2614" s="8">
        <v>72</v>
      </c>
      <c r="B2614" s="8">
        <v>57</v>
      </c>
      <c r="C2614" s="8">
        <v>3066</v>
      </c>
      <c r="D2614" s="16">
        <v>-7.0077550000000002E-2</v>
      </c>
      <c r="E2614" s="8">
        <v>-3.5038775000000001E-2</v>
      </c>
    </row>
    <row r="2615" spans="1:5" x14ac:dyDescent="0.3">
      <c r="A2615" s="8">
        <v>72</v>
      </c>
      <c r="B2615" s="8">
        <v>58</v>
      </c>
      <c r="C2615" s="8">
        <v>3050</v>
      </c>
      <c r="D2615" s="16">
        <v>-6.3460699999999997E-3</v>
      </c>
      <c r="E2615" s="8">
        <v>-3.1730349999999998E-3</v>
      </c>
    </row>
    <row r="2616" spans="1:5" x14ac:dyDescent="0.3">
      <c r="A2616" s="8">
        <v>72</v>
      </c>
      <c r="B2616" s="8">
        <v>59</v>
      </c>
      <c r="C2616" s="8">
        <v>3051</v>
      </c>
      <c r="D2616" s="16">
        <v>-1.9430230000000001E-3</v>
      </c>
      <c r="E2616" s="8">
        <v>-9.7151150000000005E-4</v>
      </c>
    </row>
    <row r="2617" spans="1:5" x14ac:dyDescent="0.3">
      <c r="A2617" s="8">
        <v>72</v>
      </c>
      <c r="B2617" s="8">
        <v>60</v>
      </c>
      <c r="C2617" s="8">
        <v>3041</v>
      </c>
      <c r="D2617" s="16">
        <v>-2.3467700000000001E-2</v>
      </c>
      <c r="E2617" s="8">
        <v>-1.1733850000000001E-2</v>
      </c>
    </row>
    <row r="2618" spans="1:5" x14ac:dyDescent="0.3">
      <c r="A2618" s="8">
        <v>72</v>
      </c>
      <c r="B2618" s="8">
        <v>61</v>
      </c>
      <c r="C2618" s="8">
        <v>3047</v>
      </c>
      <c r="D2618" s="16">
        <v>-1.5796000000000001E-2</v>
      </c>
      <c r="E2618" s="8">
        <v>-7.8980000000000005E-3</v>
      </c>
    </row>
    <row r="2619" spans="1:5" x14ac:dyDescent="0.3">
      <c r="A2619" s="8">
        <v>72</v>
      </c>
      <c r="B2619" s="8">
        <v>62</v>
      </c>
      <c r="C2619" s="8">
        <v>3052</v>
      </c>
      <c r="D2619" s="16">
        <v>-9.8372040000000004E-3</v>
      </c>
      <c r="E2619" s="8">
        <v>-4.9186020000000002E-3</v>
      </c>
    </row>
    <row r="2620" spans="1:5" x14ac:dyDescent="0.3">
      <c r="A2620" s="8">
        <v>72</v>
      </c>
      <c r="B2620" s="8">
        <v>63</v>
      </c>
      <c r="C2620" s="8">
        <v>3050</v>
      </c>
      <c r="D2620" s="16">
        <v>-1.1346439999999999E-2</v>
      </c>
      <c r="E2620" s="8">
        <v>-5.6732199999999997E-3</v>
      </c>
    </row>
    <row r="2621" spans="1:5" x14ac:dyDescent="0.3">
      <c r="A2621" s="8">
        <v>72</v>
      </c>
      <c r="B2621" s="8">
        <v>64</v>
      </c>
      <c r="C2621" s="8">
        <v>3048</v>
      </c>
      <c r="D2621" s="16">
        <v>-3.3145099999999997E-2</v>
      </c>
      <c r="E2621" s="8">
        <v>-1.6572549999999998E-2</v>
      </c>
    </row>
    <row r="2622" spans="1:5" x14ac:dyDescent="0.3">
      <c r="A2622" s="8">
        <v>72</v>
      </c>
      <c r="B2622" s="8">
        <v>65</v>
      </c>
      <c r="C2622" s="8">
        <v>3046</v>
      </c>
      <c r="D2622" s="16">
        <v>-3.3338069999999997E-2</v>
      </c>
      <c r="E2622" s="8">
        <v>-1.6669034999999999E-2</v>
      </c>
    </row>
    <row r="2623" spans="1:5" x14ac:dyDescent="0.3">
      <c r="A2623" s="8">
        <v>72</v>
      </c>
      <c r="B2623" s="8">
        <v>66</v>
      </c>
      <c r="C2623" s="8">
        <v>3050</v>
      </c>
      <c r="D2623" s="16">
        <v>-2.84558E-2</v>
      </c>
      <c r="E2623" s="8">
        <v>-1.42279E-2</v>
      </c>
    </row>
    <row r="2624" spans="1:5" x14ac:dyDescent="0.3">
      <c r="A2624" s="8">
        <v>72</v>
      </c>
      <c r="B2624" s="8">
        <v>67</v>
      </c>
      <c r="C2624" s="8">
        <v>3036</v>
      </c>
      <c r="D2624" s="16">
        <v>2.9922270000000001E-3</v>
      </c>
      <c r="E2624" s="8">
        <v>1.4961135E-3</v>
      </c>
    </row>
    <row r="2625" spans="1:5" x14ac:dyDescent="0.3">
      <c r="A2625" s="8">
        <v>72</v>
      </c>
      <c r="B2625" s="8">
        <v>68</v>
      </c>
      <c r="C2625" s="8">
        <v>3038</v>
      </c>
      <c r="D2625" s="16">
        <v>4.4946E-2</v>
      </c>
      <c r="E2625" s="8">
        <v>2.2473E-2</v>
      </c>
    </row>
    <row r="2626" spans="1:5" x14ac:dyDescent="0.3">
      <c r="A2626" s="8">
        <v>72</v>
      </c>
      <c r="B2626" s="8">
        <v>69</v>
      </c>
      <c r="C2626" s="8">
        <v>3045</v>
      </c>
      <c r="D2626" s="16">
        <v>-6.3099489999999996E-3</v>
      </c>
      <c r="E2626" s="8">
        <v>-3.1549744999999998E-3</v>
      </c>
    </row>
    <row r="2627" spans="1:5" x14ac:dyDescent="0.3">
      <c r="A2627" s="8">
        <v>72</v>
      </c>
      <c r="B2627" s="8">
        <v>70</v>
      </c>
      <c r="C2627" s="8">
        <v>3049</v>
      </c>
      <c r="D2627" s="16">
        <v>-2.2640560000000001E-2</v>
      </c>
      <c r="E2627" s="8">
        <v>-1.132028E-2</v>
      </c>
    </row>
    <row r="2628" spans="1:5" x14ac:dyDescent="0.3">
      <c r="A2628" s="8">
        <v>72</v>
      </c>
      <c r="B2628" s="8">
        <v>71</v>
      </c>
      <c r="C2628" s="8">
        <v>3034</v>
      </c>
      <c r="D2628" s="16">
        <v>-5.6606470000000004E-3</v>
      </c>
      <c r="E2628" s="8">
        <v>-2.8303235000000002E-3</v>
      </c>
    </row>
    <row r="2629" spans="1:5" x14ac:dyDescent="0.3">
      <c r="A2629" s="8">
        <v>72</v>
      </c>
      <c r="B2629" s="8">
        <v>72</v>
      </c>
      <c r="C2629" s="8">
        <v>3143</v>
      </c>
      <c r="D2629" s="16">
        <v>1.1241650000000001</v>
      </c>
      <c r="E2629" s="8"/>
    </row>
    <row r="2630" spans="1:5" x14ac:dyDescent="0.3">
      <c r="A2630" s="8">
        <v>73</v>
      </c>
      <c r="B2630" s="8">
        <v>1</v>
      </c>
      <c r="C2630" s="8">
        <v>3086</v>
      </c>
      <c r="D2630" s="16">
        <v>-2.6796560000000001E-2</v>
      </c>
      <c r="E2630" s="8">
        <v>-1.339828E-2</v>
      </c>
    </row>
    <row r="2631" spans="1:5" x14ac:dyDescent="0.3">
      <c r="A2631" s="8">
        <v>73</v>
      </c>
      <c r="B2631" s="8">
        <v>2</v>
      </c>
      <c r="C2631" s="8">
        <v>3052</v>
      </c>
      <c r="D2631" s="16">
        <v>-2.1371009999999999E-2</v>
      </c>
      <c r="E2631" s="8">
        <v>-1.0685505E-2</v>
      </c>
    </row>
    <row r="2632" spans="1:5" x14ac:dyDescent="0.3">
      <c r="A2632" s="8">
        <v>73</v>
      </c>
      <c r="B2632" s="8">
        <v>3</v>
      </c>
      <c r="C2632" s="8">
        <v>3079</v>
      </c>
      <c r="D2632" s="16">
        <v>1.2490380000000001E-2</v>
      </c>
      <c r="E2632" s="8">
        <v>6.2451900000000003E-3</v>
      </c>
    </row>
    <row r="2633" spans="1:5" x14ac:dyDescent="0.3">
      <c r="A2633" s="8">
        <v>73</v>
      </c>
      <c r="B2633" s="8">
        <v>4</v>
      </c>
      <c r="C2633" s="8">
        <v>3057</v>
      </c>
      <c r="D2633" s="16">
        <v>-3.0596760000000001E-2</v>
      </c>
      <c r="E2633" s="8">
        <v>-1.529838E-2</v>
      </c>
    </row>
    <row r="2634" spans="1:5" x14ac:dyDescent="0.3">
      <c r="A2634" s="8">
        <v>73</v>
      </c>
      <c r="B2634" s="8">
        <v>5</v>
      </c>
      <c r="C2634" s="8">
        <v>3044</v>
      </c>
      <c r="D2634" s="16">
        <v>-7.4918789999999999E-3</v>
      </c>
      <c r="E2634" s="8">
        <v>-3.7459394999999999E-3</v>
      </c>
    </row>
    <row r="2635" spans="1:5" x14ac:dyDescent="0.3">
      <c r="A2635" s="8">
        <v>73</v>
      </c>
      <c r="B2635" s="8">
        <v>6</v>
      </c>
      <c r="C2635" s="8">
        <v>3063</v>
      </c>
      <c r="D2635" s="16">
        <v>2.073968E-2</v>
      </c>
      <c r="E2635" s="8">
        <v>1.036984E-2</v>
      </c>
    </row>
    <row r="2636" spans="1:5" x14ac:dyDescent="0.3">
      <c r="A2636" s="8">
        <v>73</v>
      </c>
      <c r="B2636" s="8">
        <v>7</v>
      </c>
      <c r="C2636" s="8">
        <v>3061</v>
      </c>
      <c r="D2636" s="16">
        <v>1.291689E-2</v>
      </c>
      <c r="E2636" s="8">
        <v>6.4584450000000002E-3</v>
      </c>
    </row>
    <row r="2637" spans="1:5" x14ac:dyDescent="0.3">
      <c r="A2637" s="8">
        <v>73</v>
      </c>
      <c r="B2637" s="8">
        <v>8</v>
      </c>
      <c r="C2637" s="8">
        <v>3076</v>
      </c>
      <c r="D2637" s="16">
        <v>-3.9581489999999997E-2</v>
      </c>
      <c r="E2637" s="8">
        <v>-1.9790744999999998E-2</v>
      </c>
    </row>
    <row r="2638" spans="1:5" x14ac:dyDescent="0.3">
      <c r="A2638" s="8">
        <v>73</v>
      </c>
      <c r="B2638" s="8">
        <v>9</v>
      </c>
      <c r="C2638" s="8">
        <v>3066</v>
      </c>
      <c r="D2638" s="16">
        <v>5.7002570000000002E-2</v>
      </c>
      <c r="E2638" s="8">
        <v>2.8501285000000001E-2</v>
      </c>
    </row>
    <row r="2639" spans="1:5" x14ac:dyDescent="0.3">
      <c r="A2639" s="8">
        <v>73</v>
      </c>
      <c r="B2639" s="8">
        <v>10</v>
      </c>
      <c r="C2639" s="8">
        <v>3059</v>
      </c>
      <c r="D2639" s="16">
        <v>-8.3213909999999992E-3</v>
      </c>
      <c r="E2639" s="8">
        <v>-4.1606954999999996E-3</v>
      </c>
    </row>
    <row r="2640" spans="1:5" x14ac:dyDescent="0.3">
      <c r="A2640" s="8">
        <v>73</v>
      </c>
      <c r="B2640" s="8">
        <v>11</v>
      </c>
      <c r="C2640" s="8">
        <v>3058</v>
      </c>
      <c r="D2640" s="16">
        <v>4.5889499999999996E-3</v>
      </c>
      <c r="E2640" s="8">
        <v>2.2944749999999998E-3</v>
      </c>
    </row>
    <row r="2641" spans="1:5" x14ac:dyDescent="0.3">
      <c r="A2641" s="8">
        <v>73</v>
      </c>
      <c r="B2641" s="8">
        <v>12</v>
      </c>
      <c r="C2641" s="8">
        <v>3074</v>
      </c>
      <c r="D2641" s="16">
        <v>-8.6685819999999993E-3</v>
      </c>
      <c r="E2641" s="8">
        <v>-4.3342909999999997E-3</v>
      </c>
    </row>
    <row r="2642" spans="1:5" x14ac:dyDescent="0.3">
      <c r="A2642" s="8">
        <v>73</v>
      </c>
      <c r="B2642" s="8">
        <v>13</v>
      </c>
      <c r="C2642" s="8">
        <v>3060</v>
      </c>
      <c r="D2642" s="16">
        <v>-5.8292200000000002E-2</v>
      </c>
      <c r="E2642" s="8">
        <v>-2.9146100000000001E-2</v>
      </c>
    </row>
    <row r="2643" spans="1:5" x14ac:dyDescent="0.3">
      <c r="A2643" s="8">
        <v>73</v>
      </c>
      <c r="B2643" s="8">
        <v>14</v>
      </c>
      <c r="C2643" s="8">
        <v>3056</v>
      </c>
      <c r="D2643" s="16">
        <v>-3.2915960000000001E-2</v>
      </c>
      <c r="E2643" s="8">
        <v>-1.6457980000000001E-2</v>
      </c>
    </row>
    <row r="2644" spans="1:5" x14ac:dyDescent="0.3">
      <c r="A2644" s="8">
        <v>73</v>
      </c>
      <c r="B2644" s="8">
        <v>15</v>
      </c>
      <c r="C2644" s="8">
        <v>3066</v>
      </c>
      <c r="D2644" s="16">
        <v>-8.872352E-3</v>
      </c>
      <c r="E2644" s="8">
        <v>-4.436176E-3</v>
      </c>
    </row>
    <row r="2645" spans="1:5" x14ac:dyDescent="0.3">
      <c r="A2645" s="8">
        <v>73</v>
      </c>
      <c r="B2645" s="8">
        <v>16</v>
      </c>
      <c r="C2645" s="8">
        <v>3070</v>
      </c>
      <c r="D2645" s="16">
        <v>2.6652590000000001E-3</v>
      </c>
      <c r="E2645" s="8">
        <v>1.3326295000000001E-3</v>
      </c>
    </row>
    <row r="2646" spans="1:5" x14ac:dyDescent="0.3">
      <c r="A2646" s="8">
        <v>73</v>
      </c>
      <c r="B2646" s="8">
        <v>17</v>
      </c>
      <c r="C2646" s="8">
        <v>3065</v>
      </c>
      <c r="D2646" s="16">
        <v>2.4355450000000001E-2</v>
      </c>
      <c r="E2646" s="8">
        <v>1.2177725E-2</v>
      </c>
    </row>
    <row r="2647" spans="1:5" x14ac:dyDescent="0.3">
      <c r="A2647" s="8">
        <v>73</v>
      </c>
      <c r="B2647" s="8">
        <v>18</v>
      </c>
      <c r="C2647" s="8">
        <v>3084</v>
      </c>
      <c r="D2647" s="16">
        <v>-2.0456240000000001E-2</v>
      </c>
      <c r="E2647" s="8">
        <v>-1.022812E-2</v>
      </c>
    </row>
    <row r="2648" spans="1:5" x14ac:dyDescent="0.3">
      <c r="A2648" s="8">
        <v>73</v>
      </c>
      <c r="B2648" s="8">
        <v>19</v>
      </c>
      <c r="C2648" s="8">
        <v>3067</v>
      </c>
      <c r="D2648" s="16">
        <v>-1.7035100000000001E-2</v>
      </c>
      <c r="E2648" s="8">
        <v>-8.5175500000000005E-3</v>
      </c>
    </row>
    <row r="2649" spans="1:5" x14ac:dyDescent="0.3">
      <c r="A2649" s="8">
        <v>73</v>
      </c>
      <c r="B2649" s="8">
        <v>20</v>
      </c>
      <c r="C2649" s="8">
        <v>3072</v>
      </c>
      <c r="D2649" s="16">
        <v>3.8658720000000001E-2</v>
      </c>
      <c r="E2649" s="8">
        <v>1.932936E-2</v>
      </c>
    </row>
    <row r="2650" spans="1:5" x14ac:dyDescent="0.3">
      <c r="A2650" s="8">
        <v>73</v>
      </c>
      <c r="B2650" s="8">
        <v>21</v>
      </c>
      <c r="C2650" s="8">
        <v>3072</v>
      </c>
      <c r="D2650" s="16">
        <v>-3.4333340000000001E-3</v>
      </c>
      <c r="E2650" s="8">
        <v>-1.7166670000000001E-3</v>
      </c>
    </row>
    <row r="2651" spans="1:5" x14ac:dyDescent="0.3">
      <c r="A2651" s="8">
        <v>73</v>
      </c>
      <c r="B2651" s="8">
        <v>22</v>
      </c>
      <c r="C2651" s="8">
        <v>3059</v>
      </c>
      <c r="D2651" s="16">
        <v>1.322239E-5</v>
      </c>
      <c r="E2651" s="8">
        <v>6.611195E-6</v>
      </c>
    </row>
    <row r="2652" spans="1:5" x14ac:dyDescent="0.3">
      <c r="A2652" s="8">
        <v>73</v>
      </c>
      <c r="B2652" s="8">
        <v>23</v>
      </c>
      <c r="C2652" s="8">
        <v>3060</v>
      </c>
      <c r="D2652" s="16">
        <v>-8.2516380000000004E-3</v>
      </c>
      <c r="E2652" s="8">
        <v>-4.1258190000000002E-3</v>
      </c>
    </row>
    <row r="2653" spans="1:5" x14ac:dyDescent="0.3">
      <c r="A2653" s="8">
        <v>73</v>
      </c>
      <c r="B2653" s="8">
        <v>24</v>
      </c>
      <c r="C2653" s="8">
        <v>3087</v>
      </c>
      <c r="D2653" s="16">
        <v>-1.1552339999999999E-2</v>
      </c>
      <c r="E2653" s="8">
        <v>-5.7761699999999997E-3</v>
      </c>
    </row>
    <row r="2654" spans="1:5" x14ac:dyDescent="0.3">
      <c r="A2654" s="8">
        <v>73</v>
      </c>
      <c r="B2654" s="8">
        <v>25</v>
      </c>
      <c r="C2654" s="8">
        <v>3062</v>
      </c>
      <c r="D2654" s="16">
        <v>1.9451139999999999E-2</v>
      </c>
      <c r="E2654" s="8">
        <v>9.7255699999999994E-3</v>
      </c>
    </row>
    <row r="2655" spans="1:5" x14ac:dyDescent="0.3">
      <c r="A2655" s="8">
        <v>73</v>
      </c>
      <c r="B2655" s="8">
        <v>26</v>
      </c>
      <c r="C2655" s="8">
        <v>3074</v>
      </c>
      <c r="D2655" s="16">
        <v>1.8520310000000002E-2</v>
      </c>
      <c r="E2655" s="8">
        <v>9.2601550000000008E-3</v>
      </c>
    </row>
    <row r="2656" spans="1:5" x14ac:dyDescent="0.3">
      <c r="A2656" s="8">
        <v>73</v>
      </c>
      <c r="B2656" s="8">
        <v>27</v>
      </c>
      <c r="C2656" s="8">
        <v>3087</v>
      </c>
      <c r="D2656" s="16">
        <v>-2.621134E-2</v>
      </c>
      <c r="E2656" s="8">
        <v>-1.310567E-2</v>
      </c>
    </row>
    <row r="2657" spans="1:5" x14ac:dyDescent="0.3">
      <c r="A2657" s="8">
        <v>73</v>
      </c>
      <c r="B2657" s="8">
        <v>28</v>
      </c>
      <c r="C2657" s="8">
        <v>3052</v>
      </c>
      <c r="D2657" s="16">
        <v>-1.1872819999999999E-2</v>
      </c>
      <c r="E2657" s="8">
        <v>-5.9364099999999996E-3</v>
      </c>
    </row>
    <row r="2658" spans="1:5" x14ac:dyDescent="0.3">
      <c r="A2658" s="8">
        <v>73</v>
      </c>
      <c r="B2658" s="8">
        <v>29</v>
      </c>
      <c r="C2658" s="8">
        <v>3054</v>
      </c>
      <c r="D2658" s="16">
        <v>-1.078611E-2</v>
      </c>
      <c r="E2658" s="8">
        <v>-5.3930549999999999E-3</v>
      </c>
    </row>
    <row r="2659" spans="1:5" x14ac:dyDescent="0.3">
      <c r="A2659" s="8">
        <v>73</v>
      </c>
      <c r="B2659" s="8">
        <v>30</v>
      </c>
      <c r="C2659" s="8">
        <v>3063</v>
      </c>
      <c r="D2659" s="16">
        <v>-3.2269350000000002E-2</v>
      </c>
      <c r="E2659" s="8">
        <v>-1.6134675000000001E-2</v>
      </c>
    </row>
    <row r="2660" spans="1:5" x14ac:dyDescent="0.3">
      <c r="A2660" s="8">
        <v>73</v>
      </c>
      <c r="B2660" s="8">
        <v>31</v>
      </c>
      <c r="C2660" s="8">
        <v>2988</v>
      </c>
      <c r="D2660" s="16">
        <v>1.129341E-2</v>
      </c>
      <c r="E2660" s="8">
        <v>5.6467050000000001E-3</v>
      </c>
    </row>
    <row r="2661" spans="1:5" x14ac:dyDescent="0.3">
      <c r="A2661" s="8">
        <v>73</v>
      </c>
      <c r="B2661" s="8">
        <v>32</v>
      </c>
      <c r="C2661" s="8">
        <v>3055</v>
      </c>
      <c r="D2661" s="16">
        <v>-6.5429019999999997E-3</v>
      </c>
      <c r="E2661" s="8">
        <v>-3.2714509999999999E-3</v>
      </c>
    </row>
    <row r="2662" spans="1:5" x14ac:dyDescent="0.3">
      <c r="A2662" s="8">
        <v>73</v>
      </c>
      <c r="B2662" s="8">
        <v>33</v>
      </c>
      <c r="C2662" s="8">
        <v>3087</v>
      </c>
      <c r="D2662" s="16">
        <v>-1.6390849999999998E-2</v>
      </c>
      <c r="E2662" s="8">
        <v>-8.1954249999999992E-3</v>
      </c>
    </row>
    <row r="2663" spans="1:5" x14ac:dyDescent="0.3">
      <c r="A2663" s="8">
        <v>73</v>
      </c>
      <c r="B2663" s="8">
        <v>34</v>
      </c>
      <c r="C2663" s="8">
        <v>3073</v>
      </c>
      <c r="D2663" s="16">
        <v>-9.1005459999999993E-3</v>
      </c>
      <c r="E2663" s="8">
        <v>-4.5502729999999996E-3</v>
      </c>
    </row>
    <row r="2664" spans="1:5" x14ac:dyDescent="0.3">
      <c r="A2664" s="8">
        <v>73</v>
      </c>
      <c r="B2664" s="8">
        <v>35</v>
      </c>
      <c r="C2664" s="8">
        <v>3066</v>
      </c>
      <c r="D2664" s="16">
        <v>1.9444860000000001E-2</v>
      </c>
      <c r="E2664" s="8">
        <v>9.7224300000000007E-3</v>
      </c>
    </row>
    <row r="2665" spans="1:5" x14ac:dyDescent="0.3">
      <c r="A2665" s="8">
        <v>73</v>
      </c>
      <c r="B2665" s="8">
        <v>36</v>
      </c>
      <c r="C2665" s="8">
        <v>3075</v>
      </c>
      <c r="D2665" s="16">
        <v>-5.3472209999999999E-2</v>
      </c>
      <c r="E2665" s="8">
        <v>-2.6736105E-2</v>
      </c>
    </row>
    <row r="2666" spans="1:5" x14ac:dyDescent="0.3">
      <c r="A2666" s="8">
        <v>73</v>
      </c>
      <c r="B2666" s="8">
        <v>37</v>
      </c>
      <c r="C2666" s="8">
        <v>3040</v>
      </c>
      <c r="D2666" s="16">
        <v>-5.3727129999999998E-2</v>
      </c>
      <c r="E2666" s="8">
        <v>-2.6863564999999999E-2</v>
      </c>
    </row>
    <row r="2667" spans="1:5" x14ac:dyDescent="0.3">
      <c r="A2667" s="8">
        <v>73</v>
      </c>
      <c r="B2667" s="8">
        <v>38</v>
      </c>
      <c r="C2667" s="8">
        <v>3083</v>
      </c>
      <c r="D2667" s="16">
        <v>-3.1886959999999999E-2</v>
      </c>
      <c r="E2667" s="8">
        <v>-1.5943479999999999E-2</v>
      </c>
    </row>
    <row r="2668" spans="1:5" x14ac:dyDescent="0.3">
      <c r="A2668" s="8">
        <v>73</v>
      </c>
      <c r="B2668" s="8">
        <v>39</v>
      </c>
      <c r="C2668" s="8">
        <v>3070</v>
      </c>
      <c r="D2668" s="16">
        <v>2.9305080000000001E-2</v>
      </c>
      <c r="E2668" s="8">
        <v>1.465254E-2</v>
      </c>
    </row>
    <row r="2669" spans="1:5" x14ac:dyDescent="0.3">
      <c r="A2669" s="8">
        <v>73</v>
      </c>
      <c r="B2669" s="8">
        <v>40</v>
      </c>
      <c r="C2669" s="8">
        <v>3071</v>
      </c>
      <c r="D2669" s="16">
        <v>-8.2366460000000002E-3</v>
      </c>
      <c r="E2669" s="8">
        <v>-4.1183230000000001E-3</v>
      </c>
    </row>
    <row r="2670" spans="1:5" x14ac:dyDescent="0.3">
      <c r="A2670" s="8">
        <v>73</v>
      </c>
      <c r="B2670" s="8">
        <v>41</v>
      </c>
      <c r="C2670" s="8">
        <v>3044</v>
      </c>
      <c r="D2670" s="16">
        <v>4.8741990000000001E-3</v>
      </c>
      <c r="E2670" s="8">
        <v>2.4370995E-3</v>
      </c>
    </row>
    <row r="2671" spans="1:5" x14ac:dyDescent="0.3">
      <c r="A2671" s="8">
        <v>73</v>
      </c>
      <c r="B2671" s="8">
        <v>42</v>
      </c>
      <c r="C2671" s="8">
        <v>3035</v>
      </c>
      <c r="D2671" s="16">
        <v>-2.0432970000000002E-2</v>
      </c>
      <c r="E2671" s="8">
        <v>-1.0216485000000001E-2</v>
      </c>
    </row>
    <row r="2672" spans="1:5" x14ac:dyDescent="0.3">
      <c r="A2672" s="8">
        <v>73</v>
      </c>
      <c r="B2672" s="8">
        <v>43</v>
      </c>
      <c r="C2672" s="8">
        <v>3056</v>
      </c>
      <c r="D2672" s="16">
        <v>-2.4093489999999999E-2</v>
      </c>
      <c r="E2672" s="8">
        <v>-1.2046744999999999E-2</v>
      </c>
    </row>
    <row r="2673" spans="1:5" x14ac:dyDescent="0.3">
      <c r="A2673" s="8">
        <v>73</v>
      </c>
      <c r="B2673" s="8">
        <v>44</v>
      </c>
      <c r="C2673" s="8">
        <v>3038</v>
      </c>
      <c r="D2673" s="16">
        <v>2.9458249999999998E-2</v>
      </c>
      <c r="E2673" s="8">
        <v>1.4729124999999999E-2</v>
      </c>
    </row>
    <row r="2674" spans="1:5" x14ac:dyDescent="0.3">
      <c r="A2674" s="8">
        <v>73</v>
      </c>
      <c r="B2674" s="8">
        <v>45</v>
      </c>
      <c r="C2674" s="8">
        <v>3070</v>
      </c>
      <c r="D2674" s="16">
        <v>-1.8337539999999999E-2</v>
      </c>
      <c r="E2674" s="8">
        <v>-9.1687699999999997E-3</v>
      </c>
    </row>
    <row r="2675" spans="1:5" x14ac:dyDescent="0.3">
      <c r="A2675" s="8">
        <v>73</v>
      </c>
      <c r="B2675" s="8">
        <v>46</v>
      </c>
      <c r="C2675" s="8">
        <v>3056</v>
      </c>
      <c r="D2675" s="16">
        <v>3.0062230000000001E-3</v>
      </c>
      <c r="E2675" s="8">
        <v>1.5031115000000001E-3</v>
      </c>
    </row>
    <row r="2676" spans="1:5" x14ac:dyDescent="0.3">
      <c r="A2676" s="8">
        <v>73</v>
      </c>
      <c r="B2676" s="8">
        <v>47</v>
      </c>
      <c r="C2676" s="8">
        <v>3040</v>
      </c>
      <c r="D2676" s="16">
        <v>-2.7348850000000001E-2</v>
      </c>
      <c r="E2676" s="8">
        <v>-1.3674425E-2</v>
      </c>
    </row>
    <row r="2677" spans="1:5" x14ac:dyDescent="0.3">
      <c r="A2677" s="8">
        <v>73</v>
      </c>
      <c r="B2677" s="8">
        <v>48</v>
      </c>
      <c r="C2677" s="8">
        <v>3068</v>
      </c>
      <c r="D2677" s="16">
        <v>-5.0801409999999998E-2</v>
      </c>
      <c r="E2677" s="8">
        <v>-2.5400704999999999E-2</v>
      </c>
    </row>
    <row r="2678" spans="1:5" x14ac:dyDescent="0.3">
      <c r="A2678" s="8">
        <v>73</v>
      </c>
      <c r="B2678" s="8">
        <v>49</v>
      </c>
      <c r="C2678" s="8">
        <v>3036</v>
      </c>
      <c r="D2678" s="16">
        <v>-2.2646090000000001E-2</v>
      </c>
      <c r="E2678" s="8">
        <v>-1.1323045E-2</v>
      </c>
    </row>
    <row r="2679" spans="1:5" x14ac:dyDescent="0.3">
      <c r="A2679" s="8">
        <v>73</v>
      </c>
      <c r="B2679" s="8">
        <v>50</v>
      </c>
      <c r="C2679" s="8">
        <v>3083</v>
      </c>
      <c r="D2679" s="16">
        <v>-6.1827319999999998E-2</v>
      </c>
      <c r="E2679" s="8">
        <v>-3.0913659999999999E-2</v>
      </c>
    </row>
    <row r="2680" spans="1:5" x14ac:dyDescent="0.3">
      <c r="A2680" s="8">
        <v>73</v>
      </c>
      <c r="B2680" s="8">
        <v>51</v>
      </c>
      <c r="C2680" s="8">
        <v>3061</v>
      </c>
      <c r="D2680" s="16">
        <v>-2.2030029999999999E-2</v>
      </c>
      <c r="E2680" s="8">
        <v>-1.1015015E-2</v>
      </c>
    </row>
    <row r="2681" spans="1:5" x14ac:dyDescent="0.3">
      <c r="A2681" s="8">
        <v>73</v>
      </c>
      <c r="B2681" s="8">
        <v>52</v>
      </c>
      <c r="C2681" s="8">
        <v>3064</v>
      </c>
      <c r="D2681" s="16">
        <v>-2.8280820000000002E-2</v>
      </c>
      <c r="E2681" s="8">
        <v>-1.4140410000000001E-2</v>
      </c>
    </row>
    <row r="2682" spans="1:5" x14ac:dyDescent="0.3">
      <c r="A2682" s="8">
        <v>73</v>
      </c>
      <c r="B2682" s="8">
        <v>53</v>
      </c>
      <c r="C2682" s="8">
        <v>3065</v>
      </c>
      <c r="D2682" s="16">
        <v>-3.2900810000000003E-2</v>
      </c>
      <c r="E2682" s="8">
        <v>-1.6450405000000001E-2</v>
      </c>
    </row>
    <row r="2683" spans="1:5" x14ac:dyDescent="0.3">
      <c r="A2683" s="8">
        <v>73</v>
      </c>
      <c r="B2683" s="8">
        <v>54</v>
      </c>
      <c r="C2683" s="8">
        <v>3049</v>
      </c>
      <c r="D2683" s="16">
        <v>7.4703629999999998E-3</v>
      </c>
      <c r="E2683" s="8">
        <v>3.7351814999999999E-3</v>
      </c>
    </row>
    <row r="2684" spans="1:5" x14ac:dyDescent="0.3">
      <c r="A2684" s="8">
        <v>73</v>
      </c>
      <c r="B2684" s="8">
        <v>55</v>
      </c>
      <c r="C2684" s="8">
        <v>3071</v>
      </c>
      <c r="D2684" s="16">
        <v>-3.5071629999999999E-2</v>
      </c>
      <c r="E2684" s="8">
        <v>-1.7535815E-2</v>
      </c>
    </row>
    <row r="2685" spans="1:5" x14ac:dyDescent="0.3">
      <c r="A2685" s="8">
        <v>73</v>
      </c>
      <c r="B2685" s="8">
        <v>56</v>
      </c>
      <c r="C2685" s="8">
        <v>3072</v>
      </c>
      <c r="D2685" s="16">
        <v>-7.1337969999999999E-3</v>
      </c>
      <c r="E2685" s="8">
        <v>-3.5668984999999999E-3</v>
      </c>
    </row>
    <row r="2686" spans="1:5" x14ac:dyDescent="0.3">
      <c r="A2686" s="8">
        <v>73</v>
      </c>
      <c r="B2686" s="8">
        <v>57</v>
      </c>
      <c r="C2686" s="8">
        <v>3086</v>
      </c>
      <c r="D2686" s="16">
        <v>-5.0630520000000002E-3</v>
      </c>
      <c r="E2686" s="8">
        <v>-2.5315260000000001E-3</v>
      </c>
    </row>
    <row r="2687" spans="1:5" x14ac:dyDescent="0.3">
      <c r="A2687" s="8">
        <v>73</v>
      </c>
      <c r="B2687" s="8">
        <v>58</v>
      </c>
      <c r="C2687" s="8">
        <v>3074</v>
      </c>
      <c r="D2687" s="16">
        <v>-2.0457110000000001E-2</v>
      </c>
      <c r="E2687" s="8">
        <v>-1.0228555E-2</v>
      </c>
    </row>
    <row r="2688" spans="1:5" x14ac:dyDescent="0.3">
      <c r="A2688" s="8">
        <v>73</v>
      </c>
      <c r="B2688" s="8">
        <v>59</v>
      </c>
      <c r="C2688" s="8">
        <v>3071</v>
      </c>
      <c r="D2688" s="16">
        <v>8.4446720000000003E-3</v>
      </c>
      <c r="E2688" s="8">
        <v>4.2223360000000001E-3</v>
      </c>
    </row>
    <row r="2689" spans="1:5" x14ac:dyDescent="0.3">
      <c r="A2689" s="8">
        <v>73</v>
      </c>
      <c r="B2689" s="8">
        <v>60</v>
      </c>
      <c r="C2689" s="8">
        <v>3064</v>
      </c>
      <c r="D2689" s="16">
        <v>-8.1280809999999995E-2</v>
      </c>
      <c r="E2689" s="8">
        <v>-4.0640404999999998E-2</v>
      </c>
    </row>
    <row r="2690" spans="1:5" x14ac:dyDescent="0.3">
      <c r="A2690" s="8">
        <v>73</v>
      </c>
      <c r="B2690" s="8">
        <v>61</v>
      </c>
      <c r="C2690" s="8">
        <v>3066</v>
      </c>
      <c r="D2690" s="16">
        <v>-2.3188009999999998E-2</v>
      </c>
      <c r="E2690" s="8">
        <v>-1.1594004999999999E-2</v>
      </c>
    </row>
    <row r="2691" spans="1:5" x14ac:dyDescent="0.3">
      <c r="A2691" s="8">
        <v>73</v>
      </c>
      <c r="B2691" s="8">
        <v>62</v>
      </c>
      <c r="C2691" s="8">
        <v>3075</v>
      </c>
      <c r="D2691" s="16">
        <v>-1.99756E-2</v>
      </c>
      <c r="E2691" s="8">
        <v>-9.9877999999999998E-3</v>
      </c>
    </row>
    <row r="2692" spans="1:5" x14ac:dyDescent="0.3">
      <c r="A2692" s="8">
        <v>73</v>
      </c>
      <c r="B2692" s="8">
        <v>63</v>
      </c>
      <c r="C2692" s="8">
        <v>3074</v>
      </c>
      <c r="D2692" s="16">
        <v>-3.8859860000000003E-2</v>
      </c>
      <c r="E2692" s="8">
        <v>-1.9429930000000002E-2</v>
      </c>
    </row>
    <row r="2693" spans="1:5" x14ac:dyDescent="0.3">
      <c r="A2693" s="8">
        <v>73</v>
      </c>
      <c r="B2693" s="8">
        <v>64</v>
      </c>
      <c r="C2693" s="8">
        <v>3070</v>
      </c>
      <c r="D2693" s="16">
        <v>-4.9073579999999999E-2</v>
      </c>
      <c r="E2693" s="8">
        <v>-2.4536789999999999E-2</v>
      </c>
    </row>
    <row r="2694" spans="1:5" x14ac:dyDescent="0.3">
      <c r="A2694" s="8">
        <v>73</v>
      </c>
      <c r="B2694" s="8">
        <v>65</v>
      </c>
      <c r="C2694" s="8">
        <v>3073</v>
      </c>
      <c r="D2694" s="16">
        <v>-2.9397019999999999E-2</v>
      </c>
      <c r="E2694" s="8">
        <v>-1.469851E-2</v>
      </c>
    </row>
    <row r="2695" spans="1:5" x14ac:dyDescent="0.3">
      <c r="A2695" s="8">
        <v>73</v>
      </c>
      <c r="B2695" s="8">
        <v>66</v>
      </c>
      <c r="C2695" s="8">
        <v>3078</v>
      </c>
      <c r="D2695" s="16">
        <v>1.591675E-2</v>
      </c>
      <c r="E2695" s="8">
        <v>7.9583750000000002E-3</v>
      </c>
    </row>
    <row r="2696" spans="1:5" x14ac:dyDescent="0.3">
      <c r="A2696" s="8">
        <v>73</v>
      </c>
      <c r="B2696" s="8">
        <v>67</v>
      </c>
      <c r="C2696" s="8">
        <v>3058</v>
      </c>
      <c r="D2696" s="16">
        <v>2.2314009999999999E-2</v>
      </c>
      <c r="E2696" s="8">
        <v>1.1157004999999999E-2</v>
      </c>
    </row>
    <row r="2697" spans="1:5" x14ac:dyDescent="0.3">
      <c r="A2697" s="8">
        <v>73</v>
      </c>
      <c r="B2697" s="8">
        <v>68</v>
      </c>
      <c r="C2697" s="8">
        <v>3058</v>
      </c>
      <c r="D2697" s="16">
        <v>-5.4817959999999999E-2</v>
      </c>
      <c r="E2697" s="8">
        <v>-2.7408979999999999E-2</v>
      </c>
    </row>
    <row r="2698" spans="1:5" x14ac:dyDescent="0.3">
      <c r="A2698" s="8">
        <v>73</v>
      </c>
      <c r="B2698" s="8">
        <v>69</v>
      </c>
      <c r="C2698" s="8">
        <v>3066</v>
      </c>
      <c r="D2698" s="16">
        <v>-2.872833E-2</v>
      </c>
      <c r="E2698" s="8">
        <v>-1.4364165E-2</v>
      </c>
    </row>
    <row r="2699" spans="1:5" x14ac:dyDescent="0.3">
      <c r="A2699" s="8">
        <v>73</v>
      </c>
      <c r="B2699" s="8">
        <v>70</v>
      </c>
      <c r="C2699" s="8">
        <v>3072</v>
      </c>
      <c r="D2699" s="16">
        <v>-4.0829030000000002E-2</v>
      </c>
      <c r="E2699" s="8">
        <v>-2.0414515000000001E-2</v>
      </c>
    </row>
    <row r="2700" spans="1:5" x14ac:dyDescent="0.3">
      <c r="A2700" s="8">
        <v>73</v>
      </c>
      <c r="B2700" s="8">
        <v>71</v>
      </c>
      <c r="C2700" s="8">
        <v>3064</v>
      </c>
      <c r="D2700" s="16">
        <v>3.3000429999999999E-3</v>
      </c>
      <c r="E2700" s="8">
        <v>1.6500215E-3</v>
      </c>
    </row>
    <row r="2701" spans="1:5" x14ac:dyDescent="0.3">
      <c r="A2701" s="8">
        <v>73</v>
      </c>
      <c r="B2701" s="8">
        <v>72</v>
      </c>
      <c r="C2701" s="8">
        <v>3063</v>
      </c>
      <c r="D2701" s="16">
        <v>-1.243208E-2</v>
      </c>
      <c r="E2701" s="8">
        <v>-6.2160399999999999E-3</v>
      </c>
    </row>
    <row r="2702" spans="1:5" x14ac:dyDescent="0.3">
      <c r="A2702" s="8">
        <v>73</v>
      </c>
      <c r="B2702" s="8">
        <v>73</v>
      </c>
      <c r="C2702" s="8">
        <v>3167</v>
      </c>
      <c r="D2702" s="16">
        <v>1.0668340000000001</v>
      </c>
      <c r="E2702" s="8"/>
    </row>
    <row r="2703" spans="1:5" x14ac:dyDescent="0.3">
      <c r="A2703" s="8">
        <v>74</v>
      </c>
      <c r="B2703" s="8">
        <v>1</v>
      </c>
      <c r="C2703" s="8">
        <v>3062</v>
      </c>
      <c r="D2703" s="16">
        <v>-2.3439890000000001E-2</v>
      </c>
      <c r="E2703" s="8">
        <v>-1.1719945000000001E-2</v>
      </c>
    </row>
    <row r="2704" spans="1:5" x14ac:dyDescent="0.3">
      <c r="A2704" s="8">
        <v>74</v>
      </c>
      <c r="B2704" s="8">
        <v>2</v>
      </c>
      <c r="C2704" s="8">
        <v>3028</v>
      </c>
      <c r="D2704" s="16">
        <v>-5.2339610000000002E-2</v>
      </c>
      <c r="E2704" s="8">
        <v>-2.6169805000000001E-2</v>
      </c>
    </row>
    <row r="2705" spans="1:5" x14ac:dyDescent="0.3">
      <c r="A2705" s="8">
        <v>74</v>
      </c>
      <c r="B2705" s="8">
        <v>3</v>
      </c>
      <c r="C2705" s="8">
        <v>3053</v>
      </c>
      <c r="D2705" s="16">
        <v>-8.8875429999999995E-3</v>
      </c>
      <c r="E2705" s="8">
        <v>-4.4437714999999997E-3</v>
      </c>
    </row>
    <row r="2706" spans="1:5" x14ac:dyDescent="0.3">
      <c r="A2706" s="8">
        <v>74</v>
      </c>
      <c r="B2706" s="8">
        <v>4</v>
      </c>
      <c r="C2706" s="8">
        <v>3033</v>
      </c>
      <c r="D2706" s="16">
        <v>-5.359862E-2</v>
      </c>
      <c r="E2706" s="8">
        <v>-2.679931E-2</v>
      </c>
    </row>
    <row r="2707" spans="1:5" x14ac:dyDescent="0.3">
      <c r="A2707" s="8">
        <v>74</v>
      </c>
      <c r="B2707" s="8">
        <v>5</v>
      </c>
      <c r="C2707" s="8">
        <v>3023</v>
      </c>
      <c r="D2707" s="16">
        <v>-1.8731069999999999E-2</v>
      </c>
      <c r="E2707" s="8">
        <v>-9.3655349999999995E-3</v>
      </c>
    </row>
    <row r="2708" spans="1:5" x14ac:dyDescent="0.3">
      <c r="A2708" s="8">
        <v>74</v>
      </c>
      <c r="B2708" s="8">
        <v>6</v>
      </c>
      <c r="C2708" s="8">
        <v>3038</v>
      </c>
      <c r="D2708" s="16">
        <v>-1.889333E-2</v>
      </c>
      <c r="E2708" s="8">
        <v>-9.4466649999999999E-3</v>
      </c>
    </row>
    <row r="2709" spans="1:5" x14ac:dyDescent="0.3">
      <c r="A2709" s="8">
        <v>74</v>
      </c>
      <c r="B2709" s="8">
        <v>7</v>
      </c>
      <c r="C2709" s="8">
        <v>3033</v>
      </c>
      <c r="D2709" s="16">
        <v>-4.3662340000000001E-3</v>
      </c>
      <c r="E2709" s="8">
        <v>-2.183117E-3</v>
      </c>
    </row>
    <row r="2710" spans="1:5" x14ac:dyDescent="0.3">
      <c r="A2710" s="8">
        <v>74</v>
      </c>
      <c r="B2710" s="8">
        <v>8</v>
      </c>
      <c r="C2710" s="8">
        <v>3053</v>
      </c>
      <c r="D2710" s="16">
        <v>-1.7944549999999999E-3</v>
      </c>
      <c r="E2710" s="8">
        <v>-8.9722749999999996E-4</v>
      </c>
    </row>
    <row r="2711" spans="1:5" x14ac:dyDescent="0.3">
      <c r="A2711" s="8">
        <v>74</v>
      </c>
      <c r="B2711" s="8">
        <v>9</v>
      </c>
      <c r="C2711" s="8">
        <v>3043</v>
      </c>
      <c r="D2711" s="16">
        <v>4.9208740000000001E-2</v>
      </c>
      <c r="E2711" s="8">
        <v>2.460437E-2</v>
      </c>
    </row>
    <row r="2712" spans="1:5" x14ac:dyDescent="0.3">
      <c r="A2712" s="8">
        <v>74</v>
      </c>
      <c r="B2712" s="8">
        <v>10</v>
      </c>
      <c r="C2712" s="8">
        <v>3031</v>
      </c>
      <c r="D2712" s="16">
        <v>1.6413279999999999E-2</v>
      </c>
      <c r="E2712" s="8">
        <v>8.2066399999999994E-3</v>
      </c>
    </row>
    <row r="2713" spans="1:5" x14ac:dyDescent="0.3">
      <c r="A2713" s="8">
        <v>74</v>
      </c>
      <c r="B2713" s="8">
        <v>11</v>
      </c>
      <c r="C2713" s="8">
        <v>3039</v>
      </c>
      <c r="D2713" s="16">
        <v>-1.934483E-2</v>
      </c>
      <c r="E2713" s="8">
        <v>-9.6724150000000002E-3</v>
      </c>
    </row>
    <row r="2714" spans="1:5" x14ac:dyDescent="0.3">
      <c r="A2714" s="8">
        <v>74</v>
      </c>
      <c r="B2714" s="8">
        <v>12</v>
      </c>
      <c r="C2714" s="8">
        <v>3054</v>
      </c>
      <c r="D2714" s="16">
        <v>2.2916619999999999E-2</v>
      </c>
      <c r="E2714" s="8">
        <v>1.1458309999999999E-2</v>
      </c>
    </row>
    <row r="2715" spans="1:5" x14ac:dyDescent="0.3">
      <c r="A2715" s="8">
        <v>74</v>
      </c>
      <c r="B2715" s="8">
        <v>13</v>
      </c>
      <c r="C2715" s="8">
        <v>3032</v>
      </c>
      <c r="D2715" s="16">
        <v>-1.2530070000000001E-2</v>
      </c>
      <c r="E2715" s="8">
        <v>-6.2650350000000004E-3</v>
      </c>
    </row>
    <row r="2716" spans="1:5" x14ac:dyDescent="0.3">
      <c r="A2716" s="8">
        <v>74</v>
      </c>
      <c r="B2716" s="8">
        <v>14</v>
      </c>
      <c r="C2716" s="8">
        <v>3036</v>
      </c>
      <c r="D2716" s="16">
        <v>-1.383505E-2</v>
      </c>
      <c r="E2716" s="8">
        <v>-6.9175249999999999E-3</v>
      </c>
    </row>
    <row r="2717" spans="1:5" x14ac:dyDescent="0.3">
      <c r="A2717" s="8">
        <v>74</v>
      </c>
      <c r="B2717" s="8">
        <v>15</v>
      </c>
      <c r="C2717" s="8">
        <v>3038</v>
      </c>
      <c r="D2717" s="16">
        <v>-2.292249E-2</v>
      </c>
      <c r="E2717" s="8">
        <v>-1.1461245E-2</v>
      </c>
    </row>
    <row r="2718" spans="1:5" x14ac:dyDescent="0.3">
      <c r="A2718" s="8">
        <v>74</v>
      </c>
      <c r="B2718" s="8">
        <v>16</v>
      </c>
      <c r="C2718" s="8">
        <v>3041</v>
      </c>
      <c r="D2718" s="16">
        <v>-8.1726060000000003E-2</v>
      </c>
      <c r="E2718" s="8">
        <v>-4.0863030000000002E-2</v>
      </c>
    </row>
    <row r="2719" spans="1:5" x14ac:dyDescent="0.3">
      <c r="A2719" s="8">
        <v>74</v>
      </c>
      <c r="B2719" s="8">
        <v>17</v>
      </c>
      <c r="C2719" s="8">
        <v>3041</v>
      </c>
      <c r="D2719" s="16">
        <v>-3.7226E-3</v>
      </c>
      <c r="E2719" s="8">
        <v>-1.8613E-3</v>
      </c>
    </row>
    <row r="2720" spans="1:5" x14ac:dyDescent="0.3">
      <c r="A2720" s="8">
        <v>74</v>
      </c>
      <c r="B2720" s="8">
        <v>18</v>
      </c>
      <c r="C2720" s="8">
        <v>3055</v>
      </c>
      <c r="D2720" s="16">
        <v>-4.3417839999999999E-2</v>
      </c>
      <c r="E2720" s="8">
        <v>-2.170892E-2</v>
      </c>
    </row>
    <row r="2721" spans="1:5" x14ac:dyDescent="0.3">
      <c r="A2721" s="8">
        <v>74</v>
      </c>
      <c r="B2721" s="8">
        <v>19</v>
      </c>
      <c r="C2721" s="8">
        <v>3042</v>
      </c>
      <c r="D2721" s="16">
        <v>-3.8382300000000001E-2</v>
      </c>
      <c r="E2721" s="8">
        <v>-1.9191150000000001E-2</v>
      </c>
    </row>
    <row r="2722" spans="1:5" x14ac:dyDescent="0.3">
      <c r="A2722" s="8">
        <v>74</v>
      </c>
      <c r="B2722" s="8">
        <v>20</v>
      </c>
      <c r="C2722" s="8">
        <v>3048</v>
      </c>
      <c r="D2722" s="16">
        <v>-7.0061530000000002E-3</v>
      </c>
      <c r="E2722" s="8">
        <v>-3.5030765000000001E-3</v>
      </c>
    </row>
    <row r="2723" spans="1:5" x14ac:dyDescent="0.3">
      <c r="A2723" s="8">
        <v>74</v>
      </c>
      <c r="B2723" s="8">
        <v>21</v>
      </c>
      <c r="C2723" s="8">
        <v>3049</v>
      </c>
      <c r="D2723" s="16">
        <v>-2.182187E-2</v>
      </c>
      <c r="E2723" s="8">
        <v>-1.0910935E-2</v>
      </c>
    </row>
    <row r="2724" spans="1:5" x14ac:dyDescent="0.3">
      <c r="A2724" s="8">
        <v>74</v>
      </c>
      <c r="B2724" s="8">
        <v>22</v>
      </c>
      <c r="C2724" s="8">
        <v>3036</v>
      </c>
      <c r="D2724" s="16">
        <v>-2.3613970000000001E-2</v>
      </c>
      <c r="E2724" s="8">
        <v>-1.1806985000000001E-2</v>
      </c>
    </row>
    <row r="2725" spans="1:5" x14ac:dyDescent="0.3">
      <c r="A2725" s="8">
        <v>74</v>
      </c>
      <c r="B2725" s="8">
        <v>23</v>
      </c>
      <c r="C2725" s="8">
        <v>3033</v>
      </c>
      <c r="D2725" s="16">
        <v>-3.2166E-2</v>
      </c>
      <c r="E2725" s="8">
        <v>-1.6083E-2</v>
      </c>
    </row>
    <row r="2726" spans="1:5" x14ac:dyDescent="0.3">
      <c r="A2726" s="8">
        <v>74</v>
      </c>
      <c r="B2726" s="8">
        <v>24</v>
      </c>
      <c r="C2726" s="8">
        <v>3065</v>
      </c>
      <c r="D2726" s="16">
        <v>-5.0749219999999998E-2</v>
      </c>
      <c r="E2726" s="8">
        <v>-2.5374609999999999E-2</v>
      </c>
    </row>
    <row r="2727" spans="1:5" x14ac:dyDescent="0.3">
      <c r="A2727" s="8">
        <v>74</v>
      </c>
      <c r="B2727" s="8">
        <v>25</v>
      </c>
      <c r="C2727" s="8">
        <v>3040</v>
      </c>
      <c r="D2727" s="16">
        <v>1.360567E-2</v>
      </c>
      <c r="E2727" s="8">
        <v>6.8028350000000001E-3</v>
      </c>
    </row>
    <row r="2728" spans="1:5" x14ac:dyDescent="0.3">
      <c r="A2728" s="8">
        <v>74</v>
      </c>
      <c r="B2728" s="8">
        <v>26</v>
      </c>
      <c r="C2728" s="8">
        <v>3052</v>
      </c>
      <c r="D2728" s="16">
        <v>-5.7544329999999998E-2</v>
      </c>
      <c r="E2728" s="8">
        <v>-2.8772164999999999E-2</v>
      </c>
    </row>
    <row r="2729" spans="1:5" x14ac:dyDescent="0.3">
      <c r="A2729" s="8">
        <v>74</v>
      </c>
      <c r="B2729" s="8">
        <v>27</v>
      </c>
      <c r="C2729" s="8">
        <v>3063</v>
      </c>
      <c r="D2729" s="16">
        <v>-8.7664579999999995E-3</v>
      </c>
      <c r="E2729" s="8">
        <v>-4.3832289999999998E-3</v>
      </c>
    </row>
    <row r="2730" spans="1:5" x14ac:dyDescent="0.3">
      <c r="A2730" s="8">
        <v>74</v>
      </c>
      <c r="B2730" s="8">
        <v>28</v>
      </c>
      <c r="C2730" s="8">
        <v>3028</v>
      </c>
      <c r="D2730" s="16">
        <v>-4.3785919999999997E-3</v>
      </c>
      <c r="E2730" s="8">
        <v>-2.1892959999999999E-3</v>
      </c>
    </row>
    <row r="2731" spans="1:5" x14ac:dyDescent="0.3">
      <c r="A2731" s="8">
        <v>74</v>
      </c>
      <c r="B2731" s="8">
        <v>29</v>
      </c>
      <c r="C2731" s="8">
        <v>3030</v>
      </c>
      <c r="D2731" s="16">
        <v>7.256958E-3</v>
      </c>
      <c r="E2731" s="8">
        <v>3.628479E-3</v>
      </c>
    </row>
    <row r="2732" spans="1:5" x14ac:dyDescent="0.3">
      <c r="A2732" s="8">
        <v>74</v>
      </c>
      <c r="B2732" s="8">
        <v>30</v>
      </c>
      <c r="C2732" s="8">
        <v>3044</v>
      </c>
      <c r="D2732" s="16">
        <v>-2.3324839999999999E-2</v>
      </c>
      <c r="E2732" s="8">
        <v>-1.166242E-2</v>
      </c>
    </row>
    <row r="2733" spans="1:5" x14ac:dyDescent="0.3">
      <c r="A2733" s="8">
        <v>74</v>
      </c>
      <c r="B2733" s="8">
        <v>31</v>
      </c>
      <c r="C2733" s="8">
        <v>2965</v>
      </c>
      <c r="D2733" s="16">
        <v>-2.2314980000000002E-2</v>
      </c>
      <c r="E2733" s="8">
        <v>-1.1157490000000001E-2</v>
      </c>
    </row>
    <row r="2734" spans="1:5" x14ac:dyDescent="0.3">
      <c r="A2734" s="8">
        <v>74</v>
      </c>
      <c r="B2734" s="8">
        <v>32</v>
      </c>
      <c r="C2734" s="8">
        <v>3028</v>
      </c>
      <c r="D2734" s="16">
        <v>-2.251336E-2</v>
      </c>
      <c r="E2734" s="8">
        <v>-1.125668E-2</v>
      </c>
    </row>
    <row r="2735" spans="1:5" x14ac:dyDescent="0.3">
      <c r="A2735" s="8">
        <v>74</v>
      </c>
      <c r="B2735" s="8">
        <v>33</v>
      </c>
      <c r="C2735" s="8">
        <v>3061</v>
      </c>
      <c r="D2735" s="16">
        <v>-1.5217960000000001E-2</v>
      </c>
      <c r="E2735" s="8">
        <v>-7.6089800000000004E-3</v>
      </c>
    </row>
    <row r="2736" spans="1:5" x14ac:dyDescent="0.3">
      <c r="A2736" s="8">
        <v>74</v>
      </c>
      <c r="B2736" s="8">
        <v>34</v>
      </c>
      <c r="C2736" s="8">
        <v>3049</v>
      </c>
      <c r="D2736" s="16">
        <v>1.9241000000000001E-2</v>
      </c>
      <c r="E2736" s="8">
        <v>9.6205000000000006E-3</v>
      </c>
    </row>
    <row r="2737" spans="1:5" x14ac:dyDescent="0.3">
      <c r="A2737" s="8">
        <v>74</v>
      </c>
      <c r="B2737" s="8">
        <v>35</v>
      </c>
      <c r="C2737" s="8">
        <v>3039</v>
      </c>
      <c r="D2737" s="16">
        <v>2.288082E-2</v>
      </c>
      <c r="E2737" s="8">
        <v>1.144041E-2</v>
      </c>
    </row>
    <row r="2738" spans="1:5" x14ac:dyDescent="0.3">
      <c r="A2738" s="8">
        <v>74</v>
      </c>
      <c r="B2738" s="8">
        <v>36</v>
      </c>
      <c r="C2738" s="8">
        <v>3047</v>
      </c>
      <c r="D2738" s="16">
        <v>-1.773423E-2</v>
      </c>
      <c r="E2738" s="8">
        <v>-8.8671150000000001E-3</v>
      </c>
    </row>
    <row r="2739" spans="1:5" x14ac:dyDescent="0.3">
      <c r="A2739" s="8">
        <v>74</v>
      </c>
      <c r="B2739" s="8">
        <v>37</v>
      </c>
      <c r="C2739" s="8">
        <v>3017</v>
      </c>
      <c r="D2739" s="16">
        <v>1.351257E-2</v>
      </c>
      <c r="E2739" s="8">
        <v>6.7562849999999999E-3</v>
      </c>
    </row>
    <row r="2740" spans="1:5" x14ac:dyDescent="0.3">
      <c r="A2740" s="8">
        <v>74</v>
      </c>
      <c r="B2740" s="8">
        <v>38</v>
      </c>
      <c r="C2740" s="8">
        <v>3060</v>
      </c>
      <c r="D2740" s="16">
        <v>2.0897099999999998E-2</v>
      </c>
      <c r="E2740" s="8">
        <v>1.0448549999999999E-2</v>
      </c>
    </row>
    <row r="2741" spans="1:5" x14ac:dyDescent="0.3">
      <c r="A2741" s="8">
        <v>74</v>
      </c>
      <c r="B2741" s="8">
        <v>39</v>
      </c>
      <c r="C2741" s="8">
        <v>3048</v>
      </c>
      <c r="D2741" s="16">
        <v>-1.0753640000000001E-3</v>
      </c>
      <c r="E2741" s="8">
        <v>-5.3768200000000005E-4</v>
      </c>
    </row>
    <row r="2742" spans="1:5" x14ac:dyDescent="0.3">
      <c r="A2742" s="8">
        <v>74</v>
      </c>
      <c r="B2742" s="8">
        <v>40</v>
      </c>
      <c r="C2742" s="8">
        <v>3047</v>
      </c>
      <c r="D2742" s="16">
        <v>-2.2556659999999999E-2</v>
      </c>
      <c r="E2742" s="8">
        <v>-1.127833E-2</v>
      </c>
    </row>
    <row r="2743" spans="1:5" x14ac:dyDescent="0.3">
      <c r="A2743" s="8">
        <v>74</v>
      </c>
      <c r="B2743" s="8">
        <v>41</v>
      </c>
      <c r="C2743" s="8">
        <v>3022</v>
      </c>
      <c r="D2743" s="16">
        <v>1.0377590000000001E-3</v>
      </c>
      <c r="E2743" s="8">
        <v>5.1887950000000004E-4</v>
      </c>
    </row>
    <row r="2744" spans="1:5" x14ac:dyDescent="0.3">
      <c r="A2744" s="8">
        <v>74</v>
      </c>
      <c r="B2744" s="8">
        <v>42</v>
      </c>
      <c r="C2744" s="8">
        <v>3015</v>
      </c>
      <c r="D2744" s="16">
        <v>6.8471260000000003E-3</v>
      </c>
      <c r="E2744" s="8">
        <v>3.4235630000000001E-3</v>
      </c>
    </row>
    <row r="2745" spans="1:5" x14ac:dyDescent="0.3">
      <c r="A2745" s="8">
        <v>74</v>
      </c>
      <c r="B2745" s="8">
        <v>43</v>
      </c>
      <c r="C2745" s="8">
        <v>3032</v>
      </c>
      <c r="D2745" s="16">
        <v>-1.860349E-2</v>
      </c>
      <c r="E2745" s="8">
        <v>-9.3017450000000002E-3</v>
      </c>
    </row>
    <row r="2746" spans="1:5" x14ac:dyDescent="0.3">
      <c r="A2746" s="8">
        <v>74</v>
      </c>
      <c r="B2746" s="8">
        <v>44</v>
      </c>
      <c r="C2746" s="8">
        <v>3016</v>
      </c>
      <c r="D2746" s="16">
        <v>3.1864620000000001E-3</v>
      </c>
      <c r="E2746" s="8">
        <v>1.5932310000000001E-3</v>
      </c>
    </row>
    <row r="2747" spans="1:5" x14ac:dyDescent="0.3">
      <c r="A2747" s="8">
        <v>74</v>
      </c>
      <c r="B2747" s="8">
        <v>45</v>
      </c>
      <c r="C2747" s="8">
        <v>3046</v>
      </c>
      <c r="D2747" s="16">
        <v>-2.2809099999999999E-2</v>
      </c>
      <c r="E2747" s="8">
        <v>-1.1404549999999999E-2</v>
      </c>
    </row>
    <row r="2748" spans="1:5" x14ac:dyDescent="0.3">
      <c r="A2748" s="8">
        <v>74</v>
      </c>
      <c r="B2748" s="8">
        <v>46</v>
      </c>
      <c r="C2748" s="8">
        <v>3031</v>
      </c>
      <c r="D2748" s="16">
        <v>6.7959089999999997E-4</v>
      </c>
      <c r="E2748" s="8">
        <v>3.3979544999999999E-4</v>
      </c>
    </row>
    <row r="2749" spans="1:5" x14ac:dyDescent="0.3">
      <c r="A2749" s="8">
        <v>74</v>
      </c>
      <c r="B2749" s="8">
        <v>47</v>
      </c>
      <c r="C2749" s="8">
        <v>3022</v>
      </c>
      <c r="D2749" s="16">
        <v>-8.8811900000000006E-3</v>
      </c>
      <c r="E2749" s="8">
        <v>-4.4405950000000003E-3</v>
      </c>
    </row>
    <row r="2750" spans="1:5" x14ac:dyDescent="0.3">
      <c r="A2750" s="8">
        <v>74</v>
      </c>
      <c r="B2750" s="8">
        <v>48</v>
      </c>
      <c r="C2750" s="8">
        <v>3039</v>
      </c>
      <c r="D2750" s="16">
        <v>-3.8022540000000001E-2</v>
      </c>
      <c r="E2750" s="8">
        <v>-1.901127E-2</v>
      </c>
    </row>
    <row r="2751" spans="1:5" x14ac:dyDescent="0.3">
      <c r="A2751" s="8">
        <v>74</v>
      </c>
      <c r="B2751" s="8">
        <v>49</v>
      </c>
      <c r="C2751" s="8">
        <v>3013</v>
      </c>
      <c r="D2751" s="16">
        <v>1.1314670000000001E-2</v>
      </c>
      <c r="E2751" s="8">
        <v>5.6573350000000003E-3</v>
      </c>
    </row>
    <row r="2752" spans="1:5" x14ac:dyDescent="0.3">
      <c r="A2752" s="8">
        <v>74</v>
      </c>
      <c r="B2752" s="8">
        <v>50</v>
      </c>
      <c r="C2752" s="8">
        <v>3057</v>
      </c>
      <c r="D2752" s="16">
        <v>-1.336978E-2</v>
      </c>
      <c r="E2752" s="8">
        <v>-6.6848899999999998E-3</v>
      </c>
    </row>
    <row r="2753" spans="1:5" x14ac:dyDescent="0.3">
      <c r="A2753" s="8">
        <v>74</v>
      </c>
      <c r="B2753" s="8">
        <v>51</v>
      </c>
      <c r="C2753" s="8">
        <v>3041</v>
      </c>
      <c r="D2753" s="16">
        <v>-4.40474E-2</v>
      </c>
      <c r="E2753" s="8">
        <v>-2.20237E-2</v>
      </c>
    </row>
    <row r="2754" spans="1:5" x14ac:dyDescent="0.3">
      <c r="A2754" s="8">
        <v>74</v>
      </c>
      <c r="B2754" s="8">
        <v>52</v>
      </c>
      <c r="C2754" s="8">
        <v>3043</v>
      </c>
      <c r="D2754" s="16">
        <v>-2.6243740000000002E-2</v>
      </c>
      <c r="E2754" s="8">
        <v>-1.3121870000000001E-2</v>
      </c>
    </row>
    <row r="2755" spans="1:5" x14ac:dyDescent="0.3">
      <c r="A2755" s="8">
        <v>74</v>
      </c>
      <c r="B2755" s="8">
        <v>53</v>
      </c>
      <c r="C2755" s="8">
        <v>3038</v>
      </c>
      <c r="D2755" s="16">
        <v>-3.3580800000000001E-2</v>
      </c>
      <c r="E2755" s="8">
        <v>-1.67904E-2</v>
      </c>
    </row>
    <row r="2756" spans="1:5" x14ac:dyDescent="0.3">
      <c r="A2756" s="8">
        <v>74</v>
      </c>
      <c r="B2756" s="8">
        <v>54</v>
      </c>
      <c r="C2756" s="8">
        <v>3032</v>
      </c>
      <c r="D2756" s="16">
        <v>-4.5482790000000002E-2</v>
      </c>
      <c r="E2756" s="8">
        <v>-2.2741395000000001E-2</v>
      </c>
    </row>
    <row r="2757" spans="1:5" x14ac:dyDescent="0.3">
      <c r="A2757" s="8">
        <v>74</v>
      </c>
      <c r="B2757" s="8">
        <v>55</v>
      </c>
      <c r="C2757" s="8">
        <v>3048</v>
      </c>
      <c r="D2757" s="16">
        <v>-3.885156E-2</v>
      </c>
      <c r="E2757" s="8">
        <v>-1.942578E-2</v>
      </c>
    </row>
    <row r="2758" spans="1:5" x14ac:dyDescent="0.3">
      <c r="A2758" s="8">
        <v>74</v>
      </c>
      <c r="B2758" s="8">
        <v>56</v>
      </c>
      <c r="C2758" s="8">
        <v>3047</v>
      </c>
      <c r="D2758" s="16">
        <v>4.6904840000000003E-2</v>
      </c>
      <c r="E2758" s="8">
        <v>2.3452420000000002E-2</v>
      </c>
    </row>
    <row r="2759" spans="1:5" x14ac:dyDescent="0.3">
      <c r="A2759" s="8">
        <v>74</v>
      </c>
      <c r="B2759" s="8">
        <v>57</v>
      </c>
      <c r="C2759" s="8">
        <v>3063</v>
      </c>
      <c r="D2759" s="16">
        <v>-2.6396200000000002E-2</v>
      </c>
      <c r="E2759" s="8">
        <v>-1.3198100000000001E-2</v>
      </c>
    </row>
    <row r="2760" spans="1:5" x14ac:dyDescent="0.3">
      <c r="A2760" s="8">
        <v>74</v>
      </c>
      <c r="B2760" s="8">
        <v>58</v>
      </c>
      <c r="C2760" s="8">
        <v>3046</v>
      </c>
      <c r="D2760" s="16">
        <v>-2.7360470000000001E-2</v>
      </c>
      <c r="E2760" s="8">
        <v>-1.3680235000000001E-2</v>
      </c>
    </row>
    <row r="2761" spans="1:5" x14ac:dyDescent="0.3">
      <c r="A2761" s="8">
        <v>74</v>
      </c>
      <c r="B2761" s="8">
        <v>59</v>
      </c>
      <c r="C2761" s="8">
        <v>3049</v>
      </c>
      <c r="D2761" s="16">
        <v>3.3857900000000003E-2</v>
      </c>
      <c r="E2761" s="8">
        <v>1.6928950000000002E-2</v>
      </c>
    </row>
    <row r="2762" spans="1:5" x14ac:dyDescent="0.3">
      <c r="A2762" s="8">
        <v>74</v>
      </c>
      <c r="B2762" s="8">
        <v>60</v>
      </c>
      <c r="C2762" s="8">
        <v>3041</v>
      </c>
      <c r="D2762" s="16">
        <v>-9.1009449999999992E-3</v>
      </c>
      <c r="E2762" s="8">
        <v>-4.5504724999999996E-3</v>
      </c>
    </row>
    <row r="2763" spans="1:5" x14ac:dyDescent="0.3">
      <c r="A2763" s="8">
        <v>74</v>
      </c>
      <c r="B2763" s="8">
        <v>61</v>
      </c>
      <c r="C2763" s="8">
        <v>3039</v>
      </c>
      <c r="D2763" s="16">
        <v>-7.065631E-2</v>
      </c>
      <c r="E2763" s="8">
        <v>-3.5328155E-2</v>
      </c>
    </row>
    <row r="2764" spans="1:5" x14ac:dyDescent="0.3">
      <c r="A2764" s="8">
        <v>74</v>
      </c>
      <c r="B2764" s="8">
        <v>62</v>
      </c>
      <c r="C2764" s="8">
        <v>3051</v>
      </c>
      <c r="D2764" s="16">
        <v>-1.5051800000000001E-2</v>
      </c>
      <c r="E2764" s="8">
        <v>-7.5259000000000003E-3</v>
      </c>
    </row>
    <row r="2765" spans="1:5" x14ac:dyDescent="0.3">
      <c r="A2765" s="8">
        <v>74</v>
      </c>
      <c r="B2765" s="8">
        <v>63</v>
      </c>
      <c r="C2765" s="8">
        <v>3051</v>
      </c>
      <c r="D2765" s="16">
        <v>8.265962E-3</v>
      </c>
      <c r="E2765" s="8">
        <v>4.132981E-3</v>
      </c>
    </row>
    <row r="2766" spans="1:5" x14ac:dyDescent="0.3">
      <c r="A2766" s="8">
        <v>74</v>
      </c>
      <c r="B2766" s="8">
        <v>64</v>
      </c>
      <c r="C2766" s="8">
        <v>3043</v>
      </c>
      <c r="D2766" s="16">
        <v>-1.434004E-2</v>
      </c>
      <c r="E2766" s="8">
        <v>-7.17002E-3</v>
      </c>
    </row>
    <row r="2767" spans="1:5" x14ac:dyDescent="0.3">
      <c r="A2767" s="8">
        <v>74</v>
      </c>
      <c r="B2767" s="8">
        <v>65</v>
      </c>
      <c r="C2767" s="8">
        <v>3049</v>
      </c>
      <c r="D2767" s="16">
        <v>-4.7326859999999998E-2</v>
      </c>
      <c r="E2767" s="8">
        <v>-2.3663429999999999E-2</v>
      </c>
    </row>
    <row r="2768" spans="1:5" x14ac:dyDescent="0.3">
      <c r="A2768" s="8">
        <v>74</v>
      </c>
      <c r="B2768" s="8">
        <v>66</v>
      </c>
      <c r="C2768" s="8">
        <v>3047</v>
      </c>
      <c r="D2768" s="16">
        <v>2.4235840000000002E-2</v>
      </c>
      <c r="E2768" s="8">
        <v>1.2117920000000001E-2</v>
      </c>
    </row>
    <row r="2769" spans="1:5" x14ac:dyDescent="0.3">
      <c r="A2769" s="8">
        <v>74</v>
      </c>
      <c r="B2769" s="8">
        <v>67</v>
      </c>
      <c r="C2769" s="8">
        <v>3043</v>
      </c>
      <c r="D2769" s="16">
        <v>2.5879940000000001E-2</v>
      </c>
      <c r="E2769" s="8">
        <v>1.293997E-2</v>
      </c>
    </row>
    <row r="2770" spans="1:5" x14ac:dyDescent="0.3">
      <c r="A2770" s="8">
        <v>74</v>
      </c>
      <c r="B2770" s="8">
        <v>68</v>
      </c>
      <c r="C2770" s="8">
        <v>3037</v>
      </c>
      <c r="D2770" s="16">
        <v>2.958544E-3</v>
      </c>
      <c r="E2770" s="8">
        <v>1.479272E-3</v>
      </c>
    </row>
    <row r="2771" spans="1:5" x14ac:dyDescent="0.3">
      <c r="A2771" s="8">
        <v>74</v>
      </c>
      <c r="B2771" s="8">
        <v>69</v>
      </c>
      <c r="C2771" s="8">
        <v>3044</v>
      </c>
      <c r="D2771" s="16">
        <v>-5.1710859999999997E-2</v>
      </c>
      <c r="E2771" s="8">
        <v>-2.5855429999999999E-2</v>
      </c>
    </row>
    <row r="2772" spans="1:5" x14ac:dyDescent="0.3">
      <c r="A2772" s="8">
        <v>74</v>
      </c>
      <c r="B2772" s="8">
        <v>70</v>
      </c>
      <c r="C2772" s="8">
        <v>3045</v>
      </c>
      <c r="D2772" s="16">
        <v>-4.2640860000000003E-2</v>
      </c>
      <c r="E2772" s="8">
        <v>-2.1320430000000001E-2</v>
      </c>
    </row>
    <row r="2773" spans="1:5" x14ac:dyDescent="0.3">
      <c r="A2773" s="8">
        <v>74</v>
      </c>
      <c r="B2773" s="8">
        <v>71</v>
      </c>
      <c r="C2773" s="8">
        <v>3036</v>
      </c>
      <c r="D2773" s="16">
        <v>-7.9415289999999993E-3</v>
      </c>
      <c r="E2773" s="8">
        <v>-3.9707644999999996E-3</v>
      </c>
    </row>
    <row r="2774" spans="1:5" x14ac:dyDescent="0.3">
      <c r="A2774" s="8">
        <v>74</v>
      </c>
      <c r="B2774" s="8">
        <v>72</v>
      </c>
      <c r="C2774" s="8">
        <v>3036</v>
      </c>
      <c r="D2774" s="16">
        <v>-1.7167410000000001E-2</v>
      </c>
      <c r="E2774" s="8">
        <v>-8.5837050000000005E-3</v>
      </c>
    </row>
    <row r="2775" spans="1:5" x14ac:dyDescent="0.3">
      <c r="A2775" s="8">
        <v>74</v>
      </c>
      <c r="B2775" s="8">
        <v>73</v>
      </c>
      <c r="C2775" s="8">
        <v>3058</v>
      </c>
      <c r="D2775" s="16">
        <v>3.9041189999999999E-4</v>
      </c>
      <c r="E2775" s="8">
        <v>1.9520595E-4</v>
      </c>
    </row>
    <row r="2776" spans="1:5" x14ac:dyDescent="0.3">
      <c r="A2776" s="8">
        <v>74</v>
      </c>
      <c r="B2776" s="8">
        <v>74</v>
      </c>
      <c r="C2776" s="8">
        <v>3142</v>
      </c>
      <c r="D2776" s="16">
        <v>1.1228469999999999</v>
      </c>
      <c r="E2776" s="8"/>
    </row>
    <row r="2777" spans="1:5" x14ac:dyDescent="0.3">
      <c r="A2777" s="8">
        <v>75</v>
      </c>
      <c r="B2777" s="8">
        <v>1</v>
      </c>
      <c r="C2777" s="8">
        <v>3071</v>
      </c>
      <c r="D2777" s="16">
        <v>-2.6410769999999999E-3</v>
      </c>
      <c r="E2777" s="8">
        <v>-1.3205385E-3</v>
      </c>
    </row>
    <row r="2778" spans="1:5" x14ac:dyDescent="0.3">
      <c r="A2778" s="8">
        <v>75</v>
      </c>
      <c r="B2778" s="8">
        <v>2</v>
      </c>
      <c r="C2778" s="8">
        <v>3041</v>
      </c>
      <c r="D2778" s="16">
        <v>3.3061300000000002E-2</v>
      </c>
      <c r="E2778" s="8">
        <v>1.6530650000000001E-2</v>
      </c>
    </row>
    <row r="2779" spans="1:5" x14ac:dyDescent="0.3">
      <c r="A2779" s="8">
        <v>75</v>
      </c>
      <c r="B2779" s="8">
        <v>3</v>
      </c>
      <c r="C2779" s="8">
        <v>3066</v>
      </c>
      <c r="D2779" s="16">
        <v>-1.275779E-2</v>
      </c>
      <c r="E2779" s="8">
        <v>-6.3788949999999999E-3</v>
      </c>
    </row>
    <row r="2780" spans="1:5" x14ac:dyDescent="0.3">
      <c r="A2780" s="8">
        <v>75</v>
      </c>
      <c r="B2780" s="8">
        <v>4</v>
      </c>
      <c r="C2780" s="8">
        <v>3040</v>
      </c>
      <c r="D2780" s="16">
        <v>4.0087320000000001E-3</v>
      </c>
      <c r="E2780" s="8">
        <v>2.004366E-3</v>
      </c>
    </row>
    <row r="2781" spans="1:5" x14ac:dyDescent="0.3">
      <c r="A2781" s="8">
        <v>75</v>
      </c>
      <c r="B2781" s="8">
        <v>5</v>
      </c>
      <c r="C2781" s="8">
        <v>3032</v>
      </c>
      <c r="D2781" s="16">
        <v>2.5912399999999999E-2</v>
      </c>
      <c r="E2781" s="8">
        <v>1.2956199999999999E-2</v>
      </c>
    </row>
    <row r="2782" spans="1:5" x14ac:dyDescent="0.3">
      <c r="A2782" s="8">
        <v>75</v>
      </c>
      <c r="B2782" s="8">
        <v>6</v>
      </c>
      <c r="C2782" s="8">
        <v>3046</v>
      </c>
      <c r="D2782" s="16">
        <v>3.5459150000000002E-2</v>
      </c>
      <c r="E2782" s="8">
        <v>1.7729575000000001E-2</v>
      </c>
    </row>
    <row r="2783" spans="1:5" x14ac:dyDescent="0.3">
      <c r="A2783" s="8">
        <v>75</v>
      </c>
      <c r="B2783" s="8">
        <v>7</v>
      </c>
      <c r="C2783" s="8">
        <v>3049</v>
      </c>
      <c r="D2783" s="16">
        <v>2.084689E-2</v>
      </c>
      <c r="E2783" s="8">
        <v>1.0423445E-2</v>
      </c>
    </row>
    <row r="2784" spans="1:5" x14ac:dyDescent="0.3">
      <c r="A2784" s="8">
        <v>75</v>
      </c>
      <c r="B2784" s="8">
        <v>8</v>
      </c>
      <c r="C2784" s="8">
        <v>3061</v>
      </c>
      <c r="D2784" s="16">
        <v>-3.0837949999999999E-2</v>
      </c>
      <c r="E2784" s="8">
        <v>-1.5418975E-2</v>
      </c>
    </row>
    <row r="2785" spans="1:5" x14ac:dyDescent="0.3">
      <c r="A2785" s="8">
        <v>75</v>
      </c>
      <c r="B2785" s="8">
        <v>9</v>
      </c>
      <c r="C2785" s="8">
        <v>3052</v>
      </c>
      <c r="D2785" s="16">
        <v>-6.4785430000000005E-2</v>
      </c>
      <c r="E2785" s="8">
        <v>-3.2392715000000002E-2</v>
      </c>
    </row>
    <row r="2786" spans="1:5" x14ac:dyDescent="0.3">
      <c r="A2786" s="8">
        <v>75</v>
      </c>
      <c r="B2786" s="8">
        <v>10</v>
      </c>
      <c r="C2786" s="8">
        <v>3042</v>
      </c>
      <c r="D2786" s="16">
        <v>-2.207139E-2</v>
      </c>
      <c r="E2786" s="8">
        <v>-1.1035695E-2</v>
      </c>
    </row>
    <row r="2787" spans="1:5" x14ac:dyDescent="0.3">
      <c r="A2787" s="8">
        <v>75</v>
      </c>
      <c r="B2787" s="8">
        <v>11</v>
      </c>
      <c r="C2787" s="8">
        <v>3047</v>
      </c>
      <c r="D2787" s="16">
        <v>-5.0628109999999997E-2</v>
      </c>
      <c r="E2787" s="8">
        <v>-2.5314054999999999E-2</v>
      </c>
    </row>
    <row r="2788" spans="1:5" x14ac:dyDescent="0.3">
      <c r="A2788" s="8">
        <v>75</v>
      </c>
      <c r="B2788" s="8">
        <v>12</v>
      </c>
      <c r="C2788" s="8">
        <v>3064</v>
      </c>
      <c r="D2788" s="16">
        <v>-3.6811450000000003E-2</v>
      </c>
      <c r="E2788" s="8">
        <v>-1.8405725000000001E-2</v>
      </c>
    </row>
    <row r="2789" spans="1:5" x14ac:dyDescent="0.3">
      <c r="A2789" s="8">
        <v>75</v>
      </c>
      <c r="B2789" s="8">
        <v>13</v>
      </c>
      <c r="C2789" s="8">
        <v>3044</v>
      </c>
      <c r="D2789" s="16">
        <v>-1.8063370000000001E-3</v>
      </c>
      <c r="E2789" s="8">
        <v>-9.0316850000000005E-4</v>
      </c>
    </row>
    <row r="2790" spans="1:5" x14ac:dyDescent="0.3">
      <c r="A2790" s="8">
        <v>75</v>
      </c>
      <c r="B2790" s="8">
        <v>14</v>
      </c>
      <c r="C2790" s="8">
        <v>3044</v>
      </c>
      <c r="D2790" s="16">
        <v>-1.806176E-2</v>
      </c>
      <c r="E2790" s="8">
        <v>-9.0308799999999998E-3</v>
      </c>
    </row>
    <row r="2791" spans="1:5" x14ac:dyDescent="0.3">
      <c r="A2791" s="8">
        <v>75</v>
      </c>
      <c r="B2791" s="8">
        <v>15</v>
      </c>
      <c r="C2791" s="8">
        <v>3056</v>
      </c>
      <c r="D2791" s="16">
        <v>7.1681760000000001E-3</v>
      </c>
      <c r="E2791" s="8">
        <v>3.584088E-3</v>
      </c>
    </row>
    <row r="2792" spans="1:5" x14ac:dyDescent="0.3">
      <c r="A2792" s="8">
        <v>75</v>
      </c>
      <c r="B2792" s="8">
        <v>16</v>
      </c>
      <c r="C2792" s="8">
        <v>3056</v>
      </c>
      <c r="D2792" s="16">
        <v>8.1932289999999998E-3</v>
      </c>
      <c r="E2792" s="8">
        <v>4.0966144999999999E-3</v>
      </c>
    </row>
    <row r="2793" spans="1:5" x14ac:dyDescent="0.3">
      <c r="A2793" s="8">
        <v>75</v>
      </c>
      <c r="B2793" s="8">
        <v>17</v>
      </c>
      <c r="C2793" s="8">
        <v>3050</v>
      </c>
      <c r="D2793" s="16">
        <v>-9.5237010000000007E-3</v>
      </c>
      <c r="E2793" s="8">
        <v>-4.7618505000000004E-3</v>
      </c>
    </row>
    <row r="2794" spans="1:5" x14ac:dyDescent="0.3">
      <c r="A2794" s="8">
        <v>75</v>
      </c>
      <c r="B2794" s="8">
        <v>18</v>
      </c>
      <c r="C2794" s="8">
        <v>3067</v>
      </c>
      <c r="D2794" s="16">
        <v>-1.3872769999999999E-3</v>
      </c>
      <c r="E2794" s="8">
        <v>-6.9363849999999996E-4</v>
      </c>
    </row>
    <row r="2795" spans="1:5" x14ac:dyDescent="0.3">
      <c r="A2795" s="8">
        <v>75</v>
      </c>
      <c r="B2795" s="8">
        <v>19</v>
      </c>
      <c r="C2795" s="8">
        <v>3053</v>
      </c>
      <c r="D2795" s="16">
        <v>3.6974600000000003E-2</v>
      </c>
      <c r="E2795" s="8">
        <v>1.8487300000000002E-2</v>
      </c>
    </row>
    <row r="2796" spans="1:5" x14ac:dyDescent="0.3">
      <c r="A2796" s="8">
        <v>75</v>
      </c>
      <c r="B2796" s="8">
        <v>20</v>
      </c>
      <c r="C2796" s="8">
        <v>3056</v>
      </c>
      <c r="D2796" s="16">
        <v>2.883811E-3</v>
      </c>
      <c r="E2796" s="8">
        <v>1.4419055E-3</v>
      </c>
    </row>
    <row r="2797" spans="1:5" x14ac:dyDescent="0.3">
      <c r="A2797" s="8">
        <v>75</v>
      </c>
      <c r="B2797" s="8">
        <v>21</v>
      </c>
      <c r="C2797" s="8">
        <v>3055</v>
      </c>
      <c r="D2797" s="16">
        <v>-2.2597569999999998E-3</v>
      </c>
      <c r="E2797" s="8">
        <v>-1.1298784999999999E-3</v>
      </c>
    </row>
    <row r="2798" spans="1:5" x14ac:dyDescent="0.3">
      <c r="A2798" s="8">
        <v>75</v>
      </c>
      <c r="B2798" s="8">
        <v>22</v>
      </c>
      <c r="C2798" s="8">
        <v>3046</v>
      </c>
      <c r="D2798" s="16">
        <v>2.7560810000000001E-3</v>
      </c>
      <c r="E2798" s="8">
        <v>1.3780405E-3</v>
      </c>
    </row>
    <row r="2799" spans="1:5" x14ac:dyDescent="0.3">
      <c r="A2799" s="8">
        <v>75</v>
      </c>
      <c r="B2799" s="8">
        <v>23</v>
      </c>
      <c r="C2799" s="8">
        <v>3042</v>
      </c>
      <c r="D2799" s="16">
        <v>9.2768139999999995E-3</v>
      </c>
      <c r="E2799" s="8">
        <v>4.6384069999999998E-3</v>
      </c>
    </row>
    <row r="2800" spans="1:5" x14ac:dyDescent="0.3">
      <c r="A2800" s="8">
        <v>75</v>
      </c>
      <c r="B2800" s="8">
        <v>24</v>
      </c>
      <c r="C2800" s="8">
        <v>3072</v>
      </c>
      <c r="D2800" s="16">
        <v>2.9933419999999999E-2</v>
      </c>
      <c r="E2800" s="8">
        <v>1.4966709999999999E-2</v>
      </c>
    </row>
    <row r="2801" spans="1:5" x14ac:dyDescent="0.3">
      <c r="A2801" s="8">
        <v>75</v>
      </c>
      <c r="B2801" s="8">
        <v>25</v>
      </c>
      <c r="C2801" s="8">
        <v>3053</v>
      </c>
      <c r="D2801" s="16">
        <v>-1.275106E-2</v>
      </c>
      <c r="E2801" s="8">
        <v>-6.3755299999999999E-3</v>
      </c>
    </row>
    <row r="2802" spans="1:5" x14ac:dyDescent="0.3">
      <c r="A2802" s="8">
        <v>75</v>
      </c>
      <c r="B2802" s="8">
        <v>26</v>
      </c>
      <c r="C2802" s="8">
        <v>3066</v>
      </c>
      <c r="D2802" s="16">
        <v>-4.8451470000000003E-2</v>
      </c>
      <c r="E2802" s="8">
        <v>-2.4225735000000002E-2</v>
      </c>
    </row>
    <row r="2803" spans="1:5" x14ac:dyDescent="0.3">
      <c r="A2803" s="8">
        <v>75</v>
      </c>
      <c r="B2803" s="8">
        <v>27</v>
      </c>
      <c r="C2803" s="8">
        <v>3072</v>
      </c>
      <c r="D2803" s="16">
        <v>1.3380609999999999E-2</v>
      </c>
      <c r="E2803" s="8">
        <v>6.6903049999999997E-3</v>
      </c>
    </row>
    <row r="2804" spans="1:5" x14ac:dyDescent="0.3">
      <c r="A2804" s="8">
        <v>75</v>
      </c>
      <c r="B2804" s="8">
        <v>28</v>
      </c>
      <c r="C2804" s="8">
        <v>3043</v>
      </c>
      <c r="D2804" s="16">
        <v>-4.8019430000000002E-2</v>
      </c>
      <c r="E2804" s="8">
        <v>-2.4009715000000001E-2</v>
      </c>
    </row>
    <row r="2805" spans="1:5" x14ac:dyDescent="0.3">
      <c r="A2805" s="8">
        <v>75</v>
      </c>
      <c r="B2805" s="8">
        <v>29</v>
      </c>
      <c r="C2805" s="8">
        <v>3048</v>
      </c>
      <c r="D2805" s="16">
        <v>-4.1696509999999999E-3</v>
      </c>
      <c r="E2805" s="8">
        <v>-2.0848255E-3</v>
      </c>
    </row>
    <row r="2806" spans="1:5" x14ac:dyDescent="0.3">
      <c r="A2806" s="8">
        <v>75</v>
      </c>
      <c r="B2806" s="8">
        <v>30</v>
      </c>
      <c r="C2806" s="8">
        <v>3053</v>
      </c>
      <c r="D2806" s="16">
        <v>2.3302949999999999E-2</v>
      </c>
      <c r="E2806" s="8">
        <v>1.1651475E-2</v>
      </c>
    </row>
    <row r="2807" spans="1:5" x14ac:dyDescent="0.3">
      <c r="A2807" s="8">
        <v>75</v>
      </c>
      <c r="B2807" s="8">
        <v>31</v>
      </c>
      <c r="C2807" s="8">
        <v>2975</v>
      </c>
      <c r="D2807" s="16">
        <v>-3.9238550000000004E-3</v>
      </c>
      <c r="E2807" s="8">
        <v>-1.9619275000000002E-3</v>
      </c>
    </row>
    <row r="2808" spans="1:5" x14ac:dyDescent="0.3">
      <c r="A2808" s="8">
        <v>75</v>
      </c>
      <c r="B2808" s="8">
        <v>32</v>
      </c>
      <c r="C2808" s="8">
        <v>3040</v>
      </c>
      <c r="D2808" s="16">
        <v>8.7998959999999998E-3</v>
      </c>
      <c r="E2808" s="8">
        <v>4.3999479999999999E-3</v>
      </c>
    </row>
    <row r="2809" spans="1:5" x14ac:dyDescent="0.3">
      <c r="A2809" s="8">
        <v>75</v>
      </c>
      <c r="B2809" s="8">
        <v>33</v>
      </c>
      <c r="C2809" s="8">
        <v>3069</v>
      </c>
      <c r="D2809" s="16">
        <v>-2.167352E-3</v>
      </c>
      <c r="E2809" s="8">
        <v>-1.083676E-3</v>
      </c>
    </row>
    <row r="2810" spans="1:5" x14ac:dyDescent="0.3">
      <c r="A2810" s="8">
        <v>75</v>
      </c>
      <c r="B2810" s="8">
        <v>34</v>
      </c>
      <c r="C2810" s="8">
        <v>3061</v>
      </c>
      <c r="D2810" s="16">
        <v>-1.6388280000000002E-2</v>
      </c>
      <c r="E2810" s="8">
        <v>-8.1941400000000008E-3</v>
      </c>
    </row>
    <row r="2811" spans="1:5" x14ac:dyDescent="0.3">
      <c r="A2811" s="8">
        <v>75</v>
      </c>
      <c r="B2811" s="8">
        <v>35</v>
      </c>
      <c r="C2811" s="8">
        <v>3051</v>
      </c>
      <c r="D2811" s="16">
        <v>-8.1981769999999995E-2</v>
      </c>
      <c r="E2811" s="8">
        <v>-4.0990884999999998E-2</v>
      </c>
    </row>
    <row r="2812" spans="1:5" x14ac:dyDescent="0.3">
      <c r="A2812" s="8">
        <v>75</v>
      </c>
      <c r="B2812" s="8">
        <v>36</v>
      </c>
      <c r="C2812" s="8">
        <v>3068</v>
      </c>
      <c r="D2812" s="16">
        <v>-2.2221339999999999E-2</v>
      </c>
      <c r="E2812" s="8">
        <v>-1.111067E-2</v>
      </c>
    </row>
    <row r="2813" spans="1:5" x14ac:dyDescent="0.3">
      <c r="A2813" s="8">
        <v>75</v>
      </c>
      <c r="B2813" s="8">
        <v>37</v>
      </c>
      <c r="C2813" s="8">
        <v>3029</v>
      </c>
      <c r="D2813" s="16">
        <v>9.9649579999999995E-3</v>
      </c>
      <c r="E2813" s="8">
        <v>4.9824789999999997E-3</v>
      </c>
    </row>
    <row r="2814" spans="1:5" x14ac:dyDescent="0.3">
      <c r="A2814" s="8">
        <v>75</v>
      </c>
      <c r="B2814" s="8">
        <v>38</v>
      </c>
      <c r="C2814" s="8">
        <v>3072</v>
      </c>
      <c r="D2814" s="16">
        <v>-2.529874E-2</v>
      </c>
      <c r="E2814" s="8">
        <v>-1.264937E-2</v>
      </c>
    </row>
    <row r="2815" spans="1:5" x14ac:dyDescent="0.3">
      <c r="A2815" s="8">
        <v>75</v>
      </c>
      <c r="B2815" s="8">
        <v>39</v>
      </c>
      <c r="C2815" s="8">
        <v>3066</v>
      </c>
      <c r="D2815" s="16">
        <v>3.3270559999999998E-2</v>
      </c>
      <c r="E2815" s="8">
        <v>1.6635279999999999E-2</v>
      </c>
    </row>
    <row r="2816" spans="1:5" x14ac:dyDescent="0.3">
      <c r="A2816" s="8">
        <v>75</v>
      </c>
      <c r="B2816" s="8">
        <v>40</v>
      </c>
      <c r="C2816" s="8">
        <v>3058</v>
      </c>
      <c r="D2816" s="16">
        <v>1.196297E-2</v>
      </c>
      <c r="E2816" s="8">
        <v>5.9814849999999999E-3</v>
      </c>
    </row>
    <row r="2817" spans="1:5" x14ac:dyDescent="0.3">
      <c r="A2817" s="8">
        <v>75</v>
      </c>
      <c r="B2817" s="8">
        <v>41</v>
      </c>
      <c r="C2817" s="8">
        <v>3030</v>
      </c>
      <c r="D2817" s="16">
        <v>1.435604E-3</v>
      </c>
      <c r="E2817" s="8">
        <v>7.1780200000000002E-4</v>
      </c>
    </row>
    <row r="2818" spans="1:5" x14ac:dyDescent="0.3">
      <c r="A2818" s="8">
        <v>75</v>
      </c>
      <c r="B2818" s="8">
        <v>42</v>
      </c>
      <c r="C2818" s="8">
        <v>3030</v>
      </c>
      <c r="D2818" s="16">
        <v>-1.005869E-2</v>
      </c>
      <c r="E2818" s="8">
        <v>-5.0293450000000002E-3</v>
      </c>
    </row>
    <row r="2819" spans="1:5" x14ac:dyDescent="0.3">
      <c r="A2819" s="8">
        <v>75</v>
      </c>
      <c r="B2819" s="8">
        <v>43</v>
      </c>
      <c r="C2819" s="8">
        <v>3043</v>
      </c>
      <c r="D2819" s="16">
        <v>-1.8554800000000001E-3</v>
      </c>
      <c r="E2819" s="8">
        <v>-9.2774000000000003E-4</v>
      </c>
    </row>
    <row r="2820" spans="1:5" x14ac:dyDescent="0.3">
      <c r="A2820" s="8">
        <v>75</v>
      </c>
      <c r="B2820" s="8">
        <v>44</v>
      </c>
      <c r="C2820" s="8">
        <v>3025</v>
      </c>
      <c r="D2820" s="16">
        <v>-3.9299189999999998E-2</v>
      </c>
      <c r="E2820" s="8">
        <v>-1.9649594999999999E-2</v>
      </c>
    </row>
    <row r="2821" spans="1:5" x14ac:dyDescent="0.3">
      <c r="A2821" s="8">
        <v>75</v>
      </c>
      <c r="B2821" s="8">
        <v>45</v>
      </c>
      <c r="C2821" s="8">
        <v>3059</v>
      </c>
      <c r="D2821" s="16">
        <v>-1.116055E-2</v>
      </c>
      <c r="E2821" s="8">
        <v>-5.580275E-3</v>
      </c>
    </row>
    <row r="2822" spans="1:5" x14ac:dyDescent="0.3">
      <c r="A2822" s="8">
        <v>75</v>
      </c>
      <c r="B2822" s="8">
        <v>46</v>
      </c>
      <c r="C2822" s="8">
        <v>3049</v>
      </c>
      <c r="D2822" s="16">
        <v>-3.0609520000000001E-2</v>
      </c>
      <c r="E2822" s="8">
        <v>-1.5304760000000001E-2</v>
      </c>
    </row>
    <row r="2823" spans="1:5" x14ac:dyDescent="0.3">
      <c r="A2823" s="8">
        <v>75</v>
      </c>
      <c r="B2823" s="8">
        <v>47</v>
      </c>
      <c r="C2823" s="8">
        <v>3032</v>
      </c>
      <c r="D2823" s="16">
        <v>-2.5153499999999999E-2</v>
      </c>
      <c r="E2823" s="8">
        <v>-1.2576749999999999E-2</v>
      </c>
    </row>
    <row r="2824" spans="1:5" x14ac:dyDescent="0.3">
      <c r="A2824" s="8">
        <v>75</v>
      </c>
      <c r="B2824" s="8">
        <v>48</v>
      </c>
      <c r="C2824" s="8">
        <v>3052</v>
      </c>
      <c r="D2824" s="16">
        <v>-2.5037509999999999E-2</v>
      </c>
      <c r="E2824" s="8">
        <v>-1.2518754999999999E-2</v>
      </c>
    </row>
    <row r="2825" spans="1:5" x14ac:dyDescent="0.3">
      <c r="A2825" s="8">
        <v>75</v>
      </c>
      <c r="B2825" s="8">
        <v>49</v>
      </c>
      <c r="C2825" s="8">
        <v>3023</v>
      </c>
      <c r="D2825" s="16">
        <v>4.3877199999999998E-2</v>
      </c>
      <c r="E2825" s="8">
        <v>2.1938599999999999E-2</v>
      </c>
    </row>
    <row r="2826" spans="1:5" x14ac:dyDescent="0.3">
      <c r="A2826" s="8">
        <v>75</v>
      </c>
      <c r="B2826" s="8">
        <v>50</v>
      </c>
      <c r="C2826" s="8">
        <v>3066</v>
      </c>
      <c r="D2826" s="16">
        <v>-6.0076850000000001E-2</v>
      </c>
      <c r="E2826" s="8">
        <v>-3.0038425000000001E-2</v>
      </c>
    </row>
    <row r="2827" spans="1:5" x14ac:dyDescent="0.3">
      <c r="A2827" s="8">
        <v>75</v>
      </c>
      <c r="B2827" s="8">
        <v>51</v>
      </c>
      <c r="C2827" s="8">
        <v>3052</v>
      </c>
      <c r="D2827" s="16">
        <v>3.8252099999999997E-2</v>
      </c>
      <c r="E2827" s="8">
        <v>1.9126049999999999E-2</v>
      </c>
    </row>
    <row r="2828" spans="1:5" x14ac:dyDescent="0.3">
      <c r="A2828" s="8">
        <v>75</v>
      </c>
      <c r="B2828" s="8">
        <v>52</v>
      </c>
      <c r="C2828" s="8">
        <v>3053</v>
      </c>
      <c r="D2828" s="16">
        <v>-1.8362280000000002E-2</v>
      </c>
      <c r="E2828" s="8">
        <v>-9.1811400000000008E-3</v>
      </c>
    </row>
    <row r="2829" spans="1:5" x14ac:dyDescent="0.3">
      <c r="A2829" s="8">
        <v>75</v>
      </c>
      <c r="B2829" s="8">
        <v>53</v>
      </c>
      <c r="C2829" s="8">
        <v>3052</v>
      </c>
      <c r="D2829" s="16">
        <v>-2.680515E-2</v>
      </c>
      <c r="E2829" s="8">
        <v>-1.3402575E-2</v>
      </c>
    </row>
    <row r="2830" spans="1:5" x14ac:dyDescent="0.3">
      <c r="A2830" s="8">
        <v>75</v>
      </c>
      <c r="B2830" s="8">
        <v>54</v>
      </c>
      <c r="C2830" s="8">
        <v>3047</v>
      </c>
      <c r="D2830" s="16">
        <v>-2.041784E-3</v>
      </c>
      <c r="E2830" s="8">
        <v>-1.020892E-3</v>
      </c>
    </row>
    <row r="2831" spans="1:5" x14ac:dyDescent="0.3">
      <c r="A2831" s="8">
        <v>75</v>
      </c>
      <c r="B2831" s="8">
        <v>55</v>
      </c>
      <c r="C2831" s="8">
        <v>3060</v>
      </c>
      <c r="D2831" s="16">
        <v>-1.4219819999999999E-2</v>
      </c>
      <c r="E2831" s="8">
        <v>-7.1099099999999997E-3</v>
      </c>
    </row>
    <row r="2832" spans="1:5" x14ac:dyDescent="0.3">
      <c r="A2832" s="8">
        <v>75</v>
      </c>
      <c r="B2832" s="8">
        <v>56</v>
      </c>
      <c r="C2832" s="8">
        <v>3060</v>
      </c>
      <c r="D2832" s="16">
        <v>-3.7489080000000001E-2</v>
      </c>
      <c r="E2832" s="8">
        <v>-1.8744540000000001E-2</v>
      </c>
    </row>
    <row r="2833" spans="1:5" x14ac:dyDescent="0.3">
      <c r="A2833" s="8">
        <v>75</v>
      </c>
      <c r="B2833" s="8">
        <v>57</v>
      </c>
      <c r="C2833" s="8">
        <v>3074</v>
      </c>
      <c r="D2833" s="16">
        <v>-5.274591E-2</v>
      </c>
      <c r="E2833" s="8">
        <v>-2.6372955E-2</v>
      </c>
    </row>
    <row r="2834" spans="1:5" x14ac:dyDescent="0.3">
      <c r="A2834" s="8">
        <v>75</v>
      </c>
      <c r="B2834" s="8">
        <v>58</v>
      </c>
      <c r="C2834" s="8">
        <v>3064</v>
      </c>
      <c r="D2834" s="16">
        <v>-2.6102710000000001E-2</v>
      </c>
      <c r="E2834" s="8">
        <v>-1.3051355000000001E-2</v>
      </c>
    </row>
    <row r="2835" spans="1:5" x14ac:dyDescent="0.3">
      <c r="A2835" s="8">
        <v>75</v>
      </c>
      <c r="B2835" s="8">
        <v>59</v>
      </c>
      <c r="C2835" s="8">
        <v>3060</v>
      </c>
      <c r="D2835" s="16">
        <v>-4.6636940000000002E-2</v>
      </c>
      <c r="E2835" s="8">
        <v>-2.3318470000000001E-2</v>
      </c>
    </row>
    <row r="2836" spans="1:5" x14ac:dyDescent="0.3">
      <c r="A2836" s="8">
        <v>75</v>
      </c>
      <c r="B2836" s="8">
        <v>60</v>
      </c>
      <c r="C2836" s="8">
        <v>3056</v>
      </c>
      <c r="D2836" s="16">
        <v>-3.809738E-2</v>
      </c>
      <c r="E2836" s="8">
        <v>-1.904869E-2</v>
      </c>
    </row>
    <row r="2837" spans="1:5" x14ac:dyDescent="0.3">
      <c r="A2837" s="8">
        <v>75</v>
      </c>
      <c r="B2837" s="8">
        <v>61</v>
      </c>
      <c r="C2837" s="8">
        <v>3052</v>
      </c>
      <c r="D2837" s="16">
        <v>-4.0729889999999998E-2</v>
      </c>
      <c r="E2837" s="8">
        <v>-2.0364944999999999E-2</v>
      </c>
    </row>
    <row r="2838" spans="1:5" x14ac:dyDescent="0.3">
      <c r="A2838" s="8">
        <v>75</v>
      </c>
      <c r="B2838" s="8">
        <v>62</v>
      </c>
      <c r="C2838" s="8">
        <v>3058</v>
      </c>
      <c r="D2838" s="16">
        <v>3.5985140000000001E-3</v>
      </c>
      <c r="E2838" s="8">
        <v>1.7992570000000001E-3</v>
      </c>
    </row>
    <row r="2839" spans="1:5" x14ac:dyDescent="0.3">
      <c r="A2839" s="8">
        <v>75</v>
      </c>
      <c r="B2839" s="8">
        <v>63</v>
      </c>
      <c r="C2839" s="8">
        <v>3058</v>
      </c>
      <c r="D2839" s="16">
        <v>-2.0182700000000001E-2</v>
      </c>
      <c r="E2839" s="8">
        <v>-1.0091350000000001E-2</v>
      </c>
    </row>
    <row r="2840" spans="1:5" x14ac:dyDescent="0.3">
      <c r="A2840" s="8">
        <v>75</v>
      </c>
      <c r="B2840" s="8">
        <v>64</v>
      </c>
      <c r="C2840" s="8">
        <v>3056</v>
      </c>
      <c r="D2840" s="16">
        <v>-3.3324529999999998E-2</v>
      </c>
      <c r="E2840" s="8">
        <v>-1.6662264999999999E-2</v>
      </c>
    </row>
    <row r="2841" spans="1:5" x14ac:dyDescent="0.3">
      <c r="A2841" s="8">
        <v>75</v>
      </c>
      <c r="B2841" s="8">
        <v>65</v>
      </c>
      <c r="C2841" s="8">
        <v>3056</v>
      </c>
      <c r="D2841" s="16">
        <v>-2.5016050000000001E-2</v>
      </c>
      <c r="E2841" s="8">
        <v>-1.2508025000000001E-2</v>
      </c>
    </row>
    <row r="2842" spans="1:5" x14ac:dyDescent="0.3">
      <c r="A2842" s="8">
        <v>75</v>
      </c>
      <c r="B2842" s="8">
        <v>66</v>
      </c>
      <c r="C2842" s="8">
        <v>3057</v>
      </c>
      <c r="D2842" s="16">
        <v>-4.5321260000000002E-2</v>
      </c>
      <c r="E2842" s="8">
        <v>-2.2660630000000001E-2</v>
      </c>
    </row>
    <row r="2843" spans="1:5" x14ac:dyDescent="0.3">
      <c r="A2843" s="8">
        <v>75</v>
      </c>
      <c r="B2843" s="8">
        <v>67</v>
      </c>
      <c r="C2843" s="8">
        <v>3048</v>
      </c>
      <c r="D2843" s="16">
        <v>-3.5718350000000003E-2</v>
      </c>
      <c r="E2843" s="8">
        <v>-1.7859175000000001E-2</v>
      </c>
    </row>
    <row r="2844" spans="1:5" x14ac:dyDescent="0.3">
      <c r="A2844" s="8">
        <v>75</v>
      </c>
      <c r="B2844" s="8">
        <v>68</v>
      </c>
      <c r="C2844" s="8">
        <v>3042</v>
      </c>
      <c r="D2844" s="16">
        <v>-1.309433E-2</v>
      </c>
      <c r="E2844" s="8">
        <v>-6.5471649999999998E-3</v>
      </c>
    </row>
    <row r="2845" spans="1:5" x14ac:dyDescent="0.3">
      <c r="A2845" s="8">
        <v>75</v>
      </c>
      <c r="B2845" s="8">
        <v>69</v>
      </c>
      <c r="C2845" s="8">
        <v>3052</v>
      </c>
      <c r="D2845" s="16">
        <v>-4.8768270000000002E-3</v>
      </c>
      <c r="E2845" s="8">
        <v>-2.4384135000000001E-3</v>
      </c>
    </row>
    <row r="2846" spans="1:5" x14ac:dyDescent="0.3">
      <c r="A2846" s="8">
        <v>75</v>
      </c>
      <c r="B2846" s="8">
        <v>70</v>
      </c>
      <c r="C2846" s="8">
        <v>3057</v>
      </c>
      <c r="D2846" s="16">
        <v>-5.3256550000000003E-3</v>
      </c>
      <c r="E2846" s="8">
        <v>-2.6628275000000002E-3</v>
      </c>
    </row>
    <row r="2847" spans="1:5" x14ac:dyDescent="0.3">
      <c r="A2847" s="8">
        <v>75</v>
      </c>
      <c r="B2847" s="8">
        <v>71</v>
      </c>
      <c r="C2847" s="8">
        <v>3047</v>
      </c>
      <c r="D2847" s="16">
        <v>5.548002E-4</v>
      </c>
      <c r="E2847" s="8">
        <v>2.774001E-4</v>
      </c>
    </row>
    <row r="2848" spans="1:5" x14ac:dyDescent="0.3">
      <c r="A2848" s="8">
        <v>75</v>
      </c>
      <c r="B2848" s="8">
        <v>72</v>
      </c>
      <c r="C2848" s="8">
        <v>3045</v>
      </c>
      <c r="D2848" s="16">
        <v>-4.9063820000000001E-2</v>
      </c>
      <c r="E2848" s="8">
        <v>-2.4531910000000001E-2</v>
      </c>
    </row>
    <row r="2849" spans="1:5" x14ac:dyDescent="0.3">
      <c r="A2849" s="8">
        <v>75</v>
      </c>
      <c r="B2849" s="8">
        <v>73</v>
      </c>
      <c r="C2849" s="8">
        <v>3067</v>
      </c>
      <c r="D2849" s="16">
        <v>-1.1934139999999999E-2</v>
      </c>
      <c r="E2849" s="8">
        <v>-5.9670699999999997E-3</v>
      </c>
    </row>
    <row r="2850" spans="1:5" x14ac:dyDescent="0.3">
      <c r="A2850" s="8">
        <v>75</v>
      </c>
      <c r="B2850" s="8">
        <v>74</v>
      </c>
      <c r="C2850" s="8">
        <v>3045</v>
      </c>
      <c r="D2850" s="16">
        <v>-1.7794500000000001E-2</v>
      </c>
      <c r="E2850" s="8">
        <v>-8.8972500000000006E-3</v>
      </c>
    </row>
    <row r="2851" spans="1:5" x14ac:dyDescent="0.3">
      <c r="A2851" s="8">
        <v>75</v>
      </c>
      <c r="B2851" s="8">
        <v>75</v>
      </c>
      <c r="C2851" s="8">
        <v>3154</v>
      </c>
      <c r="D2851" s="16">
        <v>1.0769420000000001</v>
      </c>
      <c r="E2851" s="8"/>
    </row>
    <row r="2852" spans="1:5" x14ac:dyDescent="0.3">
      <c r="A2852" s="8">
        <v>76</v>
      </c>
      <c r="B2852" s="8">
        <v>1</v>
      </c>
      <c r="C2852" s="8">
        <v>3069</v>
      </c>
      <c r="D2852" s="16">
        <v>-4.2302489999999998E-2</v>
      </c>
      <c r="E2852" s="8">
        <v>-2.1151244999999999E-2</v>
      </c>
    </row>
    <row r="2853" spans="1:5" x14ac:dyDescent="0.3">
      <c r="A2853" s="8">
        <v>76</v>
      </c>
      <c r="B2853" s="8">
        <v>2</v>
      </c>
      <c r="C2853" s="8">
        <v>3038</v>
      </c>
      <c r="D2853" s="16">
        <v>-9.4935969999999995E-3</v>
      </c>
      <c r="E2853" s="8">
        <v>-4.7467984999999997E-3</v>
      </c>
    </row>
    <row r="2854" spans="1:5" x14ac:dyDescent="0.3">
      <c r="A2854" s="8">
        <v>76</v>
      </c>
      <c r="B2854" s="8">
        <v>3</v>
      </c>
      <c r="C2854" s="8">
        <v>3062</v>
      </c>
      <c r="D2854" s="16">
        <v>1.302502E-2</v>
      </c>
      <c r="E2854" s="8">
        <v>6.51251E-3</v>
      </c>
    </row>
    <row r="2855" spans="1:5" x14ac:dyDescent="0.3">
      <c r="A2855" s="8">
        <v>76</v>
      </c>
      <c r="B2855" s="8">
        <v>4</v>
      </c>
      <c r="C2855" s="8">
        <v>3039</v>
      </c>
      <c r="D2855" s="16">
        <v>-3.3613120000000003E-2</v>
      </c>
      <c r="E2855" s="8">
        <v>-1.6806560000000002E-2</v>
      </c>
    </row>
    <row r="2856" spans="1:5" x14ac:dyDescent="0.3">
      <c r="A2856" s="8">
        <v>76</v>
      </c>
      <c r="B2856" s="8">
        <v>5</v>
      </c>
      <c r="C2856" s="8">
        <v>3026</v>
      </c>
      <c r="D2856" s="16">
        <v>-2.0513779999999999E-2</v>
      </c>
      <c r="E2856" s="8">
        <v>-1.0256889999999999E-2</v>
      </c>
    </row>
    <row r="2857" spans="1:5" x14ac:dyDescent="0.3">
      <c r="A2857" s="8">
        <v>76</v>
      </c>
      <c r="B2857" s="8">
        <v>6</v>
      </c>
      <c r="C2857" s="8">
        <v>3051</v>
      </c>
      <c r="D2857" s="16">
        <v>-6.6718470000000002E-2</v>
      </c>
      <c r="E2857" s="8">
        <v>-3.3359235000000001E-2</v>
      </c>
    </row>
    <row r="2858" spans="1:5" x14ac:dyDescent="0.3">
      <c r="A2858" s="8">
        <v>76</v>
      </c>
      <c r="B2858" s="8">
        <v>7</v>
      </c>
      <c r="C2858" s="8">
        <v>3044</v>
      </c>
      <c r="D2858" s="16">
        <v>-1.385133E-2</v>
      </c>
      <c r="E2858" s="8">
        <v>-6.9256650000000001E-3</v>
      </c>
    </row>
    <row r="2859" spans="1:5" x14ac:dyDescent="0.3">
      <c r="A2859" s="8">
        <v>76</v>
      </c>
      <c r="B2859" s="8">
        <v>8</v>
      </c>
      <c r="C2859" s="8">
        <v>3063</v>
      </c>
      <c r="D2859" s="16">
        <v>-2.94151E-2</v>
      </c>
      <c r="E2859" s="8">
        <v>-1.470755E-2</v>
      </c>
    </row>
    <row r="2860" spans="1:5" x14ac:dyDescent="0.3">
      <c r="A2860" s="8">
        <v>76</v>
      </c>
      <c r="B2860" s="8">
        <v>9</v>
      </c>
      <c r="C2860" s="8">
        <v>3051</v>
      </c>
      <c r="D2860" s="16">
        <v>-1.9904669999999999E-2</v>
      </c>
      <c r="E2860" s="8">
        <v>-9.9523349999999997E-3</v>
      </c>
    </row>
    <row r="2861" spans="1:5" x14ac:dyDescent="0.3">
      <c r="A2861" s="8">
        <v>76</v>
      </c>
      <c r="B2861" s="8">
        <v>10</v>
      </c>
      <c r="C2861" s="8">
        <v>3040</v>
      </c>
      <c r="D2861" s="16">
        <v>-7.7022170000000001E-2</v>
      </c>
      <c r="E2861" s="8">
        <v>-3.8511085E-2</v>
      </c>
    </row>
    <row r="2862" spans="1:5" x14ac:dyDescent="0.3">
      <c r="A2862" s="8">
        <v>76</v>
      </c>
      <c r="B2862" s="8">
        <v>11</v>
      </c>
      <c r="C2862" s="8">
        <v>3040</v>
      </c>
      <c r="D2862" s="16">
        <v>-5.3329010000000003E-2</v>
      </c>
      <c r="E2862" s="8">
        <v>-2.6664505000000002E-2</v>
      </c>
    </row>
    <row r="2863" spans="1:5" x14ac:dyDescent="0.3">
      <c r="A2863" s="8">
        <v>76</v>
      </c>
      <c r="B2863" s="8">
        <v>12</v>
      </c>
      <c r="C2863" s="8">
        <v>3060</v>
      </c>
      <c r="D2863" s="16">
        <v>-5.4714400000000003E-2</v>
      </c>
      <c r="E2863" s="8">
        <v>-2.7357200000000002E-2</v>
      </c>
    </row>
    <row r="2864" spans="1:5" x14ac:dyDescent="0.3">
      <c r="A2864" s="8">
        <v>76</v>
      </c>
      <c r="B2864" s="8">
        <v>13</v>
      </c>
      <c r="C2864" s="8">
        <v>3038</v>
      </c>
      <c r="D2864" s="16">
        <v>2.689774E-2</v>
      </c>
      <c r="E2864" s="8">
        <v>1.344887E-2</v>
      </c>
    </row>
    <row r="2865" spans="1:5" x14ac:dyDescent="0.3">
      <c r="A2865" s="8">
        <v>76</v>
      </c>
      <c r="B2865" s="8">
        <v>14</v>
      </c>
      <c r="C2865" s="8">
        <v>3041</v>
      </c>
      <c r="D2865" s="16">
        <v>1.518335E-2</v>
      </c>
      <c r="E2865" s="8">
        <v>7.591675E-3</v>
      </c>
    </row>
    <row r="2866" spans="1:5" x14ac:dyDescent="0.3">
      <c r="A2866" s="8">
        <v>76</v>
      </c>
      <c r="B2866" s="8">
        <v>15</v>
      </c>
      <c r="C2866" s="8">
        <v>3046</v>
      </c>
      <c r="D2866" s="16">
        <v>-2.088682E-2</v>
      </c>
      <c r="E2866" s="8">
        <v>-1.044341E-2</v>
      </c>
    </row>
    <row r="2867" spans="1:5" x14ac:dyDescent="0.3">
      <c r="A2867" s="8">
        <v>76</v>
      </c>
      <c r="B2867" s="8">
        <v>16</v>
      </c>
      <c r="C2867" s="8">
        <v>3058</v>
      </c>
      <c r="D2867" s="16">
        <v>-9.2741539999999997E-3</v>
      </c>
      <c r="E2867" s="8">
        <v>-4.6370769999999999E-3</v>
      </c>
    </row>
    <row r="2868" spans="1:5" x14ac:dyDescent="0.3">
      <c r="A2868" s="8">
        <v>76</v>
      </c>
      <c r="B2868" s="8">
        <v>17</v>
      </c>
      <c r="C2868" s="8">
        <v>3049</v>
      </c>
      <c r="D2868" s="16">
        <v>-2.841378E-2</v>
      </c>
      <c r="E2868" s="8">
        <v>-1.420689E-2</v>
      </c>
    </row>
    <row r="2869" spans="1:5" x14ac:dyDescent="0.3">
      <c r="A2869" s="8">
        <v>76</v>
      </c>
      <c r="B2869" s="8">
        <v>18</v>
      </c>
      <c r="C2869" s="8">
        <v>3064</v>
      </c>
      <c r="D2869" s="16">
        <v>-2.444721E-2</v>
      </c>
      <c r="E2869" s="8">
        <v>-1.2223605E-2</v>
      </c>
    </row>
    <row r="2870" spans="1:5" x14ac:dyDescent="0.3">
      <c r="A2870" s="8">
        <v>76</v>
      </c>
      <c r="B2870" s="8">
        <v>19</v>
      </c>
      <c r="C2870" s="8">
        <v>3051</v>
      </c>
      <c r="D2870" s="16">
        <v>-2.691694E-2</v>
      </c>
      <c r="E2870" s="8">
        <v>-1.345847E-2</v>
      </c>
    </row>
    <row r="2871" spans="1:5" x14ac:dyDescent="0.3">
      <c r="A2871" s="8">
        <v>76</v>
      </c>
      <c r="B2871" s="8">
        <v>20</v>
      </c>
      <c r="C2871" s="8">
        <v>3053</v>
      </c>
      <c r="D2871" s="16">
        <v>2.2398339999999999E-2</v>
      </c>
      <c r="E2871" s="8">
        <v>1.119917E-2</v>
      </c>
    </row>
    <row r="2872" spans="1:5" x14ac:dyDescent="0.3">
      <c r="A2872" s="8">
        <v>76</v>
      </c>
      <c r="B2872" s="8">
        <v>21</v>
      </c>
      <c r="C2872" s="8">
        <v>3051</v>
      </c>
      <c r="D2872" s="16">
        <v>-1.102143E-2</v>
      </c>
      <c r="E2872" s="8">
        <v>-5.5107150000000002E-3</v>
      </c>
    </row>
    <row r="2873" spans="1:5" x14ac:dyDescent="0.3">
      <c r="A2873" s="8">
        <v>76</v>
      </c>
      <c r="B2873" s="8">
        <v>22</v>
      </c>
      <c r="C2873" s="8">
        <v>3041</v>
      </c>
      <c r="D2873" s="16">
        <v>1.0759589999999999E-2</v>
      </c>
      <c r="E2873" s="8">
        <v>5.3797949999999997E-3</v>
      </c>
    </row>
    <row r="2874" spans="1:5" x14ac:dyDescent="0.3">
      <c r="A2874" s="8">
        <v>76</v>
      </c>
      <c r="B2874" s="8">
        <v>23</v>
      </c>
      <c r="C2874" s="8">
        <v>3040</v>
      </c>
      <c r="D2874" s="16">
        <v>-1.1993790000000001E-2</v>
      </c>
      <c r="E2874" s="8">
        <v>-5.9968950000000004E-3</v>
      </c>
    </row>
    <row r="2875" spans="1:5" x14ac:dyDescent="0.3">
      <c r="A2875" s="8">
        <v>76</v>
      </c>
      <c r="B2875" s="8">
        <v>24</v>
      </c>
      <c r="C2875" s="8">
        <v>3071</v>
      </c>
      <c r="D2875" s="16">
        <v>2.817499E-2</v>
      </c>
      <c r="E2875" s="8">
        <v>1.4087495E-2</v>
      </c>
    </row>
    <row r="2876" spans="1:5" x14ac:dyDescent="0.3">
      <c r="A2876" s="8">
        <v>76</v>
      </c>
      <c r="B2876" s="8">
        <v>25</v>
      </c>
      <c r="C2876" s="8">
        <v>3052</v>
      </c>
      <c r="D2876" s="16">
        <v>3.2522210000000003E-2</v>
      </c>
      <c r="E2876" s="8">
        <v>1.6261105000000001E-2</v>
      </c>
    </row>
    <row r="2877" spans="1:5" x14ac:dyDescent="0.3">
      <c r="A2877" s="8">
        <v>76</v>
      </c>
      <c r="B2877" s="8">
        <v>26</v>
      </c>
      <c r="C2877" s="8">
        <v>3059</v>
      </c>
      <c r="D2877" s="16">
        <v>-1.707316E-2</v>
      </c>
      <c r="E2877" s="8">
        <v>-8.5365800000000002E-3</v>
      </c>
    </row>
    <row r="2878" spans="1:5" x14ac:dyDescent="0.3">
      <c r="A2878" s="8">
        <v>76</v>
      </c>
      <c r="B2878" s="8">
        <v>27</v>
      </c>
      <c r="C2878" s="8">
        <v>3066</v>
      </c>
      <c r="D2878" s="16">
        <v>7.8448800000000003E-3</v>
      </c>
      <c r="E2878" s="8">
        <v>3.9224400000000001E-3</v>
      </c>
    </row>
    <row r="2879" spans="1:5" x14ac:dyDescent="0.3">
      <c r="A2879" s="8">
        <v>76</v>
      </c>
      <c r="B2879" s="8">
        <v>28</v>
      </c>
      <c r="C2879" s="8">
        <v>3035</v>
      </c>
      <c r="D2879" s="16">
        <v>-3.1522050000000003E-2</v>
      </c>
      <c r="E2879" s="8">
        <v>-1.5761025000000001E-2</v>
      </c>
    </row>
    <row r="2880" spans="1:5" x14ac:dyDescent="0.3">
      <c r="A2880" s="8">
        <v>76</v>
      </c>
      <c r="B2880" s="8">
        <v>29</v>
      </c>
      <c r="C2880" s="8">
        <v>3042</v>
      </c>
      <c r="D2880" s="16">
        <v>1.5470090000000001E-2</v>
      </c>
      <c r="E2880" s="8">
        <v>7.7350450000000003E-3</v>
      </c>
    </row>
    <row r="2881" spans="1:5" x14ac:dyDescent="0.3">
      <c r="A2881" s="8">
        <v>76</v>
      </c>
      <c r="B2881" s="8">
        <v>30</v>
      </c>
      <c r="C2881" s="8">
        <v>3051</v>
      </c>
      <c r="D2881" s="16">
        <v>-6.0723669999999995E-4</v>
      </c>
      <c r="E2881" s="8">
        <v>-3.0361834999999998E-4</v>
      </c>
    </row>
    <row r="2882" spans="1:5" x14ac:dyDescent="0.3">
      <c r="A2882" s="8">
        <v>76</v>
      </c>
      <c r="B2882" s="8">
        <v>31</v>
      </c>
      <c r="C2882" s="8">
        <v>2971</v>
      </c>
      <c r="D2882" s="16">
        <v>-3.6746349999999997E-2</v>
      </c>
      <c r="E2882" s="8">
        <v>-1.8373174999999999E-2</v>
      </c>
    </row>
    <row r="2883" spans="1:5" x14ac:dyDescent="0.3">
      <c r="A2883" s="8">
        <v>76</v>
      </c>
      <c r="B2883" s="8">
        <v>32</v>
      </c>
      <c r="C2883" s="8">
        <v>3035</v>
      </c>
      <c r="D2883" s="16">
        <v>-2.304057E-2</v>
      </c>
      <c r="E2883" s="8">
        <v>-1.1520285E-2</v>
      </c>
    </row>
    <row r="2884" spans="1:5" x14ac:dyDescent="0.3">
      <c r="A2884" s="8">
        <v>76</v>
      </c>
      <c r="B2884" s="8">
        <v>33</v>
      </c>
      <c r="C2884" s="8">
        <v>3068</v>
      </c>
      <c r="D2884" s="16">
        <v>-5.2419359999999998E-2</v>
      </c>
      <c r="E2884" s="8">
        <v>-2.6209679999999999E-2</v>
      </c>
    </row>
    <row r="2885" spans="1:5" x14ac:dyDescent="0.3">
      <c r="A2885" s="8">
        <v>76</v>
      </c>
      <c r="B2885" s="8">
        <v>34</v>
      </c>
      <c r="C2885" s="8">
        <v>3052</v>
      </c>
      <c r="D2885" s="16">
        <v>9.9458649999999999E-3</v>
      </c>
      <c r="E2885" s="8">
        <v>4.9729325E-3</v>
      </c>
    </row>
    <row r="2886" spans="1:5" x14ac:dyDescent="0.3">
      <c r="A2886" s="8">
        <v>76</v>
      </c>
      <c r="B2886" s="8">
        <v>35</v>
      </c>
      <c r="C2886" s="8">
        <v>3053</v>
      </c>
      <c r="D2886" s="16">
        <v>-2.1246649999999999E-2</v>
      </c>
      <c r="E2886" s="8">
        <v>-1.0623324999999999E-2</v>
      </c>
    </row>
    <row r="2887" spans="1:5" x14ac:dyDescent="0.3">
      <c r="A2887" s="8">
        <v>76</v>
      </c>
      <c r="B2887" s="8">
        <v>36</v>
      </c>
      <c r="C2887" s="8">
        <v>3057</v>
      </c>
      <c r="D2887" s="16">
        <v>1.8551999999999999E-2</v>
      </c>
      <c r="E2887" s="8">
        <v>9.2759999999999995E-3</v>
      </c>
    </row>
    <row r="2888" spans="1:5" x14ac:dyDescent="0.3">
      <c r="A2888" s="8">
        <v>76</v>
      </c>
      <c r="B2888" s="8">
        <v>37</v>
      </c>
      <c r="C2888" s="8">
        <v>3024</v>
      </c>
      <c r="D2888" s="16">
        <v>-1.250159E-2</v>
      </c>
      <c r="E2888" s="8">
        <v>-6.250795E-3</v>
      </c>
    </row>
    <row r="2889" spans="1:5" x14ac:dyDescent="0.3">
      <c r="A2889" s="8">
        <v>76</v>
      </c>
      <c r="B2889" s="8">
        <v>38</v>
      </c>
      <c r="C2889" s="8">
        <v>3070</v>
      </c>
      <c r="D2889" s="16">
        <v>-2.22095E-2</v>
      </c>
      <c r="E2889" s="8">
        <v>-1.110475E-2</v>
      </c>
    </row>
    <row r="2890" spans="1:5" x14ac:dyDescent="0.3">
      <c r="A2890" s="8">
        <v>76</v>
      </c>
      <c r="B2890" s="8">
        <v>39</v>
      </c>
      <c r="C2890" s="8">
        <v>3059</v>
      </c>
      <c r="D2890" s="16">
        <v>-2.5494159999999998E-2</v>
      </c>
      <c r="E2890" s="8">
        <v>-1.2747079999999999E-2</v>
      </c>
    </row>
    <row r="2891" spans="1:5" x14ac:dyDescent="0.3">
      <c r="A2891" s="8">
        <v>76</v>
      </c>
      <c r="B2891" s="8">
        <v>40</v>
      </c>
      <c r="C2891" s="8">
        <v>3052</v>
      </c>
      <c r="D2891" s="16">
        <v>-1.296396E-2</v>
      </c>
      <c r="E2891" s="8">
        <v>-6.48198E-3</v>
      </c>
    </row>
    <row r="2892" spans="1:5" x14ac:dyDescent="0.3">
      <c r="A2892" s="8">
        <v>76</v>
      </c>
      <c r="B2892" s="8">
        <v>41</v>
      </c>
      <c r="C2892" s="8">
        <v>3025</v>
      </c>
      <c r="D2892" s="16">
        <v>1.9905909999999999E-2</v>
      </c>
      <c r="E2892" s="8">
        <v>9.9529549999999994E-3</v>
      </c>
    </row>
    <row r="2893" spans="1:5" x14ac:dyDescent="0.3">
      <c r="A2893" s="8">
        <v>76</v>
      </c>
      <c r="B2893" s="8">
        <v>42</v>
      </c>
      <c r="C2893" s="8">
        <v>3020</v>
      </c>
      <c r="D2893" s="16">
        <v>1.53723E-2</v>
      </c>
      <c r="E2893" s="8">
        <v>7.6861500000000001E-3</v>
      </c>
    </row>
    <row r="2894" spans="1:5" x14ac:dyDescent="0.3">
      <c r="A2894" s="8">
        <v>76</v>
      </c>
      <c r="B2894" s="8">
        <v>43</v>
      </c>
      <c r="C2894" s="8">
        <v>3044</v>
      </c>
      <c r="D2894" s="16">
        <v>-4.7710599999999997E-3</v>
      </c>
      <c r="E2894" s="8">
        <v>-2.3855299999999999E-3</v>
      </c>
    </row>
    <row r="2895" spans="1:5" x14ac:dyDescent="0.3">
      <c r="A2895" s="8">
        <v>76</v>
      </c>
      <c r="B2895" s="8">
        <v>44</v>
      </c>
      <c r="C2895" s="8">
        <v>3020</v>
      </c>
      <c r="D2895" s="16">
        <v>-6.5907939999999998E-2</v>
      </c>
      <c r="E2895" s="8">
        <v>-3.2953969999999999E-2</v>
      </c>
    </row>
    <row r="2896" spans="1:5" x14ac:dyDescent="0.3">
      <c r="A2896" s="8">
        <v>76</v>
      </c>
      <c r="B2896" s="8">
        <v>45</v>
      </c>
      <c r="C2896" s="8">
        <v>3060</v>
      </c>
      <c r="D2896" s="16">
        <v>2.182798E-2</v>
      </c>
      <c r="E2896" s="8">
        <v>1.091399E-2</v>
      </c>
    </row>
    <row r="2897" spans="1:5" x14ac:dyDescent="0.3">
      <c r="A2897" s="8">
        <v>76</v>
      </c>
      <c r="B2897" s="8">
        <v>46</v>
      </c>
      <c r="C2897" s="8">
        <v>3043</v>
      </c>
      <c r="D2897" s="16">
        <v>-3.1859319999999997E-2</v>
      </c>
      <c r="E2897" s="8">
        <v>-1.5929659999999998E-2</v>
      </c>
    </row>
    <row r="2898" spans="1:5" x14ac:dyDescent="0.3">
      <c r="A2898" s="8">
        <v>76</v>
      </c>
      <c r="B2898" s="8">
        <v>47</v>
      </c>
      <c r="C2898" s="8">
        <v>3029</v>
      </c>
      <c r="D2898" s="16">
        <v>-4.8273689999999998E-3</v>
      </c>
      <c r="E2898" s="8">
        <v>-2.4136844999999999E-3</v>
      </c>
    </row>
    <row r="2899" spans="1:5" x14ac:dyDescent="0.3">
      <c r="A2899" s="8">
        <v>76</v>
      </c>
      <c r="B2899" s="8">
        <v>48</v>
      </c>
      <c r="C2899" s="8">
        <v>3049</v>
      </c>
      <c r="D2899" s="16">
        <v>-2.821883E-2</v>
      </c>
      <c r="E2899" s="8">
        <v>-1.4109415E-2</v>
      </c>
    </row>
    <row r="2900" spans="1:5" x14ac:dyDescent="0.3">
      <c r="A2900" s="8">
        <v>76</v>
      </c>
      <c r="B2900" s="8">
        <v>49</v>
      </c>
      <c r="C2900" s="8">
        <v>3023</v>
      </c>
      <c r="D2900" s="16">
        <v>-7.4861140000000003E-3</v>
      </c>
      <c r="E2900" s="8">
        <v>-3.7430570000000002E-3</v>
      </c>
    </row>
    <row r="2901" spans="1:5" x14ac:dyDescent="0.3">
      <c r="A2901" s="8">
        <v>76</v>
      </c>
      <c r="B2901" s="8">
        <v>50</v>
      </c>
      <c r="C2901" s="8">
        <v>3063</v>
      </c>
      <c r="D2901" s="16">
        <v>-9.2576610000000004E-3</v>
      </c>
      <c r="E2901" s="8">
        <v>-4.6288305000000002E-3</v>
      </c>
    </row>
    <row r="2902" spans="1:5" x14ac:dyDescent="0.3">
      <c r="A2902" s="8">
        <v>76</v>
      </c>
      <c r="B2902" s="8">
        <v>51</v>
      </c>
      <c r="C2902" s="8">
        <v>3043</v>
      </c>
      <c r="D2902" s="16">
        <v>-1.2500030000000001E-2</v>
      </c>
      <c r="E2902" s="8">
        <v>-6.2500150000000003E-3</v>
      </c>
    </row>
    <row r="2903" spans="1:5" x14ac:dyDescent="0.3">
      <c r="A2903" s="8">
        <v>76</v>
      </c>
      <c r="B2903" s="8">
        <v>52</v>
      </c>
      <c r="C2903" s="8">
        <v>3043</v>
      </c>
      <c r="D2903" s="16">
        <v>-3.4190419999999999E-2</v>
      </c>
      <c r="E2903" s="8">
        <v>-1.709521E-2</v>
      </c>
    </row>
    <row r="2904" spans="1:5" x14ac:dyDescent="0.3">
      <c r="A2904" s="8">
        <v>76</v>
      </c>
      <c r="B2904" s="8">
        <v>53</v>
      </c>
      <c r="C2904" s="8">
        <v>3048</v>
      </c>
      <c r="D2904" s="16">
        <v>-6.2336919999999997E-2</v>
      </c>
      <c r="E2904" s="8">
        <v>-3.1168459999999999E-2</v>
      </c>
    </row>
    <row r="2905" spans="1:5" x14ac:dyDescent="0.3">
      <c r="A2905" s="8">
        <v>76</v>
      </c>
      <c r="B2905" s="8">
        <v>54</v>
      </c>
      <c r="C2905" s="8">
        <v>3035</v>
      </c>
      <c r="D2905" s="16">
        <v>2.605615E-2</v>
      </c>
      <c r="E2905" s="8">
        <v>1.3028075E-2</v>
      </c>
    </row>
    <row r="2906" spans="1:5" x14ac:dyDescent="0.3">
      <c r="A2906" s="8">
        <v>76</v>
      </c>
      <c r="B2906" s="8">
        <v>55</v>
      </c>
      <c r="C2906" s="8">
        <v>3058</v>
      </c>
      <c r="D2906" s="16">
        <v>-3.8907839999999999E-2</v>
      </c>
      <c r="E2906" s="8">
        <v>-1.945392E-2</v>
      </c>
    </row>
    <row r="2907" spans="1:5" x14ac:dyDescent="0.3">
      <c r="A2907" s="8">
        <v>76</v>
      </c>
      <c r="B2907" s="8">
        <v>56</v>
      </c>
      <c r="C2907" s="8">
        <v>3057</v>
      </c>
      <c r="D2907" s="16">
        <v>-1.2999629999999999E-3</v>
      </c>
      <c r="E2907" s="8">
        <v>-6.4998149999999995E-4</v>
      </c>
    </row>
    <row r="2908" spans="1:5" x14ac:dyDescent="0.3">
      <c r="A2908" s="8">
        <v>76</v>
      </c>
      <c r="B2908" s="8">
        <v>57</v>
      </c>
      <c r="C2908" s="8">
        <v>3073</v>
      </c>
      <c r="D2908" s="16">
        <v>2.4243000000000001E-2</v>
      </c>
      <c r="E2908" s="8">
        <v>1.21215E-2</v>
      </c>
    </row>
    <row r="2909" spans="1:5" x14ac:dyDescent="0.3">
      <c r="A2909" s="8">
        <v>76</v>
      </c>
      <c r="B2909" s="8">
        <v>58</v>
      </c>
      <c r="C2909" s="8">
        <v>3054</v>
      </c>
      <c r="D2909" s="16">
        <v>1.762145E-2</v>
      </c>
      <c r="E2909" s="8">
        <v>8.8107250000000002E-3</v>
      </c>
    </row>
    <row r="2910" spans="1:5" x14ac:dyDescent="0.3">
      <c r="A2910" s="8">
        <v>76</v>
      </c>
      <c r="B2910" s="8">
        <v>59</v>
      </c>
      <c r="C2910" s="8">
        <v>3056</v>
      </c>
      <c r="D2910" s="16">
        <v>-2.9154220000000002E-2</v>
      </c>
      <c r="E2910" s="8">
        <v>-1.4577110000000001E-2</v>
      </c>
    </row>
    <row r="2911" spans="1:5" x14ac:dyDescent="0.3">
      <c r="A2911" s="8">
        <v>76</v>
      </c>
      <c r="B2911" s="8">
        <v>60</v>
      </c>
      <c r="C2911" s="8">
        <v>3049</v>
      </c>
      <c r="D2911" s="16">
        <v>1.032662E-2</v>
      </c>
      <c r="E2911" s="8">
        <v>5.1633099999999999E-3</v>
      </c>
    </row>
    <row r="2912" spans="1:5" x14ac:dyDescent="0.3">
      <c r="A2912" s="8">
        <v>76</v>
      </c>
      <c r="B2912" s="8">
        <v>61</v>
      </c>
      <c r="C2912" s="8">
        <v>3046</v>
      </c>
      <c r="D2912" s="16">
        <v>4.7222820000000004E-3</v>
      </c>
      <c r="E2912" s="8">
        <v>2.3611410000000002E-3</v>
      </c>
    </row>
    <row r="2913" spans="1:5" x14ac:dyDescent="0.3">
      <c r="A2913" s="8">
        <v>76</v>
      </c>
      <c r="B2913" s="8">
        <v>62</v>
      </c>
      <c r="C2913" s="8">
        <v>3054</v>
      </c>
      <c r="D2913" s="16">
        <v>-3.5699349999999998E-2</v>
      </c>
      <c r="E2913" s="8">
        <v>-1.7849674999999999E-2</v>
      </c>
    </row>
    <row r="2914" spans="1:5" x14ac:dyDescent="0.3">
      <c r="A2914" s="8">
        <v>76</v>
      </c>
      <c r="B2914" s="8">
        <v>63</v>
      </c>
      <c r="C2914" s="8">
        <v>3055</v>
      </c>
      <c r="D2914" s="16">
        <v>1.126604E-3</v>
      </c>
      <c r="E2914" s="8">
        <v>5.6330200000000001E-4</v>
      </c>
    </row>
    <row r="2915" spans="1:5" x14ac:dyDescent="0.3">
      <c r="A2915" s="8">
        <v>76</v>
      </c>
      <c r="B2915" s="8">
        <v>64</v>
      </c>
      <c r="C2915" s="8">
        <v>3059</v>
      </c>
      <c r="D2915" s="16">
        <v>8.4024830000000005E-3</v>
      </c>
      <c r="E2915" s="8">
        <v>4.2012415000000003E-3</v>
      </c>
    </row>
    <row r="2916" spans="1:5" x14ac:dyDescent="0.3">
      <c r="A2916" s="8">
        <v>76</v>
      </c>
      <c r="B2916" s="8">
        <v>65</v>
      </c>
      <c r="C2916" s="8">
        <v>3050</v>
      </c>
      <c r="D2916" s="16">
        <v>3.2267249999999997E-2</v>
      </c>
      <c r="E2916" s="8">
        <v>1.6133624999999999E-2</v>
      </c>
    </row>
    <row r="2917" spans="1:5" x14ac:dyDescent="0.3">
      <c r="A2917" s="8">
        <v>76</v>
      </c>
      <c r="B2917" s="8">
        <v>66</v>
      </c>
      <c r="C2917" s="8">
        <v>3055</v>
      </c>
      <c r="D2917" s="16">
        <v>-2.1832870000000001E-2</v>
      </c>
      <c r="E2917" s="8">
        <v>-1.0916435E-2</v>
      </c>
    </row>
    <row r="2918" spans="1:5" x14ac:dyDescent="0.3">
      <c r="A2918" s="8">
        <v>76</v>
      </c>
      <c r="B2918" s="8">
        <v>67</v>
      </c>
      <c r="C2918" s="8">
        <v>3042</v>
      </c>
      <c r="D2918" s="16">
        <v>-4.4134239999999998E-2</v>
      </c>
      <c r="E2918" s="8">
        <v>-2.2067119999999999E-2</v>
      </c>
    </row>
    <row r="2919" spans="1:5" x14ac:dyDescent="0.3">
      <c r="A2919" s="8">
        <v>76</v>
      </c>
      <c r="B2919" s="8">
        <v>68</v>
      </c>
      <c r="C2919" s="8">
        <v>3049</v>
      </c>
      <c r="D2919" s="16">
        <v>-1.442415E-2</v>
      </c>
      <c r="E2919" s="8">
        <v>-7.2120750000000001E-3</v>
      </c>
    </row>
    <row r="2920" spans="1:5" x14ac:dyDescent="0.3">
      <c r="A2920" s="8">
        <v>76</v>
      </c>
      <c r="B2920" s="8">
        <v>69</v>
      </c>
      <c r="C2920" s="8">
        <v>3051</v>
      </c>
      <c r="D2920" s="16">
        <v>5.6534089999999999E-3</v>
      </c>
      <c r="E2920" s="8">
        <v>2.8267044999999999E-3</v>
      </c>
    </row>
    <row r="2921" spans="1:5" x14ac:dyDescent="0.3">
      <c r="A2921" s="8">
        <v>76</v>
      </c>
      <c r="B2921" s="8">
        <v>70</v>
      </c>
      <c r="C2921" s="8">
        <v>3057</v>
      </c>
      <c r="D2921" s="16">
        <v>-9.8763779999999999E-3</v>
      </c>
      <c r="E2921" s="8">
        <v>-4.9381889999999999E-3</v>
      </c>
    </row>
    <row r="2922" spans="1:5" x14ac:dyDescent="0.3">
      <c r="A2922" s="8">
        <v>76</v>
      </c>
      <c r="B2922" s="8">
        <v>71</v>
      </c>
      <c r="C2922" s="8">
        <v>3046</v>
      </c>
      <c r="D2922" s="16">
        <v>-3.6377399999999997E-2</v>
      </c>
      <c r="E2922" s="8">
        <v>-1.8188699999999999E-2</v>
      </c>
    </row>
    <row r="2923" spans="1:5" x14ac:dyDescent="0.3">
      <c r="A2923" s="8">
        <v>76</v>
      </c>
      <c r="B2923" s="8">
        <v>72</v>
      </c>
      <c r="C2923" s="8">
        <v>3043</v>
      </c>
      <c r="D2923" s="16">
        <v>2.2190459999999999E-2</v>
      </c>
      <c r="E2923" s="8">
        <v>1.1095229999999999E-2</v>
      </c>
    </row>
    <row r="2924" spans="1:5" x14ac:dyDescent="0.3">
      <c r="A2924" s="8">
        <v>76</v>
      </c>
      <c r="B2924" s="8">
        <v>73</v>
      </c>
      <c r="C2924" s="8">
        <v>3066</v>
      </c>
      <c r="D2924" s="16">
        <v>-1.7908139999999999E-2</v>
      </c>
      <c r="E2924" s="8">
        <v>-8.9540699999999997E-3</v>
      </c>
    </row>
    <row r="2925" spans="1:5" x14ac:dyDescent="0.3">
      <c r="A2925" s="8">
        <v>76</v>
      </c>
      <c r="B2925" s="8">
        <v>74</v>
      </c>
      <c r="C2925" s="8">
        <v>3045</v>
      </c>
      <c r="D2925" s="16">
        <v>-3.1166989999999999E-2</v>
      </c>
      <c r="E2925" s="8">
        <v>-1.5583494999999999E-2</v>
      </c>
    </row>
    <row r="2926" spans="1:5" x14ac:dyDescent="0.3">
      <c r="A2926" s="8">
        <v>76</v>
      </c>
      <c r="B2926" s="8">
        <v>75</v>
      </c>
      <c r="C2926" s="8">
        <v>3054</v>
      </c>
      <c r="D2926" s="16">
        <v>-6.5696160000000003E-3</v>
      </c>
      <c r="E2926" s="8">
        <v>-3.2848080000000002E-3</v>
      </c>
    </row>
    <row r="2927" spans="1:5" x14ac:dyDescent="0.3">
      <c r="A2927" s="8">
        <v>76</v>
      </c>
      <c r="B2927" s="8">
        <v>76</v>
      </c>
      <c r="C2927" s="8">
        <v>3150</v>
      </c>
      <c r="D2927" s="16">
        <v>1.127548</v>
      </c>
      <c r="E2927" s="8"/>
    </row>
    <row r="2928" spans="1:5" x14ac:dyDescent="0.3">
      <c r="A2928" s="8">
        <v>77</v>
      </c>
      <c r="B2928" s="8">
        <v>1</v>
      </c>
      <c r="C2928" s="8">
        <v>3065</v>
      </c>
      <c r="D2928" s="16">
        <v>-1.0158189999999999E-2</v>
      </c>
      <c r="E2928" s="8">
        <v>-5.0790949999999996E-3</v>
      </c>
    </row>
    <row r="2929" spans="1:5" x14ac:dyDescent="0.3">
      <c r="A2929" s="8">
        <v>77</v>
      </c>
      <c r="B2929" s="8">
        <v>2</v>
      </c>
      <c r="C2929" s="8">
        <v>3034</v>
      </c>
      <c r="D2929" s="16">
        <v>-3.7203319999999998E-2</v>
      </c>
      <c r="E2929" s="8">
        <v>-1.8601659999999999E-2</v>
      </c>
    </row>
    <row r="2930" spans="1:5" x14ac:dyDescent="0.3">
      <c r="A2930" s="8">
        <v>77</v>
      </c>
      <c r="B2930" s="8">
        <v>3</v>
      </c>
      <c r="C2930" s="8">
        <v>3056</v>
      </c>
      <c r="D2930" s="16">
        <v>-2.33499E-2</v>
      </c>
      <c r="E2930" s="8">
        <v>-1.167495E-2</v>
      </c>
    </row>
    <row r="2931" spans="1:5" x14ac:dyDescent="0.3">
      <c r="A2931" s="8">
        <v>77</v>
      </c>
      <c r="B2931" s="8">
        <v>4</v>
      </c>
      <c r="C2931" s="8">
        <v>3036</v>
      </c>
      <c r="D2931" s="16">
        <v>-5.4425519999999998E-2</v>
      </c>
      <c r="E2931" s="8">
        <v>-2.7212759999999999E-2</v>
      </c>
    </row>
    <row r="2932" spans="1:5" x14ac:dyDescent="0.3">
      <c r="A2932" s="8">
        <v>77</v>
      </c>
      <c r="B2932" s="8">
        <v>5</v>
      </c>
      <c r="C2932" s="8">
        <v>3026</v>
      </c>
      <c r="D2932" s="16">
        <v>-3.6559229999999998E-2</v>
      </c>
      <c r="E2932" s="8">
        <v>-1.8279614999999999E-2</v>
      </c>
    </row>
    <row r="2933" spans="1:5" x14ac:dyDescent="0.3">
      <c r="A2933" s="8">
        <v>77</v>
      </c>
      <c r="B2933" s="8">
        <v>6</v>
      </c>
      <c r="C2933" s="8">
        <v>3039</v>
      </c>
      <c r="D2933" s="16">
        <v>-2.674694E-3</v>
      </c>
      <c r="E2933" s="8">
        <v>-1.337347E-3</v>
      </c>
    </row>
    <row r="2934" spans="1:5" x14ac:dyDescent="0.3">
      <c r="A2934" s="8">
        <v>77</v>
      </c>
      <c r="B2934" s="8">
        <v>7</v>
      </c>
      <c r="C2934" s="8">
        <v>3036</v>
      </c>
      <c r="D2934" s="16">
        <v>5.0812909999999999E-3</v>
      </c>
      <c r="E2934" s="8">
        <v>2.5406455E-3</v>
      </c>
    </row>
    <row r="2935" spans="1:5" x14ac:dyDescent="0.3">
      <c r="A2935" s="8">
        <v>77</v>
      </c>
      <c r="B2935" s="8">
        <v>8</v>
      </c>
      <c r="C2935" s="8">
        <v>3054</v>
      </c>
      <c r="D2935" s="16">
        <v>-5.7018049999999999E-3</v>
      </c>
      <c r="E2935" s="8">
        <v>-2.8509024999999999E-3</v>
      </c>
    </row>
    <row r="2936" spans="1:5" x14ac:dyDescent="0.3">
      <c r="A2936" s="8">
        <v>77</v>
      </c>
      <c r="B2936" s="8">
        <v>9</v>
      </c>
      <c r="C2936" s="8">
        <v>3041</v>
      </c>
      <c r="D2936" s="16">
        <v>1.261204E-2</v>
      </c>
      <c r="E2936" s="8">
        <v>6.3060199999999999E-3</v>
      </c>
    </row>
    <row r="2937" spans="1:5" x14ac:dyDescent="0.3">
      <c r="A2937" s="8">
        <v>77</v>
      </c>
      <c r="B2937" s="8">
        <v>10</v>
      </c>
      <c r="C2937" s="8">
        <v>3037</v>
      </c>
      <c r="D2937" s="16">
        <v>-1.7040119999999999E-2</v>
      </c>
      <c r="E2937" s="8">
        <v>-8.5200599999999994E-3</v>
      </c>
    </row>
    <row r="2938" spans="1:5" x14ac:dyDescent="0.3">
      <c r="A2938" s="8">
        <v>77</v>
      </c>
      <c r="B2938" s="8">
        <v>11</v>
      </c>
      <c r="C2938" s="8">
        <v>3035</v>
      </c>
      <c r="D2938" s="16">
        <v>3.4557299999999999E-2</v>
      </c>
      <c r="E2938" s="8">
        <v>1.727865E-2</v>
      </c>
    </row>
    <row r="2939" spans="1:5" x14ac:dyDescent="0.3">
      <c r="A2939" s="8">
        <v>77</v>
      </c>
      <c r="B2939" s="8">
        <v>12</v>
      </c>
      <c r="C2939" s="8">
        <v>3056</v>
      </c>
      <c r="D2939" s="16">
        <v>-3.895482E-3</v>
      </c>
      <c r="E2939" s="8">
        <v>-1.947741E-3</v>
      </c>
    </row>
    <row r="2940" spans="1:5" x14ac:dyDescent="0.3">
      <c r="A2940" s="8">
        <v>77</v>
      </c>
      <c r="B2940" s="8">
        <v>13</v>
      </c>
      <c r="C2940" s="8">
        <v>3035</v>
      </c>
      <c r="D2940" s="16">
        <v>1.083491E-2</v>
      </c>
      <c r="E2940" s="8">
        <v>5.4174549999999998E-3</v>
      </c>
    </row>
    <row r="2941" spans="1:5" x14ac:dyDescent="0.3">
      <c r="A2941" s="8">
        <v>77</v>
      </c>
      <c r="B2941" s="8">
        <v>14</v>
      </c>
      <c r="C2941" s="8">
        <v>3037</v>
      </c>
      <c r="D2941" s="16">
        <v>-2.9633699999999999E-3</v>
      </c>
      <c r="E2941" s="8">
        <v>-1.4816849999999999E-3</v>
      </c>
    </row>
    <row r="2942" spans="1:5" x14ac:dyDescent="0.3">
      <c r="A2942" s="8">
        <v>77</v>
      </c>
      <c r="B2942" s="8">
        <v>15</v>
      </c>
      <c r="C2942" s="8">
        <v>3043</v>
      </c>
      <c r="D2942" s="16">
        <v>-1.9318269999999998E-2</v>
      </c>
      <c r="E2942" s="8">
        <v>-9.6591349999999992E-3</v>
      </c>
    </row>
    <row r="2943" spans="1:5" x14ac:dyDescent="0.3">
      <c r="A2943" s="8">
        <v>77</v>
      </c>
      <c r="B2943" s="8">
        <v>16</v>
      </c>
      <c r="C2943" s="8">
        <v>3045</v>
      </c>
      <c r="D2943" s="16">
        <v>6.4257109999999997E-3</v>
      </c>
      <c r="E2943" s="8">
        <v>3.2128554999999999E-3</v>
      </c>
    </row>
    <row r="2944" spans="1:5" x14ac:dyDescent="0.3">
      <c r="A2944" s="8">
        <v>77</v>
      </c>
      <c r="B2944" s="8">
        <v>17</v>
      </c>
      <c r="C2944" s="8">
        <v>3045</v>
      </c>
      <c r="D2944" s="16">
        <v>-9.1039789999999999E-3</v>
      </c>
      <c r="E2944" s="8">
        <v>-4.5519894999999999E-3</v>
      </c>
    </row>
    <row r="2945" spans="1:5" x14ac:dyDescent="0.3">
      <c r="A2945" s="8">
        <v>77</v>
      </c>
      <c r="B2945" s="8">
        <v>18</v>
      </c>
      <c r="C2945" s="8">
        <v>3060</v>
      </c>
      <c r="D2945" s="16">
        <v>-4.8721649999999998E-2</v>
      </c>
      <c r="E2945" s="8">
        <v>-2.4360824999999999E-2</v>
      </c>
    </row>
    <row r="2946" spans="1:5" x14ac:dyDescent="0.3">
      <c r="A2946" s="8">
        <v>77</v>
      </c>
      <c r="B2946" s="8">
        <v>19</v>
      </c>
      <c r="C2946" s="8">
        <v>3047</v>
      </c>
      <c r="D2946" s="16">
        <v>-1.67466E-2</v>
      </c>
      <c r="E2946" s="8">
        <v>-8.3733000000000002E-3</v>
      </c>
    </row>
    <row r="2947" spans="1:5" x14ac:dyDescent="0.3">
      <c r="A2947" s="8">
        <v>77</v>
      </c>
      <c r="B2947" s="8">
        <v>20</v>
      </c>
      <c r="C2947" s="8">
        <v>3055</v>
      </c>
      <c r="D2947" s="16">
        <v>-1.9472610000000001E-2</v>
      </c>
      <c r="E2947" s="8">
        <v>-9.7363050000000007E-3</v>
      </c>
    </row>
    <row r="2948" spans="1:5" x14ac:dyDescent="0.3">
      <c r="A2948" s="8">
        <v>77</v>
      </c>
      <c r="B2948" s="8">
        <v>21</v>
      </c>
      <c r="C2948" s="8">
        <v>3049</v>
      </c>
      <c r="D2948" s="16">
        <v>-9.5746070000000006E-3</v>
      </c>
      <c r="E2948" s="8">
        <v>-4.7873035000000003E-3</v>
      </c>
    </row>
    <row r="2949" spans="1:5" x14ac:dyDescent="0.3">
      <c r="A2949" s="8">
        <v>77</v>
      </c>
      <c r="B2949" s="8">
        <v>22</v>
      </c>
      <c r="C2949" s="8">
        <v>3035</v>
      </c>
      <c r="D2949" s="16">
        <v>-3.7344769999999999E-3</v>
      </c>
      <c r="E2949" s="8">
        <v>-1.8672385E-3</v>
      </c>
    </row>
    <row r="2950" spans="1:5" x14ac:dyDescent="0.3">
      <c r="A2950" s="8">
        <v>77</v>
      </c>
      <c r="B2950" s="8">
        <v>23</v>
      </c>
      <c r="C2950" s="8">
        <v>3039</v>
      </c>
      <c r="D2950" s="16">
        <v>-5.6405669999999998E-2</v>
      </c>
      <c r="E2950" s="8">
        <v>-2.8202834999999999E-2</v>
      </c>
    </row>
    <row r="2951" spans="1:5" x14ac:dyDescent="0.3">
      <c r="A2951" s="8">
        <v>77</v>
      </c>
      <c r="B2951" s="8">
        <v>24</v>
      </c>
      <c r="C2951" s="8">
        <v>3062</v>
      </c>
      <c r="D2951" s="16">
        <v>-7.1603309999999998E-3</v>
      </c>
      <c r="E2951" s="8">
        <v>-3.5801654999999999E-3</v>
      </c>
    </row>
    <row r="2952" spans="1:5" x14ac:dyDescent="0.3">
      <c r="A2952" s="8">
        <v>77</v>
      </c>
      <c r="B2952" s="8">
        <v>25</v>
      </c>
      <c r="C2952" s="8">
        <v>3043</v>
      </c>
      <c r="D2952" s="16">
        <v>-4.4967180000000002E-3</v>
      </c>
      <c r="E2952" s="8">
        <v>-2.2483590000000001E-3</v>
      </c>
    </row>
    <row r="2953" spans="1:5" x14ac:dyDescent="0.3">
      <c r="A2953" s="8">
        <v>77</v>
      </c>
      <c r="B2953" s="8">
        <v>26</v>
      </c>
      <c r="C2953" s="8">
        <v>3054</v>
      </c>
      <c r="D2953" s="16">
        <v>-1.8418940000000002E-2</v>
      </c>
      <c r="E2953" s="8">
        <v>-9.2094700000000008E-3</v>
      </c>
    </row>
    <row r="2954" spans="1:5" x14ac:dyDescent="0.3">
      <c r="A2954" s="8">
        <v>77</v>
      </c>
      <c r="B2954" s="8">
        <v>27</v>
      </c>
      <c r="C2954" s="8">
        <v>3069</v>
      </c>
      <c r="D2954" s="16">
        <v>1.6302959999999998E-2</v>
      </c>
      <c r="E2954" s="8">
        <v>8.1514799999999991E-3</v>
      </c>
    </row>
    <row r="2955" spans="1:5" x14ac:dyDescent="0.3">
      <c r="A2955" s="8">
        <v>77</v>
      </c>
      <c r="B2955" s="8">
        <v>28</v>
      </c>
      <c r="C2955" s="8">
        <v>3037</v>
      </c>
      <c r="D2955" s="16">
        <v>3.9343599999999996E-3</v>
      </c>
      <c r="E2955" s="8">
        <v>1.9671799999999998E-3</v>
      </c>
    </row>
    <row r="2956" spans="1:5" x14ac:dyDescent="0.3">
      <c r="A2956" s="8">
        <v>77</v>
      </c>
      <c r="B2956" s="8">
        <v>29</v>
      </c>
      <c r="C2956" s="8">
        <v>3037</v>
      </c>
      <c r="D2956" s="16">
        <v>-5.0426279999999997E-2</v>
      </c>
      <c r="E2956" s="8">
        <v>-2.5213139999999998E-2</v>
      </c>
    </row>
    <row r="2957" spans="1:5" x14ac:dyDescent="0.3">
      <c r="A2957" s="8">
        <v>77</v>
      </c>
      <c r="B2957" s="8">
        <v>30</v>
      </c>
      <c r="C2957" s="8">
        <v>3049</v>
      </c>
      <c r="D2957" s="16">
        <v>5.8274219999999996E-3</v>
      </c>
      <c r="E2957" s="8">
        <v>2.9137109999999998E-3</v>
      </c>
    </row>
    <row r="2958" spans="1:5" x14ac:dyDescent="0.3">
      <c r="A2958" s="8">
        <v>77</v>
      </c>
      <c r="B2958" s="8">
        <v>31</v>
      </c>
      <c r="C2958" s="8">
        <v>2966</v>
      </c>
      <c r="D2958" s="16">
        <v>1.0757900000000001E-2</v>
      </c>
      <c r="E2958" s="8">
        <v>5.3789500000000004E-3</v>
      </c>
    </row>
    <row r="2959" spans="1:5" x14ac:dyDescent="0.3">
      <c r="A2959" s="8">
        <v>77</v>
      </c>
      <c r="B2959" s="8">
        <v>32</v>
      </c>
      <c r="C2959" s="8">
        <v>3031</v>
      </c>
      <c r="D2959" s="16">
        <v>-5.7817239999999999E-2</v>
      </c>
      <c r="E2959" s="8">
        <v>-2.8908619999999999E-2</v>
      </c>
    </row>
    <row r="2960" spans="1:5" x14ac:dyDescent="0.3">
      <c r="A2960" s="8">
        <v>77</v>
      </c>
      <c r="B2960" s="8">
        <v>33</v>
      </c>
      <c r="C2960" s="8">
        <v>3061</v>
      </c>
      <c r="D2960" s="16">
        <v>2.051623E-2</v>
      </c>
      <c r="E2960" s="8">
        <v>1.0258115E-2</v>
      </c>
    </row>
    <row r="2961" spans="1:5" x14ac:dyDescent="0.3">
      <c r="A2961" s="8">
        <v>77</v>
      </c>
      <c r="B2961" s="8">
        <v>34</v>
      </c>
      <c r="C2961" s="8">
        <v>3050</v>
      </c>
      <c r="D2961" s="16">
        <v>-7.7629939999999996E-3</v>
      </c>
      <c r="E2961" s="8">
        <v>-3.8814969999999998E-3</v>
      </c>
    </row>
    <row r="2962" spans="1:5" x14ac:dyDescent="0.3">
      <c r="A2962" s="8">
        <v>77</v>
      </c>
      <c r="B2962" s="8">
        <v>35</v>
      </c>
      <c r="C2962" s="8">
        <v>3045</v>
      </c>
      <c r="D2962" s="16">
        <v>-5.3256060000000001E-2</v>
      </c>
      <c r="E2962" s="8">
        <v>-2.662803E-2</v>
      </c>
    </row>
    <row r="2963" spans="1:5" x14ac:dyDescent="0.3">
      <c r="A2963" s="8">
        <v>77</v>
      </c>
      <c r="B2963" s="8">
        <v>36</v>
      </c>
      <c r="C2963" s="8">
        <v>3052</v>
      </c>
      <c r="D2963" s="16">
        <v>-3.401977E-3</v>
      </c>
      <c r="E2963" s="8">
        <v>-1.7009885E-3</v>
      </c>
    </row>
    <row r="2964" spans="1:5" x14ac:dyDescent="0.3">
      <c r="A2964" s="8">
        <v>77</v>
      </c>
      <c r="B2964" s="8">
        <v>37</v>
      </c>
      <c r="C2964" s="8">
        <v>3019</v>
      </c>
      <c r="D2964" s="16">
        <v>-3.6244970000000001E-2</v>
      </c>
      <c r="E2964" s="8">
        <v>-1.8122485000000001E-2</v>
      </c>
    </row>
    <row r="2965" spans="1:5" x14ac:dyDescent="0.3">
      <c r="A2965" s="8">
        <v>77</v>
      </c>
      <c r="B2965" s="8">
        <v>38</v>
      </c>
      <c r="C2965" s="8">
        <v>3066</v>
      </c>
      <c r="D2965" s="16">
        <v>-8.8935000000000004E-3</v>
      </c>
      <c r="E2965" s="8">
        <v>-4.4467500000000002E-3</v>
      </c>
    </row>
    <row r="2966" spans="1:5" x14ac:dyDescent="0.3">
      <c r="A2966" s="8">
        <v>77</v>
      </c>
      <c r="B2966" s="8">
        <v>39</v>
      </c>
      <c r="C2966" s="8">
        <v>3056</v>
      </c>
      <c r="D2966" s="16">
        <v>-1.358118E-2</v>
      </c>
      <c r="E2966" s="8">
        <v>-6.79059E-3</v>
      </c>
    </row>
    <row r="2967" spans="1:5" x14ac:dyDescent="0.3">
      <c r="A2967" s="8">
        <v>77</v>
      </c>
      <c r="B2967" s="8">
        <v>40</v>
      </c>
      <c r="C2967" s="8">
        <v>3049</v>
      </c>
      <c r="D2967" s="16">
        <v>-3.6570529999999997E-2</v>
      </c>
      <c r="E2967" s="8">
        <v>-1.8285264999999998E-2</v>
      </c>
    </row>
    <row r="2968" spans="1:5" x14ac:dyDescent="0.3">
      <c r="A2968" s="8">
        <v>77</v>
      </c>
      <c r="B2968" s="8">
        <v>41</v>
      </c>
      <c r="C2968" s="8">
        <v>3022</v>
      </c>
      <c r="D2968" s="16">
        <v>1.730835E-2</v>
      </c>
      <c r="E2968" s="8">
        <v>8.6541750000000001E-3</v>
      </c>
    </row>
    <row r="2969" spans="1:5" x14ac:dyDescent="0.3">
      <c r="A2969" s="8">
        <v>77</v>
      </c>
      <c r="B2969" s="8">
        <v>42</v>
      </c>
      <c r="C2969" s="8">
        <v>3015</v>
      </c>
      <c r="D2969" s="16">
        <v>-2.5052930000000001E-2</v>
      </c>
      <c r="E2969" s="8">
        <v>-1.2526465000000001E-2</v>
      </c>
    </row>
    <row r="2970" spans="1:5" x14ac:dyDescent="0.3">
      <c r="A2970" s="8">
        <v>77</v>
      </c>
      <c r="B2970" s="8">
        <v>43</v>
      </c>
      <c r="C2970" s="8">
        <v>3033</v>
      </c>
      <c r="D2970" s="16">
        <v>2.9025579999999999E-2</v>
      </c>
      <c r="E2970" s="8">
        <v>1.4512789999999999E-2</v>
      </c>
    </row>
    <row r="2971" spans="1:5" x14ac:dyDescent="0.3">
      <c r="A2971" s="8">
        <v>77</v>
      </c>
      <c r="B2971" s="8">
        <v>44</v>
      </c>
      <c r="C2971" s="8">
        <v>3017</v>
      </c>
      <c r="D2971" s="16">
        <v>-3.1443949999999998E-2</v>
      </c>
      <c r="E2971" s="8">
        <v>-1.5721974999999999E-2</v>
      </c>
    </row>
    <row r="2972" spans="1:5" x14ac:dyDescent="0.3">
      <c r="A2972" s="8">
        <v>77</v>
      </c>
      <c r="B2972" s="8">
        <v>45</v>
      </c>
      <c r="C2972" s="8">
        <v>3048</v>
      </c>
      <c r="D2972" s="16">
        <v>-7.32937E-3</v>
      </c>
      <c r="E2972" s="8">
        <v>-3.664685E-3</v>
      </c>
    </row>
    <row r="2973" spans="1:5" x14ac:dyDescent="0.3">
      <c r="A2973" s="8">
        <v>77</v>
      </c>
      <c r="B2973" s="8">
        <v>46</v>
      </c>
      <c r="C2973" s="8">
        <v>3040</v>
      </c>
      <c r="D2973" s="16">
        <v>-4.570307E-3</v>
      </c>
      <c r="E2973" s="8">
        <v>-2.2851535E-3</v>
      </c>
    </row>
    <row r="2974" spans="1:5" x14ac:dyDescent="0.3">
      <c r="A2974" s="8">
        <v>77</v>
      </c>
      <c r="B2974" s="8">
        <v>47</v>
      </c>
      <c r="C2974" s="8">
        <v>3024</v>
      </c>
      <c r="D2974" s="16">
        <v>4.9056780000000001E-3</v>
      </c>
      <c r="E2974" s="8">
        <v>2.4528390000000001E-3</v>
      </c>
    </row>
    <row r="2975" spans="1:5" x14ac:dyDescent="0.3">
      <c r="A2975" s="8">
        <v>77</v>
      </c>
      <c r="B2975" s="8">
        <v>48</v>
      </c>
      <c r="C2975" s="8">
        <v>3042</v>
      </c>
      <c r="D2975" s="16">
        <v>-8.1641530000000004E-2</v>
      </c>
      <c r="E2975" s="8">
        <v>-4.0820765000000002E-2</v>
      </c>
    </row>
    <row r="2976" spans="1:5" x14ac:dyDescent="0.3">
      <c r="A2976" s="8">
        <v>77</v>
      </c>
      <c r="B2976" s="8">
        <v>49</v>
      </c>
      <c r="C2976" s="8">
        <v>3018</v>
      </c>
      <c r="D2976" s="16">
        <v>-1.5839240000000001E-2</v>
      </c>
      <c r="E2976" s="8">
        <v>-7.9196200000000005E-3</v>
      </c>
    </row>
    <row r="2977" spans="1:5" x14ac:dyDescent="0.3">
      <c r="A2977" s="8">
        <v>77</v>
      </c>
      <c r="B2977" s="8">
        <v>50</v>
      </c>
      <c r="C2977" s="8">
        <v>3057</v>
      </c>
      <c r="D2977" s="16">
        <v>-6.3592880000000003E-3</v>
      </c>
      <c r="E2977" s="8">
        <v>-3.1796440000000001E-3</v>
      </c>
    </row>
    <row r="2978" spans="1:5" x14ac:dyDescent="0.3">
      <c r="A2978" s="8">
        <v>77</v>
      </c>
      <c r="B2978" s="8">
        <v>51</v>
      </c>
      <c r="C2978" s="8">
        <v>3039</v>
      </c>
      <c r="D2978" s="16">
        <v>-3.2422659999999999E-2</v>
      </c>
      <c r="E2978" s="8">
        <v>-1.6211329999999999E-2</v>
      </c>
    </row>
    <row r="2979" spans="1:5" x14ac:dyDescent="0.3">
      <c r="A2979" s="8">
        <v>77</v>
      </c>
      <c r="B2979" s="8">
        <v>52</v>
      </c>
      <c r="C2979" s="8">
        <v>3041</v>
      </c>
      <c r="D2979" s="16">
        <v>-6.9638180000000001E-3</v>
      </c>
      <c r="E2979" s="8">
        <v>-3.481909E-3</v>
      </c>
    </row>
    <row r="2980" spans="1:5" x14ac:dyDescent="0.3">
      <c r="A2980" s="8">
        <v>77</v>
      </c>
      <c r="B2980" s="8">
        <v>53</v>
      </c>
      <c r="C2980" s="8">
        <v>3042</v>
      </c>
      <c r="D2980" s="16">
        <v>7.2847989999999998E-3</v>
      </c>
      <c r="E2980" s="8">
        <v>3.6423994999999999E-3</v>
      </c>
    </row>
    <row r="2981" spans="1:5" x14ac:dyDescent="0.3">
      <c r="A2981" s="8">
        <v>77</v>
      </c>
      <c r="B2981" s="8">
        <v>54</v>
      </c>
      <c r="C2981" s="8">
        <v>3027</v>
      </c>
      <c r="D2981" s="16">
        <v>-3.3120950000000003E-2</v>
      </c>
      <c r="E2981" s="8">
        <v>-1.6560475000000002E-2</v>
      </c>
    </row>
    <row r="2982" spans="1:5" x14ac:dyDescent="0.3">
      <c r="A2982" s="8">
        <v>77</v>
      </c>
      <c r="B2982" s="8">
        <v>55</v>
      </c>
      <c r="C2982" s="8">
        <v>3057</v>
      </c>
      <c r="D2982" s="16">
        <v>1.3872580000000001E-2</v>
      </c>
      <c r="E2982" s="8">
        <v>6.9362900000000003E-3</v>
      </c>
    </row>
    <row r="2983" spans="1:5" x14ac:dyDescent="0.3">
      <c r="A2983" s="8">
        <v>77</v>
      </c>
      <c r="B2983" s="8">
        <v>56</v>
      </c>
      <c r="C2983" s="8">
        <v>3058</v>
      </c>
      <c r="D2983" s="16">
        <v>8.7226179999999997E-3</v>
      </c>
      <c r="E2983" s="8">
        <v>4.3613089999999998E-3</v>
      </c>
    </row>
    <row r="2984" spans="1:5" x14ac:dyDescent="0.3">
      <c r="A2984" s="8">
        <v>77</v>
      </c>
      <c r="B2984" s="8">
        <v>57</v>
      </c>
      <c r="C2984" s="8">
        <v>3064</v>
      </c>
      <c r="D2984" s="16">
        <v>4.0617250000000001E-4</v>
      </c>
      <c r="E2984" s="8">
        <v>2.0308625E-4</v>
      </c>
    </row>
    <row r="2985" spans="1:5" x14ac:dyDescent="0.3">
      <c r="A2985" s="8">
        <v>77</v>
      </c>
      <c r="B2985" s="8">
        <v>58</v>
      </c>
      <c r="C2985" s="8">
        <v>3050</v>
      </c>
      <c r="D2985" s="16">
        <v>-1.5593650000000001E-2</v>
      </c>
      <c r="E2985" s="8">
        <v>-7.7968250000000003E-3</v>
      </c>
    </row>
    <row r="2986" spans="1:5" x14ac:dyDescent="0.3">
      <c r="A2986" s="8">
        <v>77</v>
      </c>
      <c r="B2986" s="8">
        <v>59</v>
      </c>
      <c r="C2986" s="8">
        <v>3057</v>
      </c>
      <c r="D2986" s="16">
        <v>-6.3044009999999998E-2</v>
      </c>
      <c r="E2986" s="8">
        <v>-3.1522004999999999E-2</v>
      </c>
    </row>
    <row r="2987" spans="1:5" x14ac:dyDescent="0.3">
      <c r="A2987" s="8">
        <v>77</v>
      </c>
      <c r="B2987" s="8">
        <v>60</v>
      </c>
      <c r="C2987" s="8">
        <v>3044</v>
      </c>
      <c r="D2987" s="16">
        <v>2.1730349999999999E-2</v>
      </c>
      <c r="E2987" s="8">
        <v>1.0865174999999999E-2</v>
      </c>
    </row>
    <row r="2988" spans="1:5" x14ac:dyDescent="0.3">
      <c r="A2988" s="8">
        <v>77</v>
      </c>
      <c r="B2988" s="8">
        <v>61</v>
      </c>
      <c r="C2988" s="8">
        <v>3046</v>
      </c>
      <c r="D2988" s="16">
        <v>2.7476939999999998E-2</v>
      </c>
      <c r="E2988" s="8">
        <v>1.3738469999999999E-2</v>
      </c>
    </row>
    <row r="2989" spans="1:5" x14ac:dyDescent="0.3">
      <c r="A2989" s="8">
        <v>77</v>
      </c>
      <c r="B2989" s="8">
        <v>62</v>
      </c>
      <c r="C2989" s="8">
        <v>3049</v>
      </c>
      <c r="D2989" s="16">
        <v>-9.00572E-3</v>
      </c>
      <c r="E2989" s="8">
        <v>-4.50286E-3</v>
      </c>
    </row>
    <row r="2990" spans="1:5" x14ac:dyDescent="0.3">
      <c r="A2990" s="8">
        <v>77</v>
      </c>
      <c r="B2990" s="8">
        <v>63</v>
      </c>
      <c r="C2990" s="8">
        <v>3050</v>
      </c>
      <c r="D2990" s="16">
        <v>6.6634670000000002E-3</v>
      </c>
      <c r="E2990" s="8">
        <v>3.3317335000000001E-3</v>
      </c>
    </row>
    <row r="2991" spans="1:5" x14ac:dyDescent="0.3">
      <c r="A2991" s="8">
        <v>77</v>
      </c>
      <c r="B2991" s="8">
        <v>64</v>
      </c>
      <c r="C2991" s="8">
        <v>3048</v>
      </c>
      <c r="D2991" s="16">
        <v>-3.3244490000000002E-2</v>
      </c>
      <c r="E2991" s="8">
        <v>-1.6622245000000001E-2</v>
      </c>
    </row>
    <row r="2992" spans="1:5" x14ac:dyDescent="0.3">
      <c r="A2992" s="8">
        <v>77</v>
      </c>
      <c r="B2992" s="8">
        <v>65</v>
      </c>
      <c r="C2992" s="8">
        <v>3049</v>
      </c>
      <c r="D2992" s="16">
        <v>-7.6245430000000001E-3</v>
      </c>
      <c r="E2992" s="8">
        <v>-3.8122715000000001E-3</v>
      </c>
    </row>
    <row r="2993" spans="1:5" x14ac:dyDescent="0.3">
      <c r="A2993" s="8">
        <v>77</v>
      </c>
      <c r="B2993" s="8">
        <v>66</v>
      </c>
      <c r="C2993" s="8">
        <v>3050</v>
      </c>
      <c r="D2993" s="16">
        <v>-1.8294370000000001E-2</v>
      </c>
      <c r="E2993" s="8">
        <v>-9.1471850000000004E-3</v>
      </c>
    </row>
    <row r="2994" spans="1:5" x14ac:dyDescent="0.3">
      <c r="A2994" s="8">
        <v>77</v>
      </c>
      <c r="B2994" s="8">
        <v>67</v>
      </c>
      <c r="C2994" s="8">
        <v>3042</v>
      </c>
      <c r="D2994" s="16">
        <v>-5.6771000000000002E-2</v>
      </c>
      <c r="E2994" s="8">
        <v>-2.8385500000000001E-2</v>
      </c>
    </row>
    <row r="2995" spans="1:5" x14ac:dyDescent="0.3">
      <c r="A2995" s="8">
        <v>77</v>
      </c>
      <c r="B2995" s="8">
        <v>68</v>
      </c>
      <c r="C2995" s="8">
        <v>3041</v>
      </c>
      <c r="D2995" s="16">
        <v>-2.9105559999999999E-2</v>
      </c>
      <c r="E2995" s="8">
        <v>-1.455278E-2</v>
      </c>
    </row>
    <row r="2996" spans="1:5" x14ac:dyDescent="0.3">
      <c r="A2996" s="8">
        <v>77</v>
      </c>
      <c r="B2996" s="8">
        <v>69</v>
      </c>
      <c r="C2996" s="8">
        <v>3044</v>
      </c>
      <c r="D2996" s="16">
        <v>-5.6704119999999997E-2</v>
      </c>
      <c r="E2996" s="8">
        <v>-2.8352059999999998E-2</v>
      </c>
    </row>
    <row r="2997" spans="1:5" x14ac:dyDescent="0.3">
      <c r="A2997" s="8">
        <v>77</v>
      </c>
      <c r="B2997" s="8">
        <v>70</v>
      </c>
      <c r="C2997" s="8">
        <v>3052</v>
      </c>
      <c r="D2997" s="16">
        <v>2.9954270000000002E-2</v>
      </c>
      <c r="E2997" s="8">
        <v>1.4977135000000001E-2</v>
      </c>
    </row>
    <row r="2998" spans="1:5" x14ac:dyDescent="0.3">
      <c r="A2998" s="8">
        <v>77</v>
      </c>
      <c r="B2998" s="8">
        <v>71</v>
      </c>
      <c r="C2998" s="8">
        <v>3038</v>
      </c>
      <c r="D2998" s="16">
        <v>-6.6056989999999996E-3</v>
      </c>
      <c r="E2998" s="8">
        <v>-3.3028494999999998E-3</v>
      </c>
    </row>
    <row r="2999" spans="1:5" x14ac:dyDescent="0.3">
      <c r="A2999" s="8">
        <v>77</v>
      </c>
      <c r="B2999" s="8">
        <v>72</v>
      </c>
      <c r="C2999" s="8">
        <v>3036</v>
      </c>
      <c r="D2999" s="16">
        <v>-5.4194989999999998E-2</v>
      </c>
      <c r="E2999" s="8">
        <v>-2.7097494999999999E-2</v>
      </c>
    </row>
    <row r="3000" spans="1:5" x14ac:dyDescent="0.3">
      <c r="A3000" s="8">
        <v>77</v>
      </c>
      <c r="B3000" s="8">
        <v>73</v>
      </c>
      <c r="C3000" s="8">
        <v>3058</v>
      </c>
      <c r="D3000" s="16">
        <v>-3.159621E-2</v>
      </c>
      <c r="E3000" s="8">
        <v>-1.5798105E-2</v>
      </c>
    </row>
    <row r="3001" spans="1:5" x14ac:dyDescent="0.3">
      <c r="A3001" s="8">
        <v>77</v>
      </c>
      <c r="B3001" s="8">
        <v>74</v>
      </c>
      <c r="C3001" s="8">
        <v>3036</v>
      </c>
      <c r="D3001" s="16">
        <v>2.4520119999999999E-2</v>
      </c>
      <c r="E3001" s="8">
        <v>1.226006E-2</v>
      </c>
    </row>
    <row r="3002" spans="1:5" x14ac:dyDescent="0.3">
      <c r="A3002" s="8">
        <v>77</v>
      </c>
      <c r="B3002" s="8">
        <v>75</v>
      </c>
      <c r="C3002" s="8">
        <v>3048</v>
      </c>
      <c r="D3002" s="16">
        <v>-3.5545640000000003E-2</v>
      </c>
      <c r="E3002" s="8">
        <v>-1.7772820000000002E-2</v>
      </c>
    </row>
    <row r="3003" spans="1:5" x14ac:dyDescent="0.3">
      <c r="A3003" s="8">
        <v>77</v>
      </c>
      <c r="B3003" s="8">
        <v>76</v>
      </c>
      <c r="C3003" s="8">
        <v>3045</v>
      </c>
      <c r="D3003" s="16">
        <v>6.0965029999999999E-4</v>
      </c>
      <c r="E3003" s="8">
        <v>3.0482514999999999E-4</v>
      </c>
    </row>
    <row r="3004" spans="1:5" x14ac:dyDescent="0.3">
      <c r="A3004" s="8">
        <v>77</v>
      </c>
      <c r="B3004" s="8">
        <v>77</v>
      </c>
      <c r="C3004" s="8">
        <v>3145</v>
      </c>
      <c r="D3004" s="16">
        <v>1.1029340000000001</v>
      </c>
      <c r="E3004" s="8"/>
    </row>
    <row r="3005" spans="1:5" x14ac:dyDescent="0.3">
      <c r="A3005" s="8">
        <v>78</v>
      </c>
      <c r="B3005" s="8">
        <v>1</v>
      </c>
      <c r="C3005" s="8">
        <v>3074</v>
      </c>
      <c r="D3005" s="16">
        <v>8.9634390000000001E-3</v>
      </c>
      <c r="E3005" s="8">
        <v>4.4817195000000001E-3</v>
      </c>
    </row>
    <row r="3006" spans="1:5" x14ac:dyDescent="0.3">
      <c r="A3006" s="8">
        <v>78</v>
      </c>
      <c r="B3006" s="8">
        <v>2</v>
      </c>
      <c r="C3006" s="8">
        <v>3039</v>
      </c>
      <c r="D3006" s="16">
        <v>3.7407459999999997E-2</v>
      </c>
      <c r="E3006" s="8">
        <v>1.8703729999999998E-2</v>
      </c>
    </row>
    <row r="3007" spans="1:5" x14ac:dyDescent="0.3">
      <c r="A3007" s="8">
        <v>78</v>
      </c>
      <c r="B3007" s="8">
        <v>3</v>
      </c>
      <c r="C3007" s="8">
        <v>3068</v>
      </c>
      <c r="D3007" s="16">
        <v>-5.3658129999999998E-2</v>
      </c>
      <c r="E3007" s="8">
        <v>-2.6829064999999999E-2</v>
      </c>
    </row>
    <row r="3008" spans="1:5" x14ac:dyDescent="0.3">
      <c r="A3008" s="8">
        <v>78</v>
      </c>
      <c r="B3008" s="8">
        <v>4</v>
      </c>
      <c r="C3008" s="8">
        <v>3042</v>
      </c>
      <c r="D3008" s="16">
        <v>4.1775969999999999E-3</v>
      </c>
      <c r="E3008" s="8">
        <v>2.0887985E-3</v>
      </c>
    </row>
    <row r="3009" spans="1:5" x14ac:dyDescent="0.3">
      <c r="A3009" s="8">
        <v>78</v>
      </c>
      <c r="B3009" s="8">
        <v>5</v>
      </c>
      <c r="C3009" s="8">
        <v>3034</v>
      </c>
      <c r="D3009" s="16">
        <v>-1.233692E-3</v>
      </c>
      <c r="E3009" s="8">
        <v>-6.16846E-4</v>
      </c>
    </row>
    <row r="3010" spans="1:5" x14ac:dyDescent="0.3">
      <c r="A3010" s="8">
        <v>78</v>
      </c>
      <c r="B3010" s="8">
        <v>6</v>
      </c>
      <c r="C3010" s="8">
        <v>3050</v>
      </c>
      <c r="D3010" s="16">
        <v>-2.6809599999999999E-2</v>
      </c>
      <c r="E3010" s="8">
        <v>-1.34048E-2</v>
      </c>
    </row>
    <row r="3011" spans="1:5" x14ac:dyDescent="0.3">
      <c r="A3011" s="8">
        <v>78</v>
      </c>
      <c r="B3011" s="8">
        <v>7</v>
      </c>
      <c r="C3011" s="8">
        <v>3046</v>
      </c>
      <c r="D3011" s="16">
        <v>-9.5832759999999999E-3</v>
      </c>
      <c r="E3011" s="8">
        <v>-4.791638E-3</v>
      </c>
    </row>
    <row r="3012" spans="1:5" x14ac:dyDescent="0.3">
      <c r="A3012" s="8">
        <v>78</v>
      </c>
      <c r="B3012" s="8">
        <v>8</v>
      </c>
      <c r="C3012" s="8">
        <v>3060</v>
      </c>
      <c r="D3012" s="16">
        <v>6.5335840000000006E-2</v>
      </c>
      <c r="E3012" s="8">
        <v>3.2667920000000003E-2</v>
      </c>
    </row>
    <row r="3013" spans="1:5" x14ac:dyDescent="0.3">
      <c r="A3013" s="8">
        <v>78</v>
      </c>
      <c r="B3013" s="8">
        <v>9</v>
      </c>
      <c r="C3013" s="8">
        <v>3051</v>
      </c>
      <c r="D3013" s="16">
        <v>-5.1028190000000001E-2</v>
      </c>
      <c r="E3013" s="8">
        <v>-2.5514095000000001E-2</v>
      </c>
    </row>
    <row r="3014" spans="1:5" x14ac:dyDescent="0.3">
      <c r="A3014" s="8">
        <v>78</v>
      </c>
      <c r="B3014" s="8">
        <v>10</v>
      </c>
      <c r="C3014" s="8">
        <v>3048</v>
      </c>
      <c r="D3014" s="16">
        <v>-2.0958609999999999E-2</v>
      </c>
      <c r="E3014" s="8">
        <v>-1.0479305E-2</v>
      </c>
    </row>
    <row r="3015" spans="1:5" x14ac:dyDescent="0.3">
      <c r="A3015" s="8">
        <v>78</v>
      </c>
      <c r="B3015" s="8">
        <v>11</v>
      </c>
      <c r="C3015" s="8">
        <v>3048</v>
      </c>
      <c r="D3015" s="16">
        <v>-4.1037840000000001E-3</v>
      </c>
      <c r="E3015" s="8">
        <v>-2.051892E-3</v>
      </c>
    </row>
    <row r="3016" spans="1:5" x14ac:dyDescent="0.3">
      <c r="A3016" s="8">
        <v>78</v>
      </c>
      <c r="B3016" s="8">
        <v>12</v>
      </c>
      <c r="C3016" s="8">
        <v>3065</v>
      </c>
      <c r="D3016" s="16">
        <v>-5.7580880000000001E-2</v>
      </c>
      <c r="E3016" s="8">
        <v>-2.879044E-2</v>
      </c>
    </row>
    <row r="3017" spans="1:5" x14ac:dyDescent="0.3">
      <c r="A3017" s="8">
        <v>78</v>
      </c>
      <c r="B3017" s="8">
        <v>13</v>
      </c>
      <c r="C3017" s="8">
        <v>3041</v>
      </c>
      <c r="D3017" s="16">
        <v>-3.5467609999999997E-2</v>
      </c>
      <c r="E3017" s="8">
        <v>-1.7733804999999998E-2</v>
      </c>
    </row>
    <row r="3018" spans="1:5" x14ac:dyDescent="0.3">
      <c r="A3018" s="8">
        <v>78</v>
      </c>
      <c r="B3018" s="8">
        <v>14</v>
      </c>
      <c r="C3018" s="8">
        <v>3043</v>
      </c>
      <c r="D3018" s="16">
        <v>-2.360044E-2</v>
      </c>
      <c r="E3018" s="8">
        <v>-1.180022E-2</v>
      </c>
    </row>
    <row r="3019" spans="1:5" x14ac:dyDescent="0.3">
      <c r="A3019" s="8">
        <v>78</v>
      </c>
      <c r="B3019" s="8">
        <v>15</v>
      </c>
      <c r="C3019" s="8">
        <v>3052</v>
      </c>
      <c r="D3019" s="16">
        <v>-7.3640839999999999E-3</v>
      </c>
      <c r="E3019" s="8">
        <v>-3.682042E-3</v>
      </c>
    </row>
    <row r="3020" spans="1:5" x14ac:dyDescent="0.3">
      <c r="A3020" s="8">
        <v>78</v>
      </c>
      <c r="B3020" s="8">
        <v>16</v>
      </c>
      <c r="C3020" s="8">
        <v>3059</v>
      </c>
      <c r="D3020" s="16">
        <v>-3.6499030000000002E-2</v>
      </c>
      <c r="E3020" s="8">
        <v>-1.8249515000000001E-2</v>
      </c>
    </row>
    <row r="3021" spans="1:5" x14ac:dyDescent="0.3">
      <c r="A3021" s="8">
        <v>78</v>
      </c>
      <c r="B3021" s="8">
        <v>17</v>
      </c>
      <c r="C3021" s="8">
        <v>3052</v>
      </c>
      <c r="D3021" s="16">
        <v>1.6215319999999998E-2</v>
      </c>
      <c r="E3021" s="8">
        <v>8.1076599999999992E-3</v>
      </c>
    </row>
    <row r="3022" spans="1:5" x14ac:dyDescent="0.3">
      <c r="A3022" s="8">
        <v>78</v>
      </c>
      <c r="B3022" s="8">
        <v>18</v>
      </c>
      <c r="C3022" s="8">
        <v>3071</v>
      </c>
      <c r="D3022" s="16">
        <v>-7.0856879999999997E-2</v>
      </c>
      <c r="E3022" s="8">
        <v>-3.5428439999999999E-2</v>
      </c>
    </row>
    <row r="3023" spans="1:5" x14ac:dyDescent="0.3">
      <c r="A3023" s="8">
        <v>78</v>
      </c>
      <c r="B3023" s="8">
        <v>19</v>
      </c>
      <c r="C3023" s="8">
        <v>3048</v>
      </c>
      <c r="D3023" s="16">
        <v>-4.6492609999999997E-2</v>
      </c>
      <c r="E3023" s="8">
        <v>-2.3246304999999998E-2</v>
      </c>
    </row>
    <row r="3024" spans="1:5" x14ac:dyDescent="0.3">
      <c r="A3024" s="8">
        <v>78</v>
      </c>
      <c r="B3024" s="8">
        <v>20</v>
      </c>
      <c r="C3024" s="8">
        <v>3056</v>
      </c>
      <c r="D3024" s="16">
        <v>-2.7579860000000001E-2</v>
      </c>
      <c r="E3024" s="8">
        <v>-1.3789930000000001E-2</v>
      </c>
    </row>
    <row r="3025" spans="1:5" x14ac:dyDescent="0.3">
      <c r="A3025" s="8">
        <v>78</v>
      </c>
      <c r="B3025" s="8">
        <v>21</v>
      </c>
      <c r="C3025" s="8">
        <v>3059</v>
      </c>
      <c r="D3025" s="16">
        <v>-5.3696809999999998E-2</v>
      </c>
      <c r="E3025" s="8">
        <v>-2.6848404999999999E-2</v>
      </c>
    </row>
    <row r="3026" spans="1:5" x14ac:dyDescent="0.3">
      <c r="A3026" s="8">
        <v>78</v>
      </c>
      <c r="B3026" s="8">
        <v>22</v>
      </c>
      <c r="C3026" s="8">
        <v>3047</v>
      </c>
      <c r="D3026" s="16">
        <v>-4.2721039999999997E-3</v>
      </c>
      <c r="E3026" s="8">
        <v>-2.1360519999999998E-3</v>
      </c>
    </row>
    <row r="3027" spans="1:5" x14ac:dyDescent="0.3">
      <c r="A3027" s="8">
        <v>78</v>
      </c>
      <c r="B3027" s="8">
        <v>23</v>
      </c>
      <c r="C3027" s="8">
        <v>3046</v>
      </c>
      <c r="D3027" s="16">
        <v>3.1317730000000002E-2</v>
      </c>
      <c r="E3027" s="8">
        <v>1.5658865000000001E-2</v>
      </c>
    </row>
    <row r="3028" spans="1:5" x14ac:dyDescent="0.3">
      <c r="A3028" s="8">
        <v>78</v>
      </c>
      <c r="B3028" s="8">
        <v>24</v>
      </c>
      <c r="C3028" s="8">
        <v>3069</v>
      </c>
      <c r="D3028" s="16">
        <v>5.4813540000000001E-2</v>
      </c>
      <c r="E3028" s="8">
        <v>2.740677E-2</v>
      </c>
    </row>
    <row r="3029" spans="1:5" x14ac:dyDescent="0.3">
      <c r="A3029" s="8">
        <v>78</v>
      </c>
      <c r="B3029" s="8">
        <v>25</v>
      </c>
      <c r="C3029" s="8">
        <v>3053</v>
      </c>
      <c r="D3029" s="16">
        <v>1.306657E-2</v>
      </c>
      <c r="E3029" s="8">
        <v>6.5332849999999998E-3</v>
      </c>
    </row>
    <row r="3030" spans="1:5" x14ac:dyDescent="0.3">
      <c r="A3030" s="8">
        <v>78</v>
      </c>
      <c r="B3030" s="8">
        <v>26</v>
      </c>
      <c r="C3030" s="8">
        <v>3063</v>
      </c>
      <c r="D3030" s="16">
        <v>-6.113135E-4</v>
      </c>
      <c r="E3030" s="8">
        <v>-3.0565675E-4</v>
      </c>
    </row>
    <row r="3031" spans="1:5" x14ac:dyDescent="0.3">
      <c r="A3031" s="8">
        <v>78</v>
      </c>
      <c r="B3031" s="8">
        <v>27</v>
      </c>
      <c r="C3031" s="8">
        <v>3070</v>
      </c>
      <c r="D3031" s="16">
        <v>-2.0654680000000002E-2</v>
      </c>
      <c r="E3031" s="8">
        <v>-1.0327340000000001E-2</v>
      </c>
    </row>
    <row r="3032" spans="1:5" x14ac:dyDescent="0.3">
      <c r="A3032" s="8">
        <v>78</v>
      </c>
      <c r="B3032" s="8">
        <v>28</v>
      </c>
      <c r="C3032" s="8">
        <v>3040</v>
      </c>
      <c r="D3032" s="16">
        <v>-2.9832069999999999E-2</v>
      </c>
      <c r="E3032" s="8">
        <v>-1.4916034999999999E-2</v>
      </c>
    </row>
    <row r="3033" spans="1:5" x14ac:dyDescent="0.3">
      <c r="A3033" s="8">
        <v>78</v>
      </c>
      <c r="B3033" s="8">
        <v>29</v>
      </c>
      <c r="C3033" s="8">
        <v>3044</v>
      </c>
      <c r="D3033" s="16">
        <v>-2.0553970000000001E-2</v>
      </c>
      <c r="E3033" s="8">
        <v>-1.0276985000000001E-2</v>
      </c>
    </row>
    <row r="3034" spans="1:5" x14ac:dyDescent="0.3">
      <c r="A3034" s="8">
        <v>78</v>
      </c>
      <c r="B3034" s="8">
        <v>30</v>
      </c>
      <c r="C3034" s="8">
        <v>3055</v>
      </c>
      <c r="D3034" s="16">
        <v>-2.4837459999999999E-2</v>
      </c>
      <c r="E3034" s="8">
        <v>-1.2418729999999999E-2</v>
      </c>
    </row>
    <row r="3035" spans="1:5" x14ac:dyDescent="0.3">
      <c r="A3035" s="8">
        <v>78</v>
      </c>
      <c r="B3035" s="8">
        <v>31</v>
      </c>
      <c r="C3035" s="8">
        <v>2976</v>
      </c>
      <c r="D3035" s="16">
        <v>-7.0189099999999997E-3</v>
      </c>
      <c r="E3035" s="8">
        <v>-3.5094549999999999E-3</v>
      </c>
    </row>
    <row r="3036" spans="1:5" x14ac:dyDescent="0.3">
      <c r="A3036" s="8">
        <v>78</v>
      </c>
      <c r="B3036" s="8">
        <v>32</v>
      </c>
      <c r="C3036" s="8">
        <v>3043</v>
      </c>
      <c r="D3036" s="16">
        <v>-1.8012480000000001E-2</v>
      </c>
      <c r="E3036" s="8">
        <v>-9.0062400000000004E-3</v>
      </c>
    </row>
    <row r="3037" spans="1:5" x14ac:dyDescent="0.3">
      <c r="A3037" s="8">
        <v>78</v>
      </c>
      <c r="B3037" s="8">
        <v>33</v>
      </c>
      <c r="C3037" s="8">
        <v>3072</v>
      </c>
      <c r="D3037" s="16">
        <v>-5.9368989999999998E-3</v>
      </c>
      <c r="E3037" s="8">
        <v>-2.9684494999999999E-3</v>
      </c>
    </row>
    <row r="3038" spans="1:5" x14ac:dyDescent="0.3">
      <c r="A3038" s="8">
        <v>78</v>
      </c>
      <c r="B3038" s="8">
        <v>34</v>
      </c>
      <c r="C3038" s="8">
        <v>3064</v>
      </c>
      <c r="D3038" s="16">
        <v>-4.0817680000000002E-2</v>
      </c>
      <c r="E3038" s="8">
        <v>-2.0408840000000001E-2</v>
      </c>
    </row>
    <row r="3039" spans="1:5" x14ac:dyDescent="0.3">
      <c r="A3039" s="8">
        <v>78</v>
      </c>
      <c r="B3039" s="8">
        <v>35</v>
      </c>
      <c r="C3039" s="8">
        <v>3053</v>
      </c>
      <c r="D3039" s="16">
        <v>-1.2901900000000001E-2</v>
      </c>
      <c r="E3039" s="8">
        <v>-6.4509500000000004E-3</v>
      </c>
    </row>
    <row r="3040" spans="1:5" x14ac:dyDescent="0.3">
      <c r="A3040" s="8">
        <v>78</v>
      </c>
      <c r="B3040" s="8">
        <v>36</v>
      </c>
      <c r="C3040" s="8">
        <v>3060</v>
      </c>
      <c r="D3040" s="16">
        <v>-1.431258E-2</v>
      </c>
      <c r="E3040" s="8">
        <v>-7.15629E-3</v>
      </c>
    </row>
    <row r="3041" spans="1:5" x14ac:dyDescent="0.3">
      <c r="A3041" s="8">
        <v>78</v>
      </c>
      <c r="B3041" s="8">
        <v>37</v>
      </c>
      <c r="C3041" s="8">
        <v>3024</v>
      </c>
      <c r="D3041" s="16">
        <v>-2.745597E-2</v>
      </c>
      <c r="E3041" s="8">
        <v>-1.3727985E-2</v>
      </c>
    </row>
    <row r="3042" spans="1:5" x14ac:dyDescent="0.3">
      <c r="A3042" s="8">
        <v>78</v>
      </c>
      <c r="B3042" s="8">
        <v>38</v>
      </c>
      <c r="C3042" s="8">
        <v>3069</v>
      </c>
      <c r="D3042" s="16">
        <v>-3.4252970000000001E-2</v>
      </c>
      <c r="E3042" s="8">
        <v>-1.7126485E-2</v>
      </c>
    </row>
    <row r="3043" spans="1:5" x14ac:dyDescent="0.3">
      <c r="A3043" s="8">
        <v>78</v>
      </c>
      <c r="B3043" s="8">
        <v>39</v>
      </c>
      <c r="C3043" s="8">
        <v>3064</v>
      </c>
      <c r="D3043" s="16">
        <v>-1.3137610000000001E-3</v>
      </c>
      <c r="E3043" s="8">
        <v>-6.5688050000000005E-4</v>
      </c>
    </row>
    <row r="3044" spans="1:5" x14ac:dyDescent="0.3">
      <c r="A3044" s="8">
        <v>78</v>
      </c>
      <c r="B3044" s="8">
        <v>40</v>
      </c>
      <c r="C3044" s="8">
        <v>3061</v>
      </c>
      <c r="D3044" s="16">
        <v>-1.000847E-2</v>
      </c>
      <c r="E3044" s="8">
        <v>-5.0042350000000001E-3</v>
      </c>
    </row>
    <row r="3045" spans="1:5" x14ac:dyDescent="0.3">
      <c r="A3045" s="8">
        <v>78</v>
      </c>
      <c r="B3045" s="8">
        <v>41</v>
      </c>
      <c r="C3045" s="8">
        <v>3031</v>
      </c>
      <c r="D3045" s="16">
        <v>-4.4389600000000001E-2</v>
      </c>
      <c r="E3045" s="8">
        <v>-2.2194800000000001E-2</v>
      </c>
    </row>
    <row r="3046" spans="1:5" x14ac:dyDescent="0.3">
      <c r="A3046" s="8">
        <v>78</v>
      </c>
      <c r="B3046" s="8">
        <v>42</v>
      </c>
      <c r="C3046" s="8">
        <v>3023</v>
      </c>
      <c r="D3046" s="16">
        <v>-3.4393130000000001E-2</v>
      </c>
      <c r="E3046" s="8">
        <v>-1.7196565E-2</v>
      </c>
    </row>
    <row r="3047" spans="1:5" x14ac:dyDescent="0.3">
      <c r="A3047" s="8">
        <v>78</v>
      </c>
      <c r="B3047" s="8">
        <v>43</v>
      </c>
      <c r="C3047" s="8">
        <v>3043</v>
      </c>
      <c r="D3047" s="16">
        <v>-2.534312E-2</v>
      </c>
      <c r="E3047" s="8">
        <v>-1.267156E-2</v>
      </c>
    </row>
    <row r="3048" spans="1:5" x14ac:dyDescent="0.3">
      <c r="A3048" s="8">
        <v>78</v>
      </c>
      <c r="B3048" s="8">
        <v>44</v>
      </c>
      <c r="C3048" s="8">
        <v>3025</v>
      </c>
      <c r="D3048" s="16">
        <v>-1.2039879999999999E-2</v>
      </c>
      <c r="E3048" s="8">
        <v>-6.0199399999999997E-3</v>
      </c>
    </row>
    <row r="3049" spans="1:5" x14ac:dyDescent="0.3">
      <c r="A3049" s="8">
        <v>78</v>
      </c>
      <c r="B3049" s="8">
        <v>45</v>
      </c>
      <c r="C3049" s="8">
        <v>3059</v>
      </c>
      <c r="D3049" s="16">
        <v>1.152239E-2</v>
      </c>
      <c r="E3049" s="8">
        <v>5.7611950000000002E-3</v>
      </c>
    </row>
    <row r="3050" spans="1:5" x14ac:dyDescent="0.3">
      <c r="A3050" s="8">
        <v>78</v>
      </c>
      <c r="B3050" s="8">
        <v>46</v>
      </c>
      <c r="C3050" s="8">
        <v>3046</v>
      </c>
      <c r="D3050" s="16">
        <v>1.225909E-2</v>
      </c>
      <c r="E3050" s="8">
        <v>6.1295450000000001E-3</v>
      </c>
    </row>
    <row r="3051" spans="1:5" x14ac:dyDescent="0.3">
      <c r="A3051" s="8">
        <v>78</v>
      </c>
      <c r="B3051" s="8">
        <v>47</v>
      </c>
      <c r="C3051" s="8">
        <v>3034</v>
      </c>
      <c r="D3051" s="16">
        <v>-3.9485709999999997E-3</v>
      </c>
      <c r="E3051" s="8">
        <v>-1.9742854999999998E-3</v>
      </c>
    </row>
    <row r="3052" spans="1:5" x14ac:dyDescent="0.3">
      <c r="A3052" s="8">
        <v>78</v>
      </c>
      <c r="B3052" s="8">
        <v>48</v>
      </c>
      <c r="C3052" s="8">
        <v>3055</v>
      </c>
      <c r="D3052" s="16">
        <v>1.326164E-2</v>
      </c>
      <c r="E3052" s="8">
        <v>6.6308199999999999E-3</v>
      </c>
    </row>
    <row r="3053" spans="1:5" x14ac:dyDescent="0.3">
      <c r="A3053" s="8">
        <v>78</v>
      </c>
      <c r="B3053" s="8">
        <v>49</v>
      </c>
      <c r="C3053" s="8">
        <v>3021</v>
      </c>
      <c r="D3053" s="16">
        <v>6.4253460000000002E-3</v>
      </c>
      <c r="E3053" s="8">
        <v>3.2126730000000001E-3</v>
      </c>
    </row>
    <row r="3054" spans="1:5" x14ac:dyDescent="0.3">
      <c r="A3054" s="8">
        <v>78</v>
      </c>
      <c r="B3054" s="8">
        <v>50</v>
      </c>
      <c r="C3054" s="8">
        <v>3073</v>
      </c>
      <c r="D3054" s="16">
        <v>-5.9067870000000001E-2</v>
      </c>
      <c r="E3054" s="8">
        <v>-2.9533935000000001E-2</v>
      </c>
    </row>
    <row r="3055" spans="1:5" x14ac:dyDescent="0.3">
      <c r="A3055" s="8">
        <v>78</v>
      </c>
      <c r="B3055" s="8">
        <v>51</v>
      </c>
      <c r="C3055" s="8">
        <v>3053</v>
      </c>
      <c r="D3055" s="16">
        <v>-2.4168430000000001E-2</v>
      </c>
      <c r="E3055" s="8">
        <v>-1.2084215000000001E-2</v>
      </c>
    </row>
    <row r="3056" spans="1:5" x14ac:dyDescent="0.3">
      <c r="A3056" s="8">
        <v>78</v>
      </c>
      <c r="B3056" s="8">
        <v>52</v>
      </c>
      <c r="C3056" s="8">
        <v>3048</v>
      </c>
      <c r="D3056" s="16">
        <v>-8.8887800000000006E-3</v>
      </c>
      <c r="E3056" s="8">
        <v>-4.4443900000000003E-3</v>
      </c>
    </row>
    <row r="3057" spans="1:5" x14ac:dyDescent="0.3">
      <c r="A3057" s="8">
        <v>78</v>
      </c>
      <c r="B3057" s="8">
        <v>53</v>
      </c>
      <c r="C3057" s="8">
        <v>3047</v>
      </c>
      <c r="D3057" s="16">
        <v>-1.711271E-2</v>
      </c>
      <c r="E3057" s="8">
        <v>-8.5563549999999999E-3</v>
      </c>
    </row>
    <row r="3058" spans="1:5" x14ac:dyDescent="0.3">
      <c r="A3058" s="8">
        <v>78</v>
      </c>
      <c r="B3058" s="8">
        <v>54</v>
      </c>
      <c r="C3058" s="8">
        <v>3034</v>
      </c>
      <c r="D3058" s="16">
        <v>-1.6192729999999999E-2</v>
      </c>
      <c r="E3058" s="8">
        <v>-8.0963649999999995E-3</v>
      </c>
    </row>
    <row r="3059" spans="1:5" x14ac:dyDescent="0.3">
      <c r="A3059" s="8">
        <v>78</v>
      </c>
      <c r="B3059" s="8">
        <v>55</v>
      </c>
      <c r="C3059" s="8">
        <v>3059</v>
      </c>
      <c r="D3059" s="16">
        <v>-5.3659299999999997E-3</v>
      </c>
      <c r="E3059" s="8">
        <v>-2.6829649999999998E-3</v>
      </c>
    </row>
    <row r="3060" spans="1:5" x14ac:dyDescent="0.3">
      <c r="A3060" s="8">
        <v>78</v>
      </c>
      <c r="B3060" s="8">
        <v>56</v>
      </c>
      <c r="C3060" s="8">
        <v>3064</v>
      </c>
      <c r="D3060" s="16">
        <v>-4.0696620000000003E-2</v>
      </c>
      <c r="E3060" s="8">
        <v>-2.0348310000000001E-2</v>
      </c>
    </row>
    <row r="3061" spans="1:5" x14ac:dyDescent="0.3">
      <c r="A3061" s="8">
        <v>78</v>
      </c>
      <c r="B3061" s="8">
        <v>57</v>
      </c>
      <c r="C3061" s="8">
        <v>3074</v>
      </c>
      <c r="D3061" s="16">
        <v>-2.727064E-3</v>
      </c>
      <c r="E3061" s="8">
        <v>-1.363532E-3</v>
      </c>
    </row>
    <row r="3062" spans="1:5" x14ac:dyDescent="0.3">
      <c r="A3062" s="8">
        <v>78</v>
      </c>
      <c r="B3062" s="8">
        <v>58</v>
      </c>
      <c r="C3062" s="8">
        <v>3056</v>
      </c>
      <c r="D3062" s="16">
        <v>-1.6944890000000001E-2</v>
      </c>
      <c r="E3062" s="8">
        <v>-8.4724450000000003E-3</v>
      </c>
    </row>
    <row r="3063" spans="1:5" x14ac:dyDescent="0.3">
      <c r="A3063" s="8">
        <v>78</v>
      </c>
      <c r="B3063" s="8">
        <v>59</v>
      </c>
      <c r="C3063" s="8">
        <v>3060</v>
      </c>
      <c r="D3063" s="16">
        <v>-6.7648E-2</v>
      </c>
      <c r="E3063" s="8">
        <v>-3.3824E-2</v>
      </c>
    </row>
    <row r="3064" spans="1:5" x14ac:dyDescent="0.3">
      <c r="A3064" s="8">
        <v>78</v>
      </c>
      <c r="B3064" s="8">
        <v>60</v>
      </c>
      <c r="C3064" s="8">
        <v>3055</v>
      </c>
      <c r="D3064" s="16">
        <v>-5.0892430000000002E-3</v>
      </c>
      <c r="E3064" s="8">
        <v>-2.5446215000000001E-3</v>
      </c>
    </row>
    <row r="3065" spans="1:5" x14ac:dyDescent="0.3">
      <c r="A3065" s="8">
        <v>78</v>
      </c>
      <c r="B3065" s="8">
        <v>61</v>
      </c>
      <c r="C3065" s="8">
        <v>3056</v>
      </c>
      <c r="D3065" s="16">
        <v>-3.5412539999999999E-2</v>
      </c>
      <c r="E3065" s="8">
        <v>-1.770627E-2</v>
      </c>
    </row>
    <row r="3066" spans="1:5" x14ac:dyDescent="0.3">
      <c r="A3066" s="8">
        <v>78</v>
      </c>
      <c r="B3066" s="8">
        <v>62</v>
      </c>
      <c r="C3066" s="8">
        <v>3060</v>
      </c>
      <c r="D3066" s="16">
        <v>2.329289E-2</v>
      </c>
      <c r="E3066" s="8">
        <v>1.1646445E-2</v>
      </c>
    </row>
    <row r="3067" spans="1:5" x14ac:dyDescent="0.3">
      <c r="A3067" s="8">
        <v>78</v>
      </c>
      <c r="B3067" s="8">
        <v>63</v>
      </c>
      <c r="C3067" s="8">
        <v>3054</v>
      </c>
      <c r="D3067" s="16">
        <v>9.9901609999999991E-3</v>
      </c>
      <c r="E3067" s="8">
        <v>4.9950804999999996E-3</v>
      </c>
    </row>
    <row r="3068" spans="1:5" x14ac:dyDescent="0.3">
      <c r="A3068" s="8">
        <v>78</v>
      </c>
      <c r="B3068" s="8">
        <v>64</v>
      </c>
      <c r="C3068" s="8">
        <v>3052</v>
      </c>
      <c r="D3068" s="16">
        <v>2.4300929999999998E-2</v>
      </c>
      <c r="E3068" s="8">
        <v>1.2150464999999999E-2</v>
      </c>
    </row>
    <row r="3069" spans="1:5" x14ac:dyDescent="0.3">
      <c r="A3069" s="8">
        <v>78</v>
      </c>
      <c r="B3069" s="8">
        <v>65</v>
      </c>
      <c r="C3069" s="8">
        <v>3050</v>
      </c>
      <c r="D3069" s="16">
        <v>4.4540570000000002E-2</v>
      </c>
      <c r="E3069" s="8">
        <v>2.2270285000000001E-2</v>
      </c>
    </row>
    <row r="3070" spans="1:5" x14ac:dyDescent="0.3">
      <c r="A3070" s="8">
        <v>78</v>
      </c>
      <c r="B3070" s="8">
        <v>66</v>
      </c>
      <c r="C3070" s="8">
        <v>3056</v>
      </c>
      <c r="D3070" s="16">
        <v>-5.1768320000000001E-3</v>
      </c>
      <c r="E3070" s="8">
        <v>-2.5884160000000001E-3</v>
      </c>
    </row>
    <row r="3071" spans="1:5" x14ac:dyDescent="0.3">
      <c r="A3071" s="8">
        <v>78</v>
      </c>
      <c r="B3071" s="8">
        <v>67</v>
      </c>
      <c r="C3071" s="8">
        <v>3048</v>
      </c>
      <c r="D3071" s="16">
        <v>-3.6551970000000003E-2</v>
      </c>
      <c r="E3071" s="8">
        <v>-1.8275985000000002E-2</v>
      </c>
    </row>
    <row r="3072" spans="1:5" x14ac:dyDescent="0.3">
      <c r="A3072" s="8">
        <v>78</v>
      </c>
      <c r="B3072" s="8">
        <v>68</v>
      </c>
      <c r="C3072" s="8">
        <v>3047</v>
      </c>
      <c r="D3072" s="16">
        <v>-1.235969E-2</v>
      </c>
      <c r="E3072" s="8">
        <v>-6.1798449999999998E-3</v>
      </c>
    </row>
    <row r="3073" spans="1:5" x14ac:dyDescent="0.3">
      <c r="A3073" s="8">
        <v>78</v>
      </c>
      <c r="B3073" s="8">
        <v>69</v>
      </c>
      <c r="C3073" s="8">
        <v>3054</v>
      </c>
      <c r="D3073" s="16">
        <v>-1.866936E-3</v>
      </c>
      <c r="E3073" s="8">
        <v>-9.3346800000000001E-4</v>
      </c>
    </row>
    <row r="3074" spans="1:5" x14ac:dyDescent="0.3">
      <c r="A3074" s="8">
        <v>78</v>
      </c>
      <c r="B3074" s="8">
        <v>70</v>
      </c>
      <c r="C3074" s="8">
        <v>3056</v>
      </c>
      <c r="D3074" s="16">
        <v>-6.5945039999999996E-2</v>
      </c>
      <c r="E3074" s="8">
        <v>-3.2972519999999998E-2</v>
      </c>
    </row>
    <row r="3075" spans="1:5" x14ac:dyDescent="0.3">
      <c r="A3075" s="8">
        <v>78</v>
      </c>
      <c r="B3075" s="8">
        <v>71</v>
      </c>
      <c r="C3075" s="8">
        <v>3046</v>
      </c>
      <c r="D3075" s="16">
        <v>2.221105E-2</v>
      </c>
      <c r="E3075" s="8">
        <v>1.1105525E-2</v>
      </c>
    </row>
    <row r="3076" spans="1:5" x14ac:dyDescent="0.3">
      <c r="A3076" s="8">
        <v>78</v>
      </c>
      <c r="B3076" s="8">
        <v>72</v>
      </c>
      <c r="C3076" s="8">
        <v>3047</v>
      </c>
      <c r="D3076" s="16">
        <v>-3.5247649999999998E-2</v>
      </c>
      <c r="E3076" s="8">
        <v>-1.7623824999999999E-2</v>
      </c>
    </row>
    <row r="3077" spans="1:5" x14ac:dyDescent="0.3">
      <c r="A3077" s="8">
        <v>78</v>
      </c>
      <c r="B3077" s="8">
        <v>73</v>
      </c>
      <c r="C3077" s="8">
        <v>3069</v>
      </c>
      <c r="D3077" s="16">
        <v>-4.3862890000000002E-2</v>
      </c>
      <c r="E3077" s="8">
        <v>-2.1931445000000001E-2</v>
      </c>
    </row>
    <row r="3078" spans="1:5" x14ac:dyDescent="0.3">
      <c r="A3078" s="8">
        <v>78</v>
      </c>
      <c r="B3078" s="8">
        <v>74</v>
      </c>
      <c r="C3078" s="8">
        <v>3042</v>
      </c>
      <c r="D3078" s="16">
        <v>-4.3567330000000001E-2</v>
      </c>
      <c r="E3078" s="8">
        <v>-2.1783665000000001E-2</v>
      </c>
    </row>
    <row r="3079" spans="1:5" x14ac:dyDescent="0.3">
      <c r="A3079" s="8">
        <v>78</v>
      </c>
      <c r="B3079" s="8">
        <v>75</v>
      </c>
      <c r="C3079" s="8">
        <v>3054</v>
      </c>
      <c r="D3079" s="16">
        <v>1.50131E-2</v>
      </c>
      <c r="E3079" s="8">
        <v>7.5065499999999999E-3</v>
      </c>
    </row>
    <row r="3080" spans="1:5" x14ac:dyDescent="0.3">
      <c r="A3080" s="8">
        <v>78</v>
      </c>
      <c r="B3080" s="8">
        <v>76</v>
      </c>
      <c r="C3080" s="8">
        <v>3050</v>
      </c>
      <c r="D3080" s="16">
        <v>-1.760623E-2</v>
      </c>
      <c r="E3080" s="8">
        <v>-8.8031150000000002E-3</v>
      </c>
    </row>
    <row r="3081" spans="1:5" x14ac:dyDescent="0.3">
      <c r="A3081" s="8">
        <v>78</v>
      </c>
      <c r="B3081" s="8">
        <v>77</v>
      </c>
      <c r="C3081" s="8">
        <v>3046</v>
      </c>
      <c r="D3081" s="16">
        <v>-3.9790550000000001E-2</v>
      </c>
      <c r="E3081" s="8">
        <v>-1.9895275E-2</v>
      </c>
    </row>
    <row r="3082" spans="1:5" x14ac:dyDescent="0.3">
      <c r="A3082" s="8">
        <v>78</v>
      </c>
      <c r="B3082" s="8">
        <v>78</v>
      </c>
      <c r="C3082" s="8">
        <v>3152</v>
      </c>
      <c r="D3082" s="16">
        <v>1.1444479999999999</v>
      </c>
      <c r="E3082" s="8"/>
    </row>
    <row r="3083" spans="1:5" x14ac:dyDescent="0.3">
      <c r="A3083" s="8">
        <v>79</v>
      </c>
      <c r="B3083" s="8">
        <v>1</v>
      </c>
      <c r="C3083" s="8">
        <v>3069</v>
      </c>
      <c r="D3083" s="16">
        <v>4.6715590000000001E-2</v>
      </c>
      <c r="E3083" s="8">
        <v>2.3357795000000001E-2</v>
      </c>
    </row>
    <row r="3084" spans="1:5" x14ac:dyDescent="0.3">
      <c r="A3084" s="8">
        <v>79</v>
      </c>
      <c r="B3084" s="8">
        <v>2</v>
      </c>
      <c r="C3084" s="8">
        <v>3034</v>
      </c>
      <c r="D3084" s="16">
        <v>-2.9388919999999999E-2</v>
      </c>
      <c r="E3084" s="8">
        <v>-1.4694459999999999E-2</v>
      </c>
    </row>
    <row r="3085" spans="1:5" x14ac:dyDescent="0.3">
      <c r="A3085" s="8">
        <v>79</v>
      </c>
      <c r="B3085" s="8">
        <v>3</v>
      </c>
      <c r="C3085" s="8">
        <v>3061</v>
      </c>
      <c r="D3085" s="16">
        <v>-2.141587E-2</v>
      </c>
      <c r="E3085" s="8">
        <v>-1.0707935E-2</v>
      </c>
    </row>
    <row r="3086" spans="1:5" x14ac:dyDescent="0.3">
      <c r="A3086" s="8">
        <v>79</v>
      </c>
      <c r="B3086" s="8">
        <v>4</v>
      </c>
      <c r="C3086" s="8">
        <v>3037</v>
      </c>
      <c r="D3086" s="16">
        <v>1.7836769999999998E-2</v>
      </c>
      <c r="E3086" s="8">
        <v>8.9183849999999992E-3</v>
      </c>
    </row>
    <row r="3087" spans="1:5" x14ac:dyDescent="0.3">
      <c r="A3087" s="8">
        <v>79</v>
      </c>
      <c r="B3087" s="8">
        <v>5</v>
      </c>
      <c r="C3087" s="8">
        <v>3024</v>
      </c>
      <c r="D3087" s="16">
        <v>4.5125240000000004E-3</v>
      </c>
      <c r="E3087" s="8">
        <v>2.2562620000000002E-3</v>
      </c>
    </row>
    <row r="3088" spans="1:5" x14ac:dyDescent="0.3">
      <c r="A3088" s="8">
        <v>79</v>
      </c>
      <c r="B3088" s="8">
        <v>6</v>
      </c>
      <c r="C3088" s="8">
        <v>3040</v>
      </c>
      <c r="D3088" s="16">
        <v>-1.381244E-2</v>
      </c>
      <c r="E3088" s="8">
        <v>-6.9062200000000002E-3</v>
      </c>
    </row>
    <row r="3089" spans="1:5" x14ac:dyDescent="0.3">
      <c r="A3089" s="8">
        <v>79</v>
      </c>
      <c r="B3089" s="8">
        <v>7</v>
      </c>
      <c r="C3089" s="8">
        <v>3040</v>
      </c>
      <c r="D3089" s="16">
        <v>-2.3648619999999999E-2</v>
      </c>
      <c r="E3089" s="8">
        <v>-1.1824309999999999E-2</v>
      </c>
    </row>
    <row r="3090" spans="1:5" x14ac:dyDescent="0.3">
      <c r="A3090" s="8">
        <v>79</v>
      </c>
      <c r="B3090" s="8">
        <v>8</v>
      </c>
      <c r="C3090" s="8">
        <v>3056</v>
      </c>
      <c r="D3090" s="16">
        <v>-2.4519570000000001E-2</v>
      </c>
      <c r="E3090" s="8">
        <v>-1.2259785E-2</v>
      </c>
    </row>
    <row r="3091" spans="1:5" x14ac:dyDescent="0.3">
      <c r="A3091" s="8">
        <v>79</v>
      </c>
      <c r="B3091" s="8">
        <v>9</v>
      </c>
      <c r="C3091" s="8">
        <v>3049</v>
      </c>
      <c r="D3091" s="16">
        <v>3.3346939999999999E-2</v>
      </c>
      <c r="E3091" s="8">
        <v>1.6673469999999999E-2</v>
      </c>
    </row>
    <row r="3092" spans="1:5" x14ac:dyDescent="0.3">
      <c r="A3092" s="8">
        <v>79</v>
      </c>
      <c r="B3092" s="8">
        <v>10</v>
      </c>
      <c r="C3092" s="8">
        <v>3039</v>
      </c>
      <c r="D3092" s="16">
        <v>3.770188E-2</v>
      </c>
      <c r="E3092" s="8">
        <v>1.885094E-2</v>
      </c>
    </row>
    <row r="3093" spans="1:5" x14ac:dyDescent="0.3">
      <c r="A3093" s="8">
        <v>79</v>
      </c>
      <c r="B3093" s="8">
        <v>11</v>
      </c>
      <c r="C3093" s="8">
        <v>3041</v>
      </c>
      <c r="D3093" s="16">
        <v>-3.269905E-2</v>
      </c>
      <c r="E3093" s="8">
        <v>-1.6349525E-2</v>
      </c>
    </row>
    <row r="3094" spans="1:5" x14ac:dyDescent="0.3">
      <c r="A3094" s="8">
        <v>79</v>
      </c>
      <c r="B3094" s="8">
        <v>12</v>
      </c>
      <c r="C3094" s="8">
        <v>3057</v>
      </c>
      <c r="D3094" s="16">
        <v>2.4251350000000001E-2</v>
      </c>
      <c r="E3094" s="8">
        <v>1.2125675000000001E-2</v>
      </c>
    </row>
    <row r="3095" spans="1:5" x14ac:dyDescent="0.3">
      <c r="A3095" s="8">
        <v>79</v>
      </c>
      <c r="B3095" s="8">
        <v>13</v>
      </c>
      <c r="C3095" s="8">
        <v>3041</v>
      </c>
      <c r="D3095" s="16">
        <v>-9.4356130000000007E-3</v>
      </c>
      <c r="E3095" s="8">
        <v>-4.7178065000000003E-3</v>
      </c>
    </row>
    <row r="3096" spans="1:5" x14ac:dyDescent="0.3">
      <c r="A3096" s="8">
        <v>79</v>
      </c>
      <c r="B3096" s="8">
        <v>14</v>
      </c>
      <c r="C3096" s="8">
        <v>3036</v>
      </c>
      <c r="D3096" s="16">
        <v>-1.7703590000000002E-2</v>
      </c>
      <c r="E3096" s="8">
        <v>-8.8517950000000008E-3</v>
      </c>
    </row>
    <row r="3097" spans="1:5" x14ac:dyDescent="0.3">
      <c r="A3097" s="8">
        <v>79</v>
      </c>
      <c r="B3097" s="8">
        <v>15</v>
      </c>
      <c r="C3097" s="8">
        <v>3043</v>
      </c>
      <c r="D3097" s="16">
        <v>-5.7500990000000002E-2</v>
      </c>
      <c r="E3097" s="8">
        <v>-2.8750495000000001E-2</v>
      </c>
    </row>
    <row r="3098" spans="1:5" x14ac:dyDescent="0.3">
      <c r="A3098" s="8">
        <v>79</v>
      </c>
      <c r="B3098" s="8">
        <v>16</v>
      </c>
      <c r="C3098" s="8">
        <v>3049</v>
      </c>
      <c r="D3098" s="16">
        <v>-8.3051710000000001E-3</v>
      </c>
      <c r="E3098" s="8">
        <v>-4.1525855E-3</v>
      </c>
    </row>
    <row r="3099" spans="1:5" x14ac:dyDescent="0.3">
      <c r="A3099" s="8">
        <v>79</v>
      </c>
      <c r="B3099" s="8">
        <v>17</v>
      </c>
      <c r="C3099" s="8">
        <v>3047</v>
      </c>
      <c r="D3099" s="16">
        <v>-3.1992430000000002E-2</v>
      </c>
      <c r="E3099" s="8">
        <v>-1.5996215000000001E-2</v>
      </c>
    </row>
    <row r="3100" spans="1:5" x14ac:dyDescent="0.3">
      <c r="A3100" s="8">
        <v>79</v>
      </c>
      <c r="B3100" s="8">
        <v>18</v>
      </c>
      <c r="C3100" s="8">
        <v>3065</v>
      </c>
      <c r="D3100" s="16">
        <v>-1.3844810000000001E-2</v>
      </c>
      <c r="E3100" s="8">
        <v>-6.9224050000000004E-3</v>
      </c>
    </row>
    <row r="3101" spans="1:5" x14ac:dyDescent="0.3">
      <c r="A3101" s="8">
        <v>79</v>
      </c>
      <c r="B3101" s="8">
        <v>19</v>
      </c>
      <c r="C3101" s="8">
        <v>3045</v>
      </c>
      <c r="D3101" s="16">
        <v>-4.280349E-2</v>
      </c>
      <c r="E3101" s="8">
        <v>-2.1401745E-2</v>
      </c>
    </row>
    <row r="3102" spans="1:5" x14ac:dyDescent="0.3">
      <c r="A3102" s="8">
        <v>79</v>
      </c>
      <c r="B3102" s="8">
        <v>20</v>
      </c>
      <c r="C3102" s="8">
        <v>3054</v>
      </c>
      <c r="D3102" s="16">
        <v>5.9561759999999997E-3</v>
      </c>
      <c r="E3102" s="8">
        <v>2.9780879999999998E-3</v>
      </c>
    </row>
    <row r="3103" spans="1:5" x14ac:dyDescent="0.3">
      <c r="A3103" s="8">
        <v>79</v>
      </c>
      <c r="B3103" s="8">
        <v>21</v>
      </c>
      <c r="C3103" s="8">
        <v>3050</v>
      </c>
      <c r="D3103" s="16">
        <v>-4.9930960000000003E-2</v>
      </c>
      <c r="E3103" s="8">
        <v>-2.4965480000000002E-2</v>
      </c>
    </row>
    <row r="3104" spans="1:5" x14ac:dyDescent="0.3">
      <c r="A3104" s="8">
        <v>79</v>
      </c>
      <c r="B3104" s="8">
        <v>22</v>
      </c>
      <c r="C3104" s="8">
        <v>3039</v>
      </c>
      <c r="D3104" s="16">
        <v>-3.9346810000000003E-2</v>
      </c>
      <c r="E3104" s="8">
        <v>-1.9673405000000001E-2</v>
      </c>
    </row>
    <row r="3105" spans="1:5" x14ac:dyDescent="0.3">
      <c r="A3105" s="8">
        <v>79</v>
      </c>
      <c r="B3105" s="8">
        <v>23</v>
      </c>
      <c r="C3105" s="8">
        <v>3038</v>
      </c>
      <c r="D3105" s="16">
        <v>-4.044814E-2</v>
      </c>
      <c r="E3105" s="8">
        <v>-2.022407E-2</v>
      </c>
    </row>
    <row r="3106" spans="1:5" x14ac:dyDescent="0.3">
      <c r="A3106" s="8">
        <v>79</v>
      </c>
      <c r="B3106" s="8">
        <v>24</v>
      </c>
      <c r="C3106" s="8">
        <v>3064</v>
      </c>
      <c r="D3106" s="16">
        <v>-5.2822529999999999E-2</v>
      </c>
      <c r="E3106" s="8">
        <v>-2.6411265E-2</v>
      </c>
    </row>
    <row r="3107" spans="1:5" x14ac:dyDescent="0.3">
      <c r="A3107" s="8">
        <v>79</v>
      </c>
      <c r="B3107" s="8">
        <v>25</v>
      </c>
      <c r="C3107" s="8">
        <v>3051</v>
      </c>
      <c r="D3107" s="16">
        <v>-1.603707E-2</v>
      </c>
      <c r="E3107" s="8">
        <v>-8.0185350000000002E-3</v>
      </c>
    </row>
    <row r="3108" spans="1:5" x14ac:dyDescent="0.3">
      <c r="A3108" s="8">
        <v>79</v>
      </c>
      <c r="B3108" s="8">
        <v>26</v>
      </c>
      <c r="C3108" s="8">
        <v>3059</v>
      </c>
      <c r="D3108" s="16">
        <v>2.4241200000000001E-2</v>
      </c>
      <c r="E3108" s="8">
        <v>1.21206E-2</v>
      </c>
    </row>
    <row r="3109" spans="1:5" x14ac:dyDescent="0.3">
      <c r="A3109" s="8">
        <v>79</v>
      </c>
      <c r="B3109" s="8">
        <v>27</v>
      </c>
      <c r="C3109" s="8">
        <v>3065</v>
      </c>
      <c r="D3109" s="16">
        <v>-5.259788E-2</v>
      </c>
      <c r="E3109" s="8">
        <v>-2.629894E-2</v>
      </c>
    </row>
    <row r="3110" spans="1:5" x14ac:dyDescent="0.3">
      <c r="A3110" s="8">
        <v>79</v>
      </c>
      <c r="B3110" s="8">
        <v>28</v>
      </c>
      <c r="C3110" s="8">
        <v>3027</v>
      </c>
      <c r="D3110" s="16">
        <v>-3.2396389999999999E-3</v>
      </c>
      <c r="E3110" s="8">
        <v>-1.6198194999999999E-3</v>
      </c>
    </row>
    <row r="3111" spans="1:5" x14ac:dyDescent="0.3">
      <c r="A3111" s="8">
        <v>79</v>
      </c>
      <c r="B3111" s="8">
        <v>29</v>
      </c>
      <c r="C3111" s="8">
        <v>3038</v>
      </c>
      <c r="D3111" s="16">
        <v>-9.9313460000000006E-3</v>
      </c>
      <c r="E3111" s="8">
        <v>-4.9656730000000003E-3</v>
      </c>
    </row>
    <row r="3112" spans="1:5" x14ac:dyDescent="0.3">
      <c r="A3112" s="8">
        <v>79</v>
      </c>
      <c r="B3112" s="8">
        <v>30</v>
      </c>
      <c r="C3112" s="8">
        <v>3044</v>
      </c>
      <c r="D3112" s="16">
        <v>-2.617835E-2</v>
      </c>
      <c r="E3112" s="8">
        <v>-1.3089175E-2</v>
      </c>
    </row>
    <row r="3113" spans="1:5" x14ac:dyDescent="0.3">
      <c r="A3113" s="8">
        <v>79</v>
      </c>
      <c r="B3113" s="8">
        <v>31</v>
      </c>
      <c r="C3113" s="8">
        <v>2976</v>
      </c>
      <c r="D3113" s="16">
        <v>2.350679E-2</v>
      </c>
      <c r="E3113" s="8">
        <v>1.1753395E-2</v>
      </c>
    </row>
    <row r="3114" spans="1:5" x14ac:dyDescent="0.3">
      <c r="A3114" s="8">
        <v>79</v>
      </c>
      <c r="B3114" s="8">
        <v>32</v>
      </c>
      <c r="C3114" s="8">
        <v>3034</v>
      </c>
      <c r="D3114" s="16">
        <v>2.1341300000000001E-2</v>
      </c>
      <c r="E3114" s="8">
        <v>1.067065E-2</v>
      </c>
    </row>
    <row r="3115" spans="1:5" x14ac:dyDescent="0.3">
      <c r="A3115" s="8">
        <v>79</v>
      </c>
      <c r="B3115" s="8">
        <v>33</v>
      </c>
      <c r="C3115" s="8">
        <v>3064</v>
      </c>
      <c r="D3115" s="16">
        <v>-3.7558979999999999E-2</v>
      </c>
      <c r="E3115" s="8">
        <v>-1.8779489999999999E-2</v>
      </c>
    </row>
    <row r="3116" spans="1:5" x14ac:dyDescent="0.3">
      <c r="A3116" s="8">
        <v>79</v>
      </c>
      <c r="B3116" s="8">
        <v>34</v>
      </c>
      <c r="C3116" s="8">
        <v>3054</v>
      </c>
      <c r="D3116" s="16">
        <v>1.552954E-2</v>
      </c>
      <c r="E3116" s="8">
        <v>7.7647699999999998E-3</v>
      </c>
    </row>
    <row r="3117" spans="1:5" x14ac:dyDescent="0.3">
      <c r="A3117" s="8">
        <v>79</v>
      </c>
      <c r="B3117" s="8">
        <v>35</v>
      </c>
      <c r="C3117" s="8">
        <v>3046</v>
      </c>
      <c r="D3117" s="16">
        <v>6.4519950000000006E-2</v>
      </c>
      <c r="E3117" s="8">
        <v>3.2259975000000003E-2</v>
      </c>
    </row>
    <row r="3118" spans="1:5" x14ac:dyDescent="0.3">
      <c r="A3118" s="8">
        <v>79</v>
      </c>
      <c r="B3118" s="8">
        <v>36</v>
      </c>
      <c r="C3118" s="8">
        <v>3059</v>
      </c>
      <c r="D3118" s="16">
        <v>-4.4425249999999999E-2</v>
      </c>
      <c r="E3118" s="8">
        <v>-2.2212625E-2</v>
      </c>
    </row>
    <row r="3119" spans="1:5" x14ac:dyDescent="0.3">
      <c r="A3119" s="8">
        <v>79</v>
      </c>
      <c r="B3119" s="8">
        <v>37</v>
      </c>
      <c r="C3119" s="8">
        <v>3021</v>
      </c>
      <c r="D3119" s="16">
        <v>8.9173729999999993E-3</v>
      </c>
      <c r="E3119" s="8">
        <v>4.4586864999999996E-3</v>
      </c>
    </row>
    <row r="3120" spans="1:5" x14ac:dyDescent="0.3">
      <c r="A3120" s="8">
        <v>79</v>
      </c>
      <c r="B3120" s="8">
        <v>38</v>
      </c>
      <c r="C3120" s="8">
        <v>3064</v>
      </c>
      <c r="D3120" s="16">
        <v>-2.012233E-3</v>
      </c>
      <c r="E3120" s="8">
        <v>-1.0061165E-3</v>
      </c>
    </row>
    <row r="3121" spans="1:5" x14ac:dyDescent="0.3">
      <c r="A3121" s="8">
        <v>79</v>
      </c>
      <c r="B3121" s="8">
        <v>39</v>
      </c>
      <c r="C3121" s="8">
        <v>3055</v>
      </c>
      <c r="D3121" s="16">
        <v>-9.5502550000000005E-3</v>
      </c>
      <c r="E3121" s="8">
        <v>-4.7751275000000003E-3</v>
      </c>
    </row>
    <row r="3122" spans="1:5" x14ac:dyDescent="0.3">
      <c r="A3122" s="8">
        <v>79</v>
      </c>
      <c r="B3122" s="8">
        <v>40</v>
      </c>
      <c r="C3122" s="8">
        <v>3054</v>
      </c>
      <c r="D3122" s="16">
        <v>2.7201719999999999E-2</v>
      </c>
      <c r="E3122" s="8">
        <v>1.3600859999999999E-2</v>
      </c>
    </row>
    <row r="3123" spans="1:5" x14ac:dyDescent="0.3">
      <c r="A3123" s="8">
        <v>79</v>
      </c>
      <c r="B3123" s="8">
        <v>41</v>
      </c>
      <c r="C3123" s="8">
        <v>3030</v>
      </c>
      <c r="D3123" s="16">
        <v>1.1637929999999999E-2</v>
      </c>
      <c r="E3123" s="8">
        <v>5.8189649999999997E-3</v>
      </c>
    </row>
    <row r="3124" spans="1:5" x14ac:dyDescent="0.3">
      <c r="A3124" s="8">
        <v>79</v>
      </c>
      <c r="B3124" s="8">
        <v>42</v>
      </c>
      <c r="C3124" s="8">
        <v>3017</v>
      </c>
      <c r="D3124" s="16">
        <v>-8.0089949999999997E-3</v>
      </c>
      <c r="E3124" s="8">
        <v>-4.0044974999999998E-3</v>
      </c>
    </row>
    <row r="3125" spans="1:5" x14ac:dyDescent="0.3">
      <c r="A3125" s="8">
        <v>79</v>
      </c>
      <c r="B3125" s="8">
        <v>43</v>
      </c>
      <c r="C3125" s="8">
        <v>3038</v>
      </c>
      <c r="D3125" s="16">
        <v>-2.303171E-2</v>
      </c>
      <c r="E3125" s="8">
        <v>-1.1515855E-2</v>
      </c>
    </row>
    <row r="3126" spans="1:5" x14ac:dyDescent="0.3">
      <c r="A3126" s="8">
        <v>79</v>
      </c>
      <c r="B3126" s="8">
        <v>44</v>
      </c>
      <c r="C3126" s="8">
        <v>3022</v>
      </c>
      <c r="D3126" s="16">
        <v>-1.43196E-2</v>
      </c>
      <c r="E3126" s="8">
        <v>-7.1598E-3</v>
      </c>
    </row>
    <row r="3127" spans="1:5" x14ac:dyDescent="0.3">
      <c r="A3127" s="8">
        <v>79</v>
      </c>
      <c r="B3127" s="8">
        <v>45</v>
      </c>
      <c r="C3127" s="8">
        <v>3052</v>
      </c>
      <c r="D3127" s="16">
        <v>-5.2012589999999997E-3</v>
      </c>
      <c r="E3127" s="8">
        <v>-2.6006294999999999E-3</v>
      </c>
    </row>
    <row r="3128" spans="1:5" x14ac:dyDescent="0.3">
      <c r="A3128" s="8">
        <v>79</v>
      </c>
      <c r="B3128" s="8">
        <v>46</v>
      </c>
      <c r="C3128" s="8">
        <v>3039</v>
      </c>
      <c r="D3128" s="16">
        <v>1.5998040000000002E-2</v>
      </c>
      <c r="E3128" s="8">
        <v>7.9990200000000008E-3</v>
      </c>
    </row>
    <row r="3129" spans="1:5" x14ac:dyDescent="0.3">
      <c r="A3129" s="8">
        <v>79</v>
      </c>
      <c r="B3129" s="8">
        <v>47</v>
      </c>
      <c r="C3129" s="8">
        <v>3027</v>
      </c>
      <c r="D3129" s="16">
        <v>-1.370297E-2</v>
      </c>
      <c r="E3129" s="8">
        <v>-6.851485E-3</v>
      </c>
    </row>
    <row r="3130" spans="1:5" x14ac:dyDescent="0.3">
      <c r="A3130" s="8">
        <v>79</v>
      </c>
      <c r="B3130" s="8">
        <v>48</v>
      </c>
      <c r="C3130" s="8">
        <v>3049</v>
      </c>
      <c r="D3130" s="16">
        <v>-3.8918210000000002E-2</v>
      </c>
      <c r="E3130" s="8">
        <v>-1.9459105000000001E-2</v>
      </c>
    </row>
    <row r="3131" spans="1:5" x14ac:dyDescent="0.3">
      <c r="A3131" s="8">
        <v>79</v>
      </c>
      <c r="B3131" s="8">
        <v>49</v>
      </c>
      <c r="C3131" s="8">
        <v>3016</v>
      </c>
      <c r="D3131" s="16">
        <v>-5.925979E-2</v>
      </c>
      <c r="E3131" s="8">
        <v>-2.9629895E-2</v>
      </c>
    </row>
    <row r="3132" spans="1:5" x14ac:dyDescent="0.3">
      <c r="A3132" s="8">
        <v>79</v>
      </c>
      <c r="B3132" s="8">
        <v>50</v>
      </c>
      <c r="C3132" s="8">
        <v>3064</v>
      </c>
      <c r="D3132" s="16">
        <v>-8.4711999999999999E-3</v>
      </c>
      <c r="E3132" s="8">
        <v>-4.2356E-3</v>
      </c>
    </row>
    <row r="3133" spans="1:5" x14ac:dyDescent="0.3">
      <c r="A3133" s="8">
        <v>79</v>
      </c>
      <c r="B3133" s="8">
        <v>51</v>
      </c>
      <c r="C3133" s="8">
        <v>3041</v>
      </c>
      <c r="D3133" s="16">
        <v>-4.3490540000000001E-2</v>
      </c>
      <c r="E3133" s="8">
        <v>-2.1745270000000001E-2</v>
      </c>
    </row>
    <row r="3134" spans="1:5" x14ac:dyDescent="0.3">
      <c r="A3134" s="8">
        <v>79</v>
      </c>
      <c r="B3134" s="8">
        <v>52</v>
      </c>
      <c r="C3134" s="8">
        <v>3042</v>
      </c>
      <c r="D3134" s="16">
        <v>-5.1130259999999997E-2</v>
      </c>
      <c r="E3134" s="8">
        <v>-2.5565129999999998E-2</v>
      </c>
    </row>
    <row r="3135" spans="1:5" x14ac:dyDescent="0.3">
      <c r="A3135" s="8">
        <v>79</v>
      </c>
      <c r="B3135" s="8">
        <v>53</v>
      </c>
      <c r="C3135" s="8">
        <v>3046</v>
      </c>
      <c r="D3135" s="16">
        <v>8.5081819999999996E-3</v>
      </c>
      <c r="E3135" s="8">
        <v>4.2540909999999998E-3</v>
      </c>
    </row>
    <row r="3136" spans="1:5" x14ac:dyDescent="0.3">
      <c r="A3136" s="8">
        <v>79</v>
      </c>
      <c r="B3136" s="8">
        <v>54</v>
      </c>
      <c r="C3136" s="8">
        <v>3035</v>
      </c>
      <c r="D3136" s="16">
        <v>-3.8236159999999998E-2</v>
      </c>
      <c r="E3136" s="8">
        <v>-1.9118079999999999E-2</v>
      </c>
    </row>
    <row r="3137" spans="1:5" x14ac:dyDescent="0.3">
      <c r="A3137" s="8">
        <v>79</v>
      </c>
      <c r="B3137" s="8">
        <v>55</v>
      </c>
      <c r="C3137" s="8">
        <v>3051</v>
      </c>
      <c r="D3137" s="16">
        <v>-2.9044279999999999E-2</v>
      </c>
      <c r="E3137" s="8">
        <v>-1.4522139999999999E-2</v>
      </c>
    </row>
    <row r="3138" spans="1:5" x14ac:dyDescent="0.3">
      <c r="A3138" s="8">
        <v>79</v>
      </c>
      <c r="B3138" s="8">
        <v>56</v>
      </c>
      <c r="C3138" s="8">
        <v>3053</v>
      </c>
      <c r="D3138" s="16">
        <v>1.3698409999999999E-3</v>
      </c>
      <c r="E3138" s="8">
        <v>6.8492049999999995E-4</v>
      </c>
    </row>
    <row r="3139" spans="1:5" x14ac:dyDescent="0.3">
      <c r="A3139" s="8">
        <v>79</v>
      </c>
      <c r="B3139" s="8">
        <v>57</v>
      </c>
      <c r="C3139" s="8">
        <v>3068</v>
      </c>
      <c r="D3139" s="16">
        <v>-4.1328919999999998E-2</v>
      </c>
      <c r="E3139" s="8">
        <v>-2.0664459999999999E-2</v>
      </c>
    </row>
    <row r="3140" spans="1:5" x14ac:dyDescent="0.3">
      <c r="A3140" s="8">
        <v>79</v>
      </c>
      <c r="B3140" s="8">
        <v>58</v>
      </c>
      <c r="C3140" s="8">
        <v>3055</v>
      </c>
      <c r="D3140" s="16">
        <v>1.628864E-2</v>
      </c>
      <c r="E3140" s="8">
        <v>8.14432E-3</v>
      </c>
    </row>
    <row r="3141" spans="1:5" x14ac:dyDescent="0.3">
      <c r="A3141" s="8">
        <v>79</v>
      </c>
      <c r="B3141" s="8">
        <v>59</v>
      </c>
      <c r="C3141" s="8">
        <v>3059</v>
      </c>
      <c r="D3141" s="16">
        <v>3.937367E-2</v>
      </c>
      <c r="E3141" s="8">
        <v>1.9686835E-2</v>
      </c>
    </row>
    <row r="3142" spans="1:5" x14ac:dyDescent="0.3">
      <c r="A3142" s="8">
        <v>79</v>
      </c>
      <c r="B3142" s="8">
        <v>60</v>
      </c>
      <c r="C3142" s="8">
        <v>3050</v>
      </c>
      <c r="D3142" s="16">
        <v>-4.3755460000000003E-2</v>
      </c>
      <c r="E3142" s="8">
        <v>-2.1877730000000001E-2</v>
      </c>
    </row>
    <row r="3143" spans="1:5" x14ac:dyDescent="0.3">
      <c r="A3143" s="8">
        <v>79</v>
      </c>
      <c r="B3143" s="8">
        <v>61</v>
      </c>
      <c r="C3143" s="8">
        <v>3052</v>
      </c>
      <c r="D3143" s="16">
        <v>-2.5453739999999999E-2</v>
      </c>
      <c r="E3143" s="8">
        <v>-1.272687E-2</v>
      </c>
    </row>
    <row r="3144" spans="1:5" x14ac:dyDescent="0.3">
      <c r="A3144" s="8">
        <v>79</v>
      </c>
      <c r="B3144" s="8">
        <v>62</v>
      </c>
      <c r="C3144" s="8">
        <v>3053</v>
      </c>
      <c r="D3144" s="16">
        <v>-2.886849E-2</v>
      </c>
      <c r="E3144" s="8">
        <v>-1.4434245E-2</v>
      </c>
    </row>
    <row r="3145" spans="1:5" x14ac:dyDescent="0.3">
      <c r="A3145" s="8">
        <v>79</v>
      </c>
      <c r="B3145" s="8">
        <v>63</v>
      </c>
      <c r="C3145" s="8">
        <v>3050</v>
      </c>
      <c r="D3145" s="16">
        <v>-2.2954680000000002E-2</v>
      </c>
      <c r="E3145" s="8">
        <v>-1.1477340000000001E-2</v>
      </c>
    </row>
    <row r="3146" spans="1:5" x14ac:dyDescent="0.3">
      <c r="A3146" s="8">
        <v>79</v>
      </c>
      <c r="B3146" s="8">
        <v>64</v>
      </c>
      <c r="C3146" s="8">
        <v>3047</v>
      </c>
      <c r="D3146" s="16">
        <v>-2.5184290000000002E-2</v>
      </c>
      <c r="E3146" s="8">
        <v>-1.2592145000000001E-2</v>
      </c>
    </row>
    <row r="3147" spans="1:5" x14ac:dyDescent="0.3">
      <c r="A3147" s="8">
        <v>79</v>
      </c>
      <c r="B3147" s="8">
        <v>65</v>
      </c>
      <c r="C3147" s="8">
        <v>3050</v>
      </c>
      <c r="D3147" s="16">
        <v>-5.2893309999999999E-2</v>
      </c>
      <c r="E3147" s="8">
        <v>-2.6446654999999999E-2</v>
      </c>
    </row>
    <row r="3148" spans="1:5" x14ac:dyDescent="0.3">
      <c r="A3148" s="8">
        <v>79</v>
      </c>
      <c r="B3148" s="8">
        <v>66</v>
      </c>
      <c r="C3148" s="8">
        <v>3054</v>
      </c>
      <c r="D3148" s="16">
        <v>-4.4888089999999999E-2</v>
      </c>
      <c r="E3148" s="8">
        <v>-2.2444044999999999E-2</v>
      </c>
    </row>
    <row r="3149" spans="1:5" x14ac:dyDescent="0.3">
      <c r="A3149" s="8">
        <v>79</v>
      </c>
      <c r="B3149" s="8">
        <v>67</v>
      </c>
      <c r="C3149" s="8">
        <v>3042</v>
      </c>
      <c r="D3149" s="16">
        <v>4.5887249999999997E-2</v>
      </c>
      <c r="E3149" s="8">
        <v>2.2943624999999999E-2</v>
      </c>
    </row>
    <row r="3150" spans="1:5" x14ac:dyDescent="0.3">
      <c r="A3150" s="8">
        <v>79</v>
      </c>
      <c r="B3150" s="8">
        <v>68</v>
      </c>
      <c r="C3150" s="8">
        <v>3038</v>
      </c>
      <c r="D3150" s="16">
        <v>1.658662E-2</v>
      </c>
      <c r="E3150" s="8">
        <v>8.2933099999999999E-3</v>
      </c>
    </row>
    <row r="3151" spans="1:5" x14ac:dyDescent="0.3">
      <c r="A3151" s="8">
        <v>79</v>
      </c>
      <c r="B3151" s="8">
        <v>69</v>
      </c>
      <c r="C3151" s="8">
        <v>3047</v>
      </c>
      <c r="D3151" s="16">
        <v>-4.3513370000000003E-2</v>
      </c>
      <c r="E3151" s="8">
        <v>-2.1756685000000001E-2</v>
      </c>
    </row>
    <row r="3152" spans="1:5" x14ac:dyDescent="0.3">
      <c r="A3152" s="8">
        <v>79</v>
      </c>
      <c r="B3152" s="8">
        <v>70</v>
      </c>
      <c r="C3152" s="8">
        <v>3055</v>
      </c>
      <c r="D3152" s="16">
        <v>-4.5667239999999998E-2</v>
      </c>
      <c r="E3152" s="8">
        <v>-2.2833619999999999E-2</v>
      </c>
    </row>
    <row r="3153" spans="1:5" x14ac:dyDescent="0.3">
      <c r="A3153" s="8">
        <v>79</v>
      </c>
      <c r="B3153" s="8">
        <v>71</v>
      </c>
      <c r="C3153" s="8">
        <v>3042</v>
      </c>
      <c r="D3153" s="16">
        <v>-2.3313420000000001E-2</v>
      </c>
      <c r="E3153" s="8">
        <v>-1.1656710000000001E-2</v>
      </c>
    </row>
    <row r="3154" spans="1:5" x14ac:dyDescent="0.3">
      <c r="A3154" s="8">
        <v>79</v>
      </c>
      <c r="B3154" s="8">
        <v>72</v>
      </c>
      <c r="C3154" s="8">
        <v>3039</v>
      </c>
      <c r="D3154" s="16">
        <v>1.061809E-2</v>
      </c>
      <c r="E3154" s="8">
        <v>5.3090450000000001E-3</v>
      </c>
    </row>
    <row r="3155" spans="1:5" x14ac:dyDescent="0.3">
      <c r="A3155" s="8">
        <v>79</v>
      </c>
      <c r="B3155" s="8">
        <v>73</v>
      </c>
      <c r="C3155" s="8">
        <v>3061</v>
      </c>
      <c r="D3155" s="16">
        <v>-6.3162510000000002E-3</v>
      </c>
      <c r="E3155" s="8">
        <v>-3.1581255000000001E-3</v>
      </c>
    </row>
    <row r="3156" spans="1:5" x14ac:dyDescent="0.3">
      <c r="A3156" s="8">
        <v>79</v>
      </c>
      <c r="B3156" s="8">
        <v>74</v>
      </c>
      <c r="C3156" s="8">
        <v>3040</v>
      </c>
      <c r="D3156" s="16">
        <v>3.1685869999999998E-2</v>
      </c>
      <c r="E3156" s="8">
        <v>1.5842934999999999E-2</v>
      </c>
    </row>
    <row r="3157" spans="1:5" x14ac:dyDescent="0.3">
      <c r="A3157" s="8">
        <v>79</v>
      </c>
      <c r="B3157" s="8">
        <v>75</v>
      </c>
      <c r="C3157" s="8">
        <v>3050</v>
      </c>
      <c r="D3157" s="16">
        <v>-5.6354389999999997E-2</v>
      </c>
      <c r="E3157" s="8">
        <v>-2.8177194999999999E-2</v>
      </c>
    </row>
    <row r="3158" spans="1:5" x14ac:dyDescent="0.3">
      <c r="A3158" s="8">
        <v>79</v>
      </c>
      <c r="B3158" s="8">
        <v>76</v>
      </c>
      <c r="C3158" s="8">
        <v>3048</v>
      </c>
      <c r="D3158" s="16">
        <v>4.3303940000000004E-3</v>
      </c>
      <c r="E3158" s="8">
        <v>2.1651970000000002E-3</v>
      </c>
    </row>
    <row r="3159" spans="1:5" x14ac:dyDescent="0.3">
      <c r="A3159" s="8">
        <v>79</v>
      </c>
      <c r="B3159" s="8">
        <v>77</v>
      </c>
      <c r="C3159" s="8">
        <v>3041</v>
      </c>
      <c r="D3159" s="16">
        <v>-5.1936259999999998E-2</v>
      </c>
      <c r="E3159" s="8">
        <v>-2.5968129999999999E-2</v>
      </c>
    </row>
    <row r="3160" spans="1:5" x14ac:dyDescent="0.3">
      <c r="A3160" s="8">
        <v>79</v>
      </c>
      <c r="B3160" s="8">
        <v>78</v>
      </c>
      <c r="C3160" s="8">
        <v>3048</v>
      </c>
      <c r="D3160" s="16">
        <v>2.975896E-3</v>
      </c>
      <c r="E3160" s="8">
        <v>1.487948E-3</v>
      </c>
    </row>
    <row r="3161" spans="1:5" x14ac:dyDescent="0.3">
      <c r="A3161" s="8">
        <v>79</v>
      </c>
      <c r="B3161" s="8">
        <v>79</v>
      </c>
      <c r="C3161" s="8">
        <v>3147</v>
      </c>
      <c r="D3161" s="16">
        <v>1.082138</v>
      </c>
      <c r="E3161" s="8"/>
    </row>
    <row r="3162" spans="1:5" x14ac:dyDescent="0.3">
      <c r="A3162" s="8">
        <v>80</v>
      </c>
      <c r="B3162" s="8">
        <v>1</v>
      </c>
      <c r="C3162" s="8">
        <v>3060</v>
      </c>
      <c r="D3162" s="16">
        <v>-4.4934170000000002E-2</v>
      </c>
      <c r="E3162" s="8">
        <v>-2.2467085000000001E-2</v>
      </c>
    </row>
    <row r="3163" spans="1:5" x14ac:dyDescent="0.3">
      <c r="A3163" s="8">
        <v>80</v>
      </c>
      <c r="B3163" s="8">
        <v>2</v>
      </c>
      <c r="C3163" s="8">
        <v>3031</v>
      </c>
      <c r="D3163" s="16">
        <v>-1.125226E-2</v>
      </c>
      <c r="E3163" s="8">
        <v>-5.62613E-3</v>
      </c>
    </row>
    <row r="3164" spans="1:5" x14ac:dyDescent="0.3">
      <c r="A3164" s="8">
        <v>80</v>
      </c>
      <c r="B3164" s="8">
        <v>3</v>
      </c>
      <c r="C3164" s="8">
        <v>3056</v>
      </c>
      <c r="D3164" s="16">
        <v>-3.0352629999999999E-2</v>
      </c>
      <c r="E3164" s="8">
        <v>-1.5176314999999999E-2</v>
      </c>
    </row>
    <row r="3165" spans="1:5" x14ac:dyDescent="0.3">
      <c r="A3165" s="8">
        <v>80</v>
      </c>
      <c r="B3165" s="8">
        <v>4</v>
      </c>
      <c r="C3165" s="8">
        <v>3035</v>
      </c>
      <c r="D3165" s="16">
        <v>-4.6919799999999998E-2</v>
      </c>
      <c r="E3165" s="8">
        <v>-2.3459899999999999E-2</v>
      </c>
    </row>
    <row r="3166" spans="1:5" x14ac:dyDescent="0.3">
      <c r="A3166" s="8">
        <v>80</v>
      </c>
      <c r="B3166" s="8">
        <v>5</v>
      </c>
      <c r="C3166" s="8">
        <v>3023</v>
      </c>
      <c r="D3166" s="16">
        <v>-9.5959230000000006E-2</v>
      </c>
      <c r="E3166" s="8">
        <v>-4.7979615000000003E-2</v>
      </c>
    </row>
    <row r="3167" spans="1:5" x14ac:dyDescent="0.3">
      <c r="A3167" s="8">
        <v>80</v>
      </c>
      <c r="B3167" s="8">
        <v>6</v>
      </c>
      <c r="C3167" s="8">
        <v>3038</v>
      </c>
      <c r="D3167" s="16">
        <v>-2.1787819999999999E-2</v>
      </c>
      <c r="E3167" s="8">
        <v>-1.089391E-2</v>
      </c>
    </row>
    <row r="3168" spans="1:5" x14ac:dyDescent="0.3">
      <c r="A3168" s="8">
        <v>80</v>
      </c>
      <c r="B3168" s="8">
        <v>7</v>
      </c>
      <c r="C3168" s="8">
        <v>3035</v>
      </c>
      <c r="D3168" s="16">
        <v>-3.1480180000000003E-2</v>
      </c>
      <c r="E3168" s="8">
        <v>-1.5740090000000002E-2</v>
      </c>
    </row>
    <row r="3169" spans="1:5" x14ac:dyDescent="0.3">
      <c r="A3169" s="8">
        <v>80</v>
      </c>
      <c r="B3169" s="8">
        <v>8</v>
      </c>
      <c r="C3169" s="8">
        <v>3053</v>
      </c>
      <c r="D3169" s="16">
        <v>-3.7593370000000001E-2</v>
      </c>
      <c r="E3169" s="8">
        <v>-1.8796685E-2</v>
      </c>
    </row>
    <row r="3170" spans="1:5" x14ac:dyDescent="0.3">
      <c r="A3170" s="8">
        <v>80</v>
      </c>
      <c r="B3170" s="8">
        <v>9</v>
      </c>
      <c r="C3170" s="8">
        <v>3047</v>
      </c>
      <c r="D3170" s="16">
        <v>-4.8853269999999997E-2</v>
      </c>
      <c r="E3170" s="8">
        <v>-2.4426634999999999E-2</v>
      </c>
    </row>
    <row r="3171" spans="1:5" x14ac:dyDescent="0.3">
      <c r="A3171" s="8">
        <v>80</v>
      </c>
      <c r="B3171" s="8">
        <v>10</v>
      </c>
      <c r="C3171" s="8">
        <v>3034</v>
      </c>
      <c r="D3171" s="16">
        <v>2.2284100000000001E-3</v>
      </c>
      <c r="E3171" s="8">
        <v>1.1142050000000001E-3</v>
      </c>
    </row>
    <row r="3172" spans="1:5" x14ac:dyDescent="0.3">
      <c r="A3172" s="8">
        <v>80</v>
      </c>
      <c r="B3172" s="8">
        <v>11</v>
      </c>
      <c r="C3172" s="8">
        <v>3032</v>
      </c>
      <c r="D3172" s="16">
        <v>-6.1948929999999999E-2</v>
      </c>
      <c r="E3172" s="8">
        <v>-3.0974465E-2</v>
      </c>
    </row>
    <row r="3173" spans="1:5" x14ac:dyDescent="0.3">
      <c r="A3173" s="8">
        <v>80</v>
      </c>
      <c r="B3173" s="8">
        <v>12</v>
      </c>
      <c r="C3173" s="8">
        <v>3055</v>
      </c>
      <c r="D3173" s="16">
        <v>6.5006650000000001E-3</v>
      </c>
      <c r="E3173" s="8">
        <v>3.2503325E-3</v>
      </c>
    </row>
    <row r="3174" spans="1:5" x14ac:dyDescent="0.3">
      <c r="A3174" s="8">
        <v>80</v>
      </c>
      <c r="B3174" s="8">
        <v>13</v>
      </c>
      <c r="C3174" s="8">
        <v>3033</v>
      </c>
      <c r="D3174" s="16">
        <v>1.423103E-2</v>
      </c>
      <c r="E3174" s="8">
        <v>7.1155150000000002E-3</v>
      </c>
    </row>
    <row r="3175" spans="1:5" x14ac:dyDescent="0.3">
      <c r="A3175" s="8">
        <v>80</v>
      </c>
      <c r="B3175" s="8">
        <v>14</v>
      </c>
      <c r="C3175" s="8">
        <v>3035</v>
      </c>
      <c r="D3175" s="16">
        <v>4.4362739999999996E-3</v>
      </c>
      <c r="E3175" s="8">
        <v>2.2181369999999998E-3</v>
      </c>
    </row>
    <row r="3176" spans="1:5" x14ac:dyDescent="0.3">
      <c r="A3176" s="8">
        <v>80</v>
      </c>
      <c r="B3176" s="8">
        <v>15</v>
      </c>
      <c r="C3176" s="8">
        <v>3042</v>
      </c>
      <c r="D3176" s="16">
        <v>1.8169029999999999E-2</v>
      </c>
      <c r="E3176" s="8">
        <v>9.0845149999999996E-3</v>
      </c>
    </row>
    <row r="3177" spans="1:5" x14ac:dyDescent="0.3">
      <c r="A3177" s="8">
        <v>80</v>
      </c>
      <c r="B3177" s="8">
        <v>16</v>
      </c>
      <c r="C3177" s="8">
        <v>3045</v>
      </c>
      <c r="D3177" s="16">
        <v>-4.9133789999999997E-2</v>
      </c>
      <c r="E3177" s="8">
        <v>-2.4566894999999998E-2</v>
      </c>
    </row>
    <row r="3178" spans="1:5" x14ac:dyDescent="0.3">
      <c r="A3178" s="8">
        <v>80</v>
      </c>
      <c r="B3178" s="8">
        <v>17</v>
      </c>
      <c r="C3178" s="8">
        <v>3044</v>
      </c>
      <c r="D3178" s="16">
        <v>-2.1694350000000001E-2</v>
      </c>
      <c r="E3178" s="8">
        <v>-1.0847175000000001E-2</v>
      </c>
    </row>
    <row r="3179" spans="1:5" x14ac:dyDescent="0.3">
      <c r="A3179" s="8">
        <v>80</v>
      </c>
      <c r="B3179" s="8">
        <v>18</v>
      </c>
      <c r="C3179" s="8">
        <v>3060</v>
      </c>
      <c r="D3179" s="16">
        <v>-2.2923269999999999E-2</v>
      </c>
      <c r="E3179" s="8">
        <v>-1.1461635E-2</v>
      </c>
    </row>
    <row r="3180" spans="1:5" x14ac:dyDescent="0.3">
      <c r="A3180" s="8">
        <v>80</v>
      </c>
      <c r="B3180" s="8">
        <v>19</v>
      </c>
      <c r="C3180" s="8">
        <v>3046</v>
      </c>
      <c r="D3180" s="16">
        <v>-1.1854389999999999E-2</v>
      </c>
      <c r="E3180" s="8">
        <v>-5.9271949999999997E-3</v>
      </c>
    </row>
    <row r="3181" spans="1:5" x14ac:dyDescent="0.3">
      <c r="A3181" s="8">
        <v>80</v>
      </c>
      <c r="B3181" s="8">
        <v>20</v>
      </c>
      <c r="C3181" s="8">
        <v>3051</v>
      </c>
      <c r="D3181" s="16">
        <v>-1.899029E-2</v>
      </c>
      <c r="E3181" s="8">
        <v>-9.495145E-3</v>
      </c>
    </row>
    <row r="3182" spans="1:5" x14ac:dyDescent="0.3">
      <c r="A3182" s="8">
        <v>80</v>
      </c>
      <c r="B3182" s="8">
        <v>21</v>
      </c>
      <c r="C3182" s="8">
        <v>3048</v>
      </c>
      <c r="D3182" s="16">
        <v>-6.5861599999999998E-3</v>
      </c>
      <c r="E3182" s="8">
        <v>-3.2930799999999999E-3</v>
      </c>
    </row>
    <row r="3183" spans="1:5" x14ac:dyDescent="0.3">
      <c r="A3183" s="8">
        <v>80</v>
      </c>
      <c r="B3183" s="8">
        <v>22</v>
      </c>
      <c r="C3183" s="8">
        <v>3036</v>
      </c>
      <c r="D3183" s="16">
        <v>1.940006E-2</v>
      </c>
      <c r="E3183" s="8">
        <v>9.7000300000000001E-3</v>
      </c>
    </row>
    <row r="3184" spans="1:5" x14ac:dyDescent="0.3">
      <c r="A3184" s="8">
        <v>80</v>
      </c>
      <c r="B3184" s="8">
        <v>23</v>
      </c>
      <c r="C3184" s="8">
        <v>3032</v>
      </c>
      <c r="D3184" s="16">
        <v>1.9841889999999999E-3</v>
      </c>
      <c r="E3184" s="8">
        <v>9.9209449999999996E-4</v>
      </c>
    </row>
    <row r="3185" spans="1:5" x14ac:dyDescent="0.3">
      <c r="A3185" s="8">
        <v>80</v>
      </c>
      <c r="B3185" s="8">
        <v>24</v>
      </c>
      <c r="C3185" s="8">
        <v>3059</v>
      </c>
      <c r="D3185" s="16">
        <v>-6.3556569999999998E-3</v>
      </c>
      <c r="E3185" s="8">
        <v>-3.1778284999999999E-3</v>
      </c>
    </row>
    <row r="3186" spans="1:5" x14ac:dyDescent="0.3">
      <c r="A3186" s="8">
        <v>80</v>
      </c>
      <c r="B3186" s="8">
        <v>25</v>
      </c>
      <c r="C3186" s="8">
        <v>3046</v>
      </c>
      <c r="D3186" s="16">
        <v>-9.5334110000000003E-3</v>
      </c>
      <c r="E3186" s="8">
        <v>-4.7667055000000002E-3</v>
      </c>
    </row>
    <row r="3187" spans="1:5" x14ac:dyDescent="0.3">
      <c r="A3187" s="8">
        <v>80</v>
      </c>
      <c r="B3187" s="8">
        <v>26</v>
      </c>
      <c r="C3187" s="8">
        <v>3053</v>
      </c>
      <c r="D3187" s="16">
        <v>-2.8230129999999999E-2</v>
      </c>
      <c r="E3187" s="8">
        <v>-1.4115065E-2</v>
      </c>
    </row>
    <row r="3188" spans="1:5" x14ac:dyDescent="0.3">
      <c r="A3188" s="8">
        <v>80</v>
      </c>
      <c r="B3188" s="8">
        <v>27</v>
      </c>
      <c r="C3188" s="8">
        <v>3059</v>
      </c>
      <c r="D3188" s="16">
        <v>-1.280091E-2</v>
      </c>
      <c r="E3188" s="8">
        <v>-6.4004550000000002E-3</v>
      </c>
    </row>
    <row r="3189" spans="1:5" x14ac:dyDescent="0.3">
      <c r="A3189" s="8">
        <v>80</v>
      </c>
      <c r="B3189" s="8">
        <v>28</v>
      </c>
      <c r="C3189" s="8">
        <v>3027</v>
      </c>
      <c r="D3189" s="16">
        <v>2.7219219999999999E-2</v>
      </c>
      <c r="E3189" s="8">
        <v>1.3609609999999999E-2</v>
      </c>
    </row>
    <row r="3190" spans="1:5" x14ac:dyDescent="0.3">
      <c r="A3190" s="8">
        <v>80</v>
      </c>
      <c r="B3190" s="8">
        <v>29</v>
      </c>
      <c r="C3190" s="8">
        <v>3034</v>
      </c>
      <c r="D3190" s="16">
        <v>-4.5311650000000002E-2</v>
      </c>
      <c r="E3190" s="8">
        <v>-2.2655825000000001E-2</v>
      </c>
    </row>
    <row r="3191" spans="1:5" x14ac:dyDescent="0.3">
      <c r="A3191" s="8">
        <v>80</v>
      </c>
      <c r="B3191" s="8">
        <v>30</v>
      </c>
      <c r="C3191" s="8">
        <v>3041</v>
      </c>
      <c r="D3191" s="16">
        <v>9.9650610000000008E-3</v>
      </c>
      <c r="E3191" s="8">
        <v>4.9825305000000004E-3</v>
      </c>
    </row>
    <row r="3192" spans="1:5" x14ac:dyDescent="0.3">
      <c r="A3192" s="8">
        <v>80</v>
      </c>
      <c r="B3192" s="8">
        <v>31</v>
      </c>
      <c r="C3192" s="8">
        <v>2966</v>
      </c>
      <c r="D3192" s="16">
        <v>-1.192142E-2</v>
      </c>
      <c r="E3192" s="8">
        <v>-5.9607100000000001E-3</v>
      </c>
    </row>
    <row r="3193" spans="1:5" x14ac:dyDescent="0.3">
      <c r="A3193" s="8">
        <v>80</v>
      </c>
      <c r="B3193" s="8">
        <v>32</v>
      </c>
      <c r="C3193" s="8">
        <v>3031</v>
      </c>
      <c r="D3193" s="16">
        <v>-1.6113570000000001E-2</v>
      </c>
      <c r="E3193" s="8">
        <v>-8.0567850000000003E-3</v>
      </c>
    </row>
    <row r="3194" spans="1:5" x14ac:dyDescent="0.3">
      <c r="A3194" s="8">
        <v>80</v>
      </c>
      <c r="B3194" s="8">
        <v>33</v>
      </c>
      <c r="C3194" s="8">
        <v>3062</v>
      </c>
      <c r="D3194" s="16">
        <v>4.1601060000000002E-3</v>
      </c>
      <c r="E3194" s="8">
        <v>2.0800530000000001E-3</v>
      </c>
    </row>
    <row r="3195" spans="1:5" x14ac:dyDescent="0.3">
      <c r="A3195" s="8">
        <v>80</v>
      </c>
      <c r="B3195" s="8">
        <v>34</v>
      </c>
      <c r="C3195" s="8">
        <v>3052</v>
      </c>
      <c r="D3195" s="16">
        <v>-1.5987879999999999E-2</v>
      </c>
      <c r="E3195" s="8">
        <v>-7.9939399999999997E-3</v>
      </c>
    </row>
    <row r="3196" spans="1:5" x14ac:dyDescent="0.3">
      <c r="A3196" s="8">
        <v>80</v>
      </c>
      <c r="B3196" s="8">
        <v>35</v>
      </c>
      <c r="C3196" s="8">
        <v>3042</v>
      </c>
      <c r="D3196" s="16">
        <v>-4.4904289999999999E-2</v>
      </c>
      <c r="E3196" s="8">
        <v>-2.2452145E-2</v>
      </c>
    </row>
    <row r="3197" spans="1:5" x14ac:dyDescent="0.3">
      <c r="A3197" s="8">
        <v>80</v>
      </c>
      <c r="B3197" s="8">
        <v>36</v>
      </c>
      <c r="C3197" s="8">
        <v>3057</v>
      </c>
      <c r="D3197" s="16">
        <v>-7.2119379999999997E-2</v>
      </c>
      <c r="E3197" s="8">
        <v>-3.6059689999999998E-2</v>
      </c>
    </row>
    <row r="3198" spans="1:5" x14ac:dyDescent="0.3">
      <c r="A3198" s="8">
        <v>80</v>
      </c>
      <c r="B3198" s="8">
        <v>37</v>
      </c>
      <c r="C3198" s="8">
        <v>3022</v>
      </c>
      <c r="D3198" s="16">
        <v>-4.4080010000000003E-2</v>
      </c>
      <c r="E3198" s="8">
        <v>-2.2040005000000001E-2</v>
      </c>
    </row>
    <row r="3199" spans="1:5" x14ac:dyDescent="0.3">
      <c r="A3199" s="8">
        <v>80</v>
      </c>
      <c r="B3199" s="8">
        <v>38</v>
      </c>
      <c r="C3199" s="8">
        <v>3063</v>
      </c>
      <c r="D3199" s="16">
        <v>-2.1285990000000001E-2</v>
      </c>
      <c r="E3199" s="8">
        <v>-1.0642995000000001E-2</v>
      </c>
    </row>
    <row r="3200" spans="1:5" x14ac:dyDescent="0.3">
      <c r="A3200" s="8">
        <v>80</v>
      </c>
      <c r="B3200" s="8">
        <v>39</v>
      </c>
      <c r="C3200" s="8">
        <v>3054</v>
      </c>
      <c r="D3200" s="16">
        <v>1.507151E-2</v>
      </c>
      <c r="E3200" s="8">
        <v>7.5357549999999999E-3</v>
      </c>
    </row>
    <row r="3201" spans="1:5" x14ac:dyDescent="0.3">
      <c r="A3201" s="8">
        <v>80</v>
      </c>
      <c r="B3201" s="8">
        <v>40</v>
      </c>
      <c r="C3201" s="8">
        <v>3053</v>
      </c>
      <c r="D3201" s="16">
        <v>-6.0393130000000003E-2</v>
      </c>
      <c r="E3201" s="8">
        <v>-3.0196565000000002E-2</v>
      </c>
    </row>
    <row r="3202" spans="1:5" x14ac:dyDescent="0.3">
      <c r="A3202" s="8">
        <v>80</v>
      </c>
      <c r="B3202" s="8">
        <v>41</v>
      </c>
      <c r="C3202" s="8">
        <v>3023</v>
      </c>
      <c r="D3202" s="16">
        <v>-3.8966439999999998E-2</v>
      </c>
      <c r="E3202" s="8">
        <v>-1.9483219999999999E-2</v>
      </c>
    </row>
    <row r="3203" spans="1:5" x14ac:dyDescent="0.3">
      <c r="A3203" s="8">
        <v>80</v>
      </c>
      <c r="B3203" s="8">
        <v>42</v>
      </c>
      <c r="C3203" s="8">
        <v>3017</v>
      </c>
      <c r="D3203" s="16">
        <v>-2.5726590000000001E-2</v>
      </c>
      <c r="E3203" s="8">
        <v>-1.2863295E-2</v>
      </c>
    </row>
    <row r="3204" spans="1:5" x14ac:dyDescent="0.3">
      <c r="A3204" s="8">
        <v>80</v>
      </c>
      <c r="B3204" s="8">
        <v>43</v>
      </c>
      <c r="C3204" s="8">
        <v>3034</v>
      </c>
      <c r="D3204" s="16">
        <v>1.2175149999999999E-2</v>
      </c>
      <c r="E3204" s="8">
        <v>6.0875749999999996E-3</v>
      </c>
    </row>
    <row r="3205" spans="1:5" x14ac:dyDescent="0.3">
      <c r="A3205" s="8">
        <v>80</v>
      </c>
      <c r="B3205" s="8">
        <v>44</v>
      </c>
      <c r="C3205" s="8">
        <v>3014</v>
      </c>
      <c r="D3205" s="16">
        <v>-4.5236110000000003E-2</v>
      </c>
      <c r="E3205" s="8">
        <v>-2.2618055000000001E-2</v>
      </c>
    </row>
    <row r="3206" spans="1:5" x14ac:dyDescent="0.3">
      <c r="A3206" s="8">
        <v>80</v>
      </c>
      <c r="B3206" s="8">
        <v>45</v>
      </c>
      <c r="C3206" s="8">
        <v>3048</v>
      </c>
      <c r="D3206" s="16">
        <v>5.877045E-3</v>
      </c>
      <c r="E3206" s="8">
        <v>2.9385225E-3</v>
      </c>
    </row>
    <row r="3207" spans="1:5" x14ac:dyDescent="0.3">
      <c r="A3207" s="8">
        <v>80</v>
      </c>
      <c r="B3207" s="8">
        <v>46</v>
      </c>
      <c r="C3207" s="8">
        <v>3038</v>
      </c>
      <c r="D3207" s="16">
        <v>6.2593969999999999E-3</v>
      </c>
      <c r="E3207" s="8">
        <v>3.1296984999999999E-3</v>
      </c>
    </row>
    <row r="3208" spans="1:5" x14ac:dyDescent="0.3">
      <c r="A3208" s="8">
        <v>80</v>
      </c>
      <c r="B3208" s="8">
        <v>47</v>
      </c>
      <c r="C3208" s="8">
        <v>3018</v>
      </c>
      <c r="D3208" s="16">
        <v>2.1755179999999999E-2</v>
      </c>
      <c r="E3208" s="8">
        <v>1.0877589999999999E-2</v>
      </c>
    </row>
    <row r="3209" spans="1:5" x14ac:dyDescent="0.3">
      <c r="A3209" s="8">
        <v>80</v>
      </c>
      <c r="B3209" s="8">
        <v>48</v>
      </c>
      <c r="C3209" s="8">
        <v>3044</v>
      </c>
      <c r="D3209" s="16">
        <v>-1.4744760000000001E-2</v>
      </c>
      <c r="E3209" s="8">
        <v>-7.3723800000000004E-3</v>
      </c>
    </row>
    <row r="3210" spans="1:5" x14ac:dyDescent="0.3">
      <c r="A3210" s="8">
        <v>80</v>
      </c>
      <c r="B3210" s="8">
        <v>49</v>
      </c>
      <c r="C3210" s="8">
        <v>3015</v>
      </c>
      <c r="D3210" s="16">
        <v>-2.7281099999999999E-2</v>
      </c>
      <c r="E3210" s="8">
        <v>-1.364055E-2</v>
      </c>
    </row>
    <row r="3211" spans="1:5" x14ac:dyDescent="0.3">
      <c r="A3211" s="8">
        <v>80</v>
      </c>
      <c r="B3211" s="8">
        <v>50</v>
      </c>
      <c r="C3211" s="8">
        <v>3055</v>
      </c>
      <c r="D3211" s="16">
        <v>-7.018994E-4</v>
      </c>
      <c r="E3211" s="8">
        <v>-3.509497E-4</v>
      </c>
    </row>
    <row r="3212" spans="1:5" x14ac:dyDescent="0.3">
      <c r="A3212" s="8">
        <v>80</v>
      </c>
      <c r="B3212" s="8">
        <v>51</v>
      </c>
      <c r="C3212" s="8">
        <v>3037</v>
      </c>
      <c r="D3212" s="16">
        <v>-4.343731E-2</v>
      </c>
      <c r="E3212" s="8">
        <v>-2.1718655E-2</v>
      </c>
    </row>
    <row r="3213" spans="1:5" x14ac:dyDescent="0.3">
      <c r="A3213" s="8">
        <v>80</v>
      </c>
      <c r="B3213" s="8">
        <v>52</v>
      </c>
      <c r="C3213" s="8">
        <v>3040</v>
      </c>
      <c r="D3213" s="16">
        <v>-5.233732E-2</v>
      </c>
      <c r="E3213" s="8">
        <v>-2.616866E-2</v>
      </c>
    </row>
    <row r="3214" spans="1:5" x14ac:dyDescent="0.3">
      <c r="A3214" s="8">
        <v>80</v>
      </c>
      <c r="B3214" s="8">
        <v>53</v>
      </c>
      <c r="C3214" s="8">
        <v>3041</v>
      </c>
      <c r="D3214" s="16">
        <v>-2.7577770000000001E-2</v>
      </c>
      <c r="E3214" s="8">
        <v>-1.3788885000000001E-2</v>
      </c>
    </row>
    <row r="3215" spans="1:5" x14ac:dyDescent="0.3">
      <c r="A3215" s="8">
        <v>80</v>
      </c>
      <c r="B3215" s="8">
        <v>54</v>
      </c>
      <c r="C3215" s="8">
        <v>3035</v>
      </c>
      <c r="D3215" s="16">
        <v>4.187231E-4</v>
      </c>
      <c r="E3215" s="8">
        <v>2.0936155E-4</v>
      </c>
    </row>
    <row r="3216" spans="1:5" x14ac:dyDescent="0.3">
      <c r="A3216" s="8">
        <v>80</v>
      </c>
      <c r="B3216" s="8">
        <v>55</v>
      </c>
      <c r="C3216" s="8">
        <v>3051</v>
      </c>
      <c r="D3216" s="16">
        <v>1.3569329999999999E-2</v>
      </c>
      <c r="E3216" s="8">
        <v>6.7846649999999996E-3</v>
      </c>
    </row>
    <row r="3217" spans="1:5" x14ac:dyDescent="0.3">
      <c r="A3217" s="8">
        <v>80</v>
      </c>
      <c r="B3217" s="8">
        <v>56</v>
      </c>
      <c r="C3217" s="8">
        <v>3052</v>
      </c>
      <c r="D3217" s="16">
        <v>3.6807649999999997E-2</v>
      </c>
      <c r="E3217" s="8">
        <v>1.8403824999999999E-2</v>
      </c>
    </row>
    <row r="3218" spans="1:5" x14ac:dyDescent="0.3">
      <c r="A3218" s="8">
        <v>80</v>
      </c>
      <c r="B3218" s="8">
        <v>57</v>
      </c>
      <c r="C3218" s="8">
        <v>3065</v>
      </c>
      <c r="D3218" s="16">
        <v>-2.3486750000000001E-2</v>
      </c>
      <c r="E3218" s="8">
        <v>-1.1743375E-2</v>
      </c>
    </row>
    <row r="3219" spans="1:5" x14ac:dyDescent="0.3">
      <c r="A3219" s="8">
        <v>80</v>
      </c>
      <c r="B3219" s="8">
        <v>58</v>
      </c>
      <c r="C3219" s="8">
        <v>3049</v>
      </c>
      <c r="D3219" s="16">
        <v>-4.934152E-2</v>
      </c>
      <c r="E3219" s="8">
        <v>-2.467076E-2</v>
      </c>
    </row>
    <row r="3220" spans="1:5" x14ac:dyDescent="0.3">
      <c r="A3220" s="8">
        <v>80</v>
      </c>
      <c r="B3220" s="8">
        <v>59</v>
      </c>
      <c r="C3220" s="8">
        <v>3047</v>
      </c>
      <c r="D3220" s="16">
        <v>-1.520183E-2</v>
      </c>
      <c r="E3220" s="8">
        <v>-7.6009149999999998E-3</v>
      </c>
    </row>
    <row r="3221" spans="1:5" x14ac:dyDescent="0.3">
      <c r="A3221" s="8">
        <v>80</v>
      </c>
      <c r="B3221" s="8">
        <v>60</v>
      </c>
      <c r="C3221" s="8">
        <v>3038</v>
      </c>
      <c r="D3221" s="16">
        <v>3.652649E-3</v>
      </c>
      <c r="E3221" s="8">
        <v>1.8263245E-3</v>
      </c>
    </row>
    <row r="3222" spans="1:5" x14ac:dyDescent="0.3">
      <c r="A3222" s="8">
        <v>80</v>
      </c>
      <c r="B3222" s="8">
        <v>61</v>
      </c>
      <c r="C3222" s="8">
        <v>3043</v>
      </c>
      <c r="D3222" s="16">
        <v>-1.9702850000000001E-2</v>
      </c>
      <c r="E3222" s="8">
        <v>-9.8514250000000005E-3</v>
      </c>
    </row>
    <row r="3223" spans="1:5" x14ac:dyDescent="0.3">
      <c r="A3223" s="8">
        <v>80</v>
      </c>
      <c r="B3223" s="8">
        <v>62</v>
      </c>
      <c r="C3223" s="8">
        <v>3052</v>
      </c>
      <c r="D3223" s="16">
        <v>-2.4626060000000002E-2</v>
      </c>
      <c r="E3223" s="8">
        <v>-1.2313030000000001E-2</v>
      </c>
    </row>
    <row r="3224" spans="1:5" x14ac:dyDescent="0.3">
      <c r="A3224" s="8">
        <v>80</v>
      </c>
      <c r="B3224" s="8">
        <v>63</v>
      </c>
      <c r="C3224" s="8">
        <v>3049</v>
      </c>
      <c r="D3224" s="16">
        <v>8.6322459999999997E-3</v>
      </c>
      <c r="E3224" s="8">
        <v>4.3161229999999998E-3</v>
      </c>
    </row>
    <row r="3225" spans="1:5" x14ac:dyDescent="0.3">
      <c r="A3225" s="8">
        <v>80</v>
      </c>
      <c r="B3225" s="8">
        <v>64</v>
      </c>
      <c r="C3225" s="8">
        <v>3044</v>
      </c>
      <c r="D3225" s="16">
        <v>-8.6814349999999995E-3</v>
      </c>
      <c r="E3225" s="8">
        <v>-4.3407174999999997E-3</v>
      </c>
    </row>
    <row r="3226" spans="1:5" x14ac:dyDescent="0.3">
      <c r="A3226" s="8">
        <v>80</v>
      </c>
      <c r="B3226" s="8">
        <v>65</v>
      </c>
      <c r="C3226" s="8">
        <v>3047</v>
      </c>
      <c r="D3226" s="16">
        <v>2.1465919999999999E-2</v>
      </c>
      <c r="E3226" s="8">
        <v>1.073296E-2</v>
      </c>
    </row>
    <row r="3227" spans="1:5" x14ac:dyDescent="0.3">
      <c r="A3227" s="8">
        <v>80</v>
      </c>
      <c r="B3227" s="8">
        <v>66</v>
      </c>
      <c r="C3227" s="8">
        <v>3049</v>
      </c>
      <c r="D3227" s="16">
        <v>-2.632021E-3</v>
      </c>
      <c r="E3227" s="8">
        <v>-1.3160105E-3</v>
      </c>
    </row>
    <row r="3228" spans="1:5" x14ac:dyDescent="0.3">
      <c r="A3228" s="8">
        <v>80</v>
      </c>
      <c r="B3228" s="8">
        <v>67</v>
      </c>
      <c r="C3228" s="8">
        <v>3039</v>
      </c>
      <c r="D3228" s="16">
        <v>2.2121879999999999E-3</v>
      </c>
      <c r="E3228" s="8">
        <v>1.106094E-3</v>
      </c>
    </row>
    <row r="3229" spans="1:5" x14ac:dyDescent="0.3">
      <c r="A3229" s="8">
        <v>80</v>
      </c>
      <c r="B3229" s="8">
        <v>68</v>
      </c>
      <c r="C3229" s="8">
        <v>3039</v>
      </c>
      <c r="D3229" s="16">
        <v>-2.695933E-2</v>
      </c>
      <c r="E3229" s="8">
        <v>-1.3479665E-2</v>
      </c>
    </row>
    <row r="3230" spans="1:5" x14ac:dyDescent="0.3">
      <c r="A3230" s="8">
        <v>80</v>
      </c>
      <c r="B3230" s="8">
        <v>69</v>
      </c>
      <c r="C3230" s="8">
        <v>3043</v>
      </c>
      <c r="D3230" s="16">
        <v>6.5067720000000001E-3</v>
      </c>
      <c r="E3230" s="8">
        <v>3.253386E-3</v>
      </c>
    </row>
    <row r="3231" spans="1:5" x14ac:dyDescent="0.3">
      <c r="A3231" s="8">
        <v>80</v>
      </c>
      <c r="B3231" s="8">
        <v>70</v>
      </c>
      <c r="C3231" s="8">
        <v>3051</v>
      </c>
      <c r="D3231" s="16">
        <v>1.8995430000000001E-2</v>
      </c>
      <c r="E3231" s="8">
        <v>9.4977150000000003E-3</v>
      </c>
    </row>
    <row r="3232" spans="1:5" x14ac:dyDescent="0.3">
      <c r="A3232" s="8">
        <v>80</v>
      </c>
      <c r="B3232" s="8">
        <v>71</v>
      </c>
      <c r="C3232" s="8">
        <v>3040</v>
      </c>
      <c r="D3232" s="16">
        <v>3.9673260000000002E-2</v>
      </c>
      <c r="E3232" s="8">
        <v>1.9836630000000001E-2</v>
      </c>
    </row>
    <row r="3233" spans="1:5" x14ac:dyDescent="0.3">
      <c r="A3233" s="8">
        <v>80</v>
      </c>
      <c r="B3233" s="8">
        <v>72</v>
      </c>
      <c r="C3233" s="8">
        <v>3037</v>
      </c>
      <c r="D3233" s="16">
        <v>-3.6202699999999997E-2</v>
      </c>
      <c r="E3233" s="8">
        <v>-1.8101349999999999E-2</v>
      </c>
    </row>
    <row r="3234" spans="1:5" x14ac:dyDescent="0.3">
      <c r="A3234" s="8">
        <v>80</v>
      </c>
      <c r="B3234" s="8">
        <v>73</v>
      </c>
      <c r="C3234" s="8">
        <v>3056</v>
      </c>
      <c r="D3234" s="16">
        <v>-3.195518E-2</v>
      </c>
      <c r="E3234" s="8">
        <v>-1.597759E-2</v>
      </c>
    </row>
    <row r="3235" spans="1:5" x14ac:dyDescent="0.3">
      <c r="A3235" s="8">
        <v>80</v>
      </c>
      <c r="B3235" s="8">
        <v>74</v>
      </c>
      <c r="C3235" s="8">
        <v>3037</v>
      </c>
      <c r="D3235" s="16">
        <v>1.7207739999999999E-2</v>
      </c>
      <c r="E3235" s="8">
        <v>8.6038699999999996E-3</v>
      </c>
    </row>
    <row r="3236" spans="1:5" x14ac:dyDescent="0.3">
      <c r="A3236" s="8">
        <v>80</v>
      </c>
      <c r="B3236" s="8">
        <v>75</v>
      </c>
      <c r="C3236" s="8">
        <v>3048</v>
      </c>
      <c r="D3236" s="16">
        <v>-1.6664789999999999E-2</v>
      </c>
      <c r="E3236" s="8">
        <v>-8.3323949999999994E-3</v>
      </c>
    </row>
    <row r="3237" spans="1:5" x14ac:dyDescent="0.3">
      <c r="A3237" s="8">
        <v>80</v>
      </c>
      <c r="B3237" s="8">
        <v>76</v>
      </c>
      <c r="C3237" s="8">
        <v>3042</v>
      </c>
      <c r="D3237" s="16">
        <v>-8.0663560000000002E-3</v>
      </c>
      <c r="E3237" s="8">
        <v>-4.0331780000000001E-3</v>
      </c>
    </row>
    <row r="3238" spans="1:5" x14ac:dyDescent="0.3">
      <c r="A3238" s="8">
        <v>80</v>
      </c>
      <c r="B3238" s="8">
        <v>77</v>
      </c>
      <c r="C3238" s="8">
        <v>3036</v>
      </c>
      <c r="D3238" s="16">
        <v>5.4522579999999998E-3</v>
      </c>
      <c r="E3238" s="8">
        <v>2.7261289999999999E-3</v>
      </c>
    </row>
    <row r="3239" spans="1:5" x14ac:dyDescent="0.3">
      <c r="A3239" s="8">
        <v>80</v>
      </c>
      <c r="B3239" s="8">
        <v>78</v>
      </c>
      <c r="C3239" s="8">
        <v>3042</v>
      </c>
      <c r="D3239" s="16">
        <v>6.368556E-3</v>
      </c>
      <c r="E3239" s="8">
        <v>3.184278E-3</v>
      </c>
    </row>
    <row r="3240" spans="1:5" x14ac:dyDescent="0.3">
      <c r="A3240" s="8">
        <v>80</v>
      </c>
      <c r="B3240" s="8">
        <v>79</v>
      </c>
      <c r="C3240" s="8">
        <v>3041</v>
      </c>
      <c r="D3240" s="16">
        <v>-4.0199789999999999E-3</v>
      </c>
      <c r="E3240" s="8">
        <v>-2.0099895E-3</v>
      </c>
    </row>
    <row r="3241" spans="1:5" x14ac:dyDescent="0.3">
      <c r="A3241" s="8">
        <v>80</v>
      </c>
      <c r="B3241" s="8">
        <v>80</v>
      </c>
      <c r="C3241" s="8">
        <v>3142</v>
      </c>
      <c r="D3241" s="16">
        <v>1.1205259999999999</v>
      </c>
      <c r="E3241" s="8"/>
    </row>
    <row r="3242" spans="1:5" x14ac:dyDescent="0.3">
      <c r="A3242" s="8">
        <v>81</v>
      </c>
      <c r="B3242" s="8">
        <v>1</v>
      </c>
      <c r="C3242" s="8">
        <v>3088</v>
      </c>
      <c r="D3242" s="16">
        <v>-6.8194889999999998E-3</v>
      </c>
      <c r="E3242" s="8">
        <v>-3.4097444999999999E-3</v>
      </c>
    </row>
    <row r="3243" spans="1:5" x14ac:dyDescent="0.3">
      <c r="A3243" s="8">
        <v>81</v>
      </c>
      <c r="B3243" s="8">
        <v>2</v>
      </c>
      <c r="C3243" s="8">
        <v>3051</v>
      </c>
      <c r="D3243" s="16">
        <v>-3.014843E-2</v>
      </c>
      <c r="E3243" s="8">
        <v>-1.5074215E-2</v>
      </c>
    </row>
    <row r="3244" spans="1:5" x14ac:dyDescent="0.3">
      <c r="A3244" s="8">
        <v>81</v>
      </c>
      <c r="B3244" s="8">
        <v>3</v>
      </c>
      <c r="C3244" s="8">
        <v>3084</v>
      </c>
      <c r="D3244" s="16">
        <v>-1.9573759999999998E-3</v>
      </c>
      <c r="E3244" s="8">
        <v>-9.7868799999999991E-4</v>
      </c>
    </row>
    <row r="3245" spans="1:5" x14ac:dyDescent="0.3">
      <c r="A3245" s="8">
        <v>81</v>
      </c>
      <c r="B3245" s="8">
        <v>4</v>
      </c>
      <c r="C3245" s="8">
        <v>3059</v>
      </c>
      <c r="D3245" s="16">
        <v>-2.7993500000000001E-2</v>
      </c>
      <c r="E3245" s="8">
        <v>-1.3996750000000001E-2</v>
      </c>
    </row>
    <row r="3246" spans="1:5" x14ac:dyDescent="0.3">
      <c r="A3246" s="8">
        <v>81</v>
      </c>
      <c r="B3246" s="8">
        <v>5</v>
      </c>
      <c r="C3246" s="8">
        <v>3049</v>
      </c>
      <c r="D3246" s="16">
        <v>1.246294E-2</v>
      </c>
      <c r="E3246" s="8">
        <v>6.2314700000000002E-3</v>
      </c>
    </row>
    <row r="3247" spans="1:5" x14ac:dyDescent="0.3">
      <c r="A3247" s="8">
        <v>81</v>
      </c>
      <c r="B3247" s="8">
        <v>6</v>
      </c>
      <c r="C3247" s="8">
        <v>3067</v>
      </c>
      <c r="D3247" s="16">
        <v>-3.1433659999999999E-3</v>
      </c>
      <c r="E3247" s="8">
        <v>-1.5716829999999999E-3</v>
      </c>
    </row>
    <row r="3248" spans="1:5" x14ac:dyDescent="0.3">
      <c r="A3248" s="8">
        <v>81</v>
      </c>
      <c r="B3248" s="8">
        <v>7</v>
      </c>
      <c r="C3248" s="8">
        <v>3063</v>
      </c>
      <c r="D3248" s="16">
        <v>4.2709310000000004E-3</v>
      </c>
      <c r="E3248" s="8">
        <v>2.1354655000000002E-3</v>
      </c>
    </row>
    <row r="3249" spans="1:5" x14ac:dyDescent="0.3">
      <c r="A3249" s="8">
        <v>81</v>
      </c>
      <c r="B3249" s="8">
        <v>8</v>
      </c>
      <c r="C3249" s="8">
        <v>3076</v>
      </c>
      <c r="D3249" s="16">
        <v>-1.9085899999999999E-2</v>
      </c>
      <c r="E3249" s="8">
        <v>-9.5429499999999997E-3</v>
      </c>
    </row>
    <row r="3250" spans="1:5" x14ac:dyDescent="0.3">
      <c r="A3250" s="8">
        <v>81</v>
      </c>
      <c r="B3250" s="8">
        <v>9</v>
      </c>
      <c r="C3250" s="8">
        <v>3064</v>
      </c>
      <c r="D3250" s="16">
        <v>-4.6407450000000003E-2</v>
      </c>
      <c r="E3250" s="8">
        <v>-2.3203725000000001E-2</v>
      </c>
    </row>
    <row r="3251" spans="1:5" x14ac:dyDescent="0.3">
      <c r="A3251" s="8">
        <v>81</v>
      </c>
      <c r="B3251" s="8">
        <v>10</v>
      </c>
      <c r="C3251" s="8">
        <v>3057</v>
      </c>
      <c r="D3251" s="16">
        <v>-1.539274E-2</v>
      </c>
      <c r="E3251" s="8">
        <v>-7.6963700000000001E-3</v>
      </c>
    </row>
    <row r="3252" spans="1:5" x14ac:dyDescent="0.3">
      <c r="A3252" s="8">
        <v>81</v>
      </c>
      <c r="B3252" s="8">
        <v>11</v>
      </c>
      <c r="C3252" s="8">
        <v>3060</v>
      </c>
      <c r="D3252" s="16">
        <v>-8.4358339999999997E-3</v>
      </c>
      <c r="E3252" s="8">
        <v>-4.2179169999999998E-3</v>
      </c>
    </row>
    <row r="3253" spans="1:5" x14ac:dyDescent="0.3">
      <c r="A3253" s="8">
        <v>81</v>
      </c>
      <c r="B3253" s="8">
        <v>12</v>
      </c>
      <c r="C3253" s="8">
        <v>3079</v>
      </c>
      <c r="D3253" s="16">
        <v>-3.8745179999999997E-2</v>
      </c>
      <c r="E3253" s="8">
        <v>-1.9372589999999999E-2</v>
      </c>
    </row>
    <row r="3254" spans="1:5" x14ac:dyDescent="0.3">
      <c r="A3254" s="8">
        <v>81</v>
      </c>
      <c r="B3254" s="8">
        <v>13</v>
      </c>
      <c r="C3254" s="8">
        <v>3060</v>
      </c>
      <c r="D3254" s="16">
        <v>-1.508057E-2</v>
      </c>
      <c r="E3254" s="8">
        <v>-7.5402849999999999E-3</v>
      </c>
    </row>
    <row r="3255" spans="1:5" x14ac:dyDescent="0.3">
      <c r="A3255" s="8">
        <v>81</v>
      </c>
      <c r="B3255" s="8">
        <v>14</v>
      </c>
      <c r="C3255" s="8">
        <v>3053</v>
      </c>
      <c r="D3255" s="16">
        <v>-3.294296E-2</v>
      </c>
      <c r="E3255" s="8">
        <v>-1.647148E-2</v>
      </c>
    </row>
    <row r="3256" spans="1:5" x14ac:dyDescent="0.3">
      <c r="A3256" s="8">
        <v>81</v>
      </c>
      <c r="B3256" s="8">
        <v>15</v>
      </c>
      <c r="C3256" s="8">
        <v>3066</v>
      </c>
      <c r="D3256" s="16">
        <v>1.9530459999999999E-2</v>
      </c>
      <c r="E3256" s="8">
        <v>9.7652299999999997E-3</v>
      </c>
    </row>
    <row r="3257" spans="1:5" x14ac:dyDescent="0.3">
      <c r="A3257" s="8">
        <v>81</v>
      </c>
      <c r="B3257" s="8">
        <v>16</v>
      </c>
      <c r="C3257" s="8">
        <v>3074</v>
      </c>
      <c r="D3257" s="16">
        <v>-4.6818930000000003E-3</v>
      </c>
      <c r="E3257" s="8">
        <v>-2.3409465000000002E-3</v>
      </c>
    </row>
    <row r="3258" spans="1:5" x14ac:dyDescent="0.3">
      <c r="A3258" s="8">
        <v>81</v>
      </c>
      <c r="B3258" s="8">
        <v>17</v>
      </c>
      <c r="C3258" s="8">
        <v>3069</v>
      </c>
      <c r="D3258" s="16">
        <v>-2.308458E-2</v>
      </c>
      <c r="E3258" s="8">
        <v>-1.154229E-2</v>
      </c>
    </row>
    <row r="3259" spans="1:5" x14ac:dyDescent="0.3">
      <c r="A3259" s="8">
        <v>81</v>
      </c>
      <c r="B3259" s="8">
        <v>18</v>
      </c>
      <c r="C3259" s="8">
        <v>3087</v>
      </c>
      <c r="D3259" s="16">
        <v>-4.4107979999999998E-2</v>
      </c>
      <c r="E3259" s="8">
        <v>-2.2053989999999999E-2</v>
      </c>
    </row>
    <row r="3260" spans="1:5" x14ac:dyDescent="0.3">
      <c r="A3260" s="8">
        <v>81</v>
      </c>
      <c r="B3260" s="8">
        <v>19</v>
      </c>
      <c r="C3260" s="8">
        <v>3067</v>
      </c>
      <c r="D3260" s="16">
        <v>-1.3681520000000001E-2</v>
      </c>
      <c r="E3260" s="8">
        <v>-6.8407600000000004E-3</v>
      </c>
    </row>
    <row r="3261" spans="1:5" x14ac:dyDescent="0.3">
      <c r="A3261" s="8">
        <v>81</v>
      </c>
      <c r="B3261" s="8">
        <v>20</v>
      </c>
      <c r="C3261" s="8">
        <v>3075</v>
      </c>
      <c r="D3261" s="16">
        <v>-4.4099020000000003E-2</v>
      </c>
      <c r="E3261" s="8">
        <v>-2.2049510000000001E-2</v>
      </c>
    </row>
    <row r="3262" spans="1:5" x14ac:dyDescent="0.3">
      <c r="A3262" s="8">
        <v>81</v>
      </c>
      <c r="B3262" s="8">
        <v>21</v>
      </c>
      <c r="C3262" s="8">
        <v>3072</v>
      </c>
      <c r="D3262" s="16">
        <v>6.1095819999999995E-4</v>
      </c>
      <c r="E3262" s="8">
        <v>3.0547909999999997E-4</v>
      </c>
    </row>
    <row r="3263" spans="1:5" x14ac:dyDescent="0.3">
      <c r="A3263" s="8">
        <v>81</v>
      </c>
      <c r="B3263" s="8">
        <v>22</v>
      </c>
      <c r="C3263" s="8">
        <v>3059</v>
      </c>
      <c r="D3263" s="16">
        <v>-5.7081240000000002E-3</v>
      </c>
      <c r="E3263" s="8">
        <v>-2.8540620000000001E-3</v>
      </c>
    </row>
    <row r="3264" spans="1:5" x14ac:dyDescent="0.3">
      <c r="A3264" s="8">
        <v>81</v>
      </c>
      <c r="B3264" s="8">
        <v>23</v>
      </c>
      <c r="C3264" s="8">
        <v>3059</v>
      </c>
      <c r="D3264" s="16">
        <v>4.0362540000000004E-3</v>
      </c>
      <c r="E3264" s="8">
        <v>2.0181270000000002E-3</v>
      </c>
    </row>
    <row r="3265" spans="1:5" x14ac:dyDescent="0.3">
      <c r="A3265" s="8">
        <v>81</v>
      </c>
      <c r="B3265" s="8">
        <v>24</v>
      </c>
      <c r="C3265" s="8">
        <v>3084</v>
      </c>
      <c r="D3265" s="16">
        <v>-5.671913E-2</v>
      </c>
      <c r="E3265" s="8">
        <v>-2.8359565E-2</v>
      </c>
    </row>
    <row r="3266" spans="1:5" x14ac:dyDescent="0.3">
      <c r="A3266" s="8">
        <v>81</v>
      </c>
      <c r="B3266" s="8">
        <v>25</v>
      </c>
      <c r="C3266" s="8">
        <v>3069</v>
      </c>
      <c r="D3266" s="16">
        <v>-3.4862230000000001E-2</v>
      </c>
      <c r="E3266" s="8">
        <v>-1.7431115E-2</v>
      </c>
    </row>
    <row r="3267" spans="1:5" x14ac:dyDescent="0.3">
      <c r="A3267" s="8">
        <v>81</v>
      </c>
      <c r="B3267" s="8">
        <v>26</v>
      </c>
      <c r="C3267" s="8">
        <v>3075</v>
      </c>
      <c r="D3267" s="16">
        <v>-4.8430050000000002E-2</v>
      </c>
      <c r="E3267" s="8">
        <v>-2.4215025000000001E-2</v>
      </c>
    </row>
    <row r="3268" spans="1:5" x14ac:dyDescent="0.3">
      <c r="A3268" s="8">
        <v>81</v>
      </c>
      <c r="B3268" s="8">
        <v>27</v>
      </c>
      <c r="C3268" s="8">
        <v>3088</v>
      </c>
      <c r="D3268" s="16">
        <v>-1.7108979999999999E-2</v>
      </c>
      <c r="E3268" s="8">
        <v>-8.5544899999999997E-3</v>
      </c>
    </row>
    <row r="3269" spans="1:5" x14ac:dyDescent="0.3">
      <c r="A3269" s="8">
        <v>81</v>
      </c>
      <c r="B3269" s="8">
        <v>28</v>
      </c>
      <c r="C3269" s="8">
        <v>3055</v>
      </c>
      <c r="D3269" s="16">
        <v>-1.4532150000000001E-2</v>
      </c>
      <c r="E3269" s="8">
        <v>-7.2660750000000003E-3</v>
      </c>
    </row>
    <row r="3270" spans="1:5" x14ac:dyDescent="0.3">
      <c r="A3270" s="8">
        <v>81</v>
      </c>
      <c r="B3270" s="8">
        <v>29</v>
      </c>
      <c r="C3270" s="8">
        <v>3058</v>
      </c>
      <c r="D3270" s="16">
        <v>-7.2059830000000005E-2</v>
      </c>
      <c r="E3270" s="8">
        <v>-3.6029915000000003E-2</v>
      </c>
    </row>
    <row r="3271" spans="1:5" x14ac:dyDescent="0.3">
      <c r="A3271" s="8">
        <v>81</v>
      </c>
      <c r="B3271" s="8">
        <v>30</v>
      </c>
      <c r="C3271" s="8">
        <v>3075</v>
      </c>
      <c r="D3271" s="16">
        <v>1.1807150000000001E-2</v>
      </c>
      <c r="E3271" s="8">
        <v>5.9035750000000003E-3</v>
      </c>
    </row>
    <row r="3272" spans="1:5" x14ac:dyDescent="0.3">
      <c r="A3272" s="8">
        <v>81</v>
      </c>
      <c r="B3272" s="8">
        <v>31</v>
      </c>
      <c r="C3272" s="8">
        <v>2993</v>
      </c>
      <c r="D3272" s="16">
        <v>-4.1835329999999997E-3</v>
      </c>
      <c r="E3272" s="8">
        <v>-2.0917664999999998E-3</v>
      </c>
    </row>
    <row r="3273" spans="1:5" x14ac:dyDescent="0.3">
      <c r="A3273" s="8">
        <v>81</v>
      </c>
      <c r="B3273" s="8">
        <v>32</v>
      </c>
      <c r="C3273" s="8">
        <v>3056</v>
      </c>
      <c r="D3273" s="16">
        <v>-1.8403760000000002E-2</v>
      </c>
      <c r="E3273" s="8">
        <v>-9.2018800000000008E-3</v>
      </c>
    </row>
    <row r="3274" spans="1:5" x14ac:dyDescent="0.3">
      <c r="A3274" s="8">
        <v>81</v>
      </c>
      <c r="B3274" s="8">
        <v>33</v>
      </c>
      <c r="C3274" s="8">
        <v>3087</v>
      </c>
      <c r="D3274" s="16">
        <v>1.386252E-2</v>
      </c>
      <c r="E3274" s="8">
        <v>6.9312599999999999E-3</v>
      </c>
    </row>
    <row r="3275" spans="1:5" x14ac:dyDescent="0.3">
      <c r="A3275" s="8">
        <v>81</v>
      </c>
      <c r="B3275" s="8">
        <v>34</v>
      </c>
      <c r="C3275" s="8">
        <v>3076</v>
      </c>
      <c r="D3275" s="16">
        <v>3.7082370000000001E-3</v>
      </c>
      <c r="E3275" s="8">
        <v>1.8541185E-3</v>
      </c>
    </row>
    <row r="3276" spans="1:5" x14ac:dyDescent="0.3">
      <c r="A3276" s="8">
        <v>81</v>
      </c>
      <c r="B3276" s="8">
        <v>35</v>
      </c>
      <c r="C3276" s="8">
        <v>3068</v>
      </c>
      <c r="D3276" s="16">
        <v>-2.4804389999999999E-2</v>
      </c>
      <c r="E3276" s="8">
        <v>-1.2402195E-2</v>
      </c>
    </row>
    <row r="3277" spans="1:5" x14ac:dyDescent="0.3">
      <c r="A3277" s="8">
        <v>81</v>
      </c>
      <c r="B3277" s="8">
        <v>36</v>
      </c>
      <c r="C3277" s="8">
        <v>3077</v>
      </c>
      <c r="D3277" s="16">
        <v>-4.9559220000000001E-2</v>
      </c>
      <c r="E3277" s="8">
        <v>-2.4779610000000001E-2</v>
      </c>
    </row>
    <row r="3278" spans="1:5" x14ac:dyDescent="0.3">
      <c r="A3278" s="8">
        <v>81</v>
      </c>
      <c r="B3278" s="8">
        <v>37</v>
      </c>
      <c r="C3278" s="8">
        <v>3043</v>
      </c>
      <c r="D3278" s="16">
        <v>1.6748539999999999E-2</v>
      </c>
      <c r="E3278" s="8">
        <v>8.3742699999999996E-3</v>
      </c>
    </row>
    <row r="3279" spans="1:5" x14ac:dyDescent="0.3">
      <c r="A3279" s="8">
        <v>81</v>
      </c>
      <c r="B3279" s="8">
        <v>38</v>
      </c>
      <c r="C3279" s="8">
        <v>3084</v>
      </c>
      <c r="D3279" s="16">
        <v>-2.728564E-2</v>
      </c>
      <c r="E3279" s="8">
        <v>-1.364282E-2</v>
      </c>
    </row>
    <row r="3280" spans="1:5" x14ac:dyDescent="0.3">
      <c r="A3280" s="8">
        <v>81</v>
      </c>
      <c r="B3280" s="8">
        <v>39</v>
      </c>
      <c r="C3280" s="8">
        <v>3077</v>
      </c>
      <c r="D3280" s="16">
        <v>3.3301569999999998E-3</v>
      </c>
      <c r="E3280" s="8">
        <v>1.6650784999999999E-3</v>
      </c>
    </row>
    <row r="3281" spans="1:5" x14ac:dyDescent="0.3">
      <c r="A3281" s="8">
        <v>81</v>
      </c>
      <c r="B3281" s="8">
        <v>40</v>
      </c>
      <c r="C3281" s="8">
        <v>3070</v>
      </c>
      <c r="D3281" s="16">
        <v>-2.882587E-2</v>
      </c>
      <c r="E3281" s="8">
        <v>-1.4412935E-2</v>
      </c>
    </row>
    <row r="3282" spans="1:5" x14ac:dyDescent="0.3">
      <c r="A3282" s="8">
        <v>81</v>
      </c>
      <c r="B3282" s="8">
        <v>41</v>
      </c>
      <c r="C3282" s="8">
        <v>3048</v>
      </c>
      <c r="D3282" s="16">
        <v>-5.7929809999999998E-2</v>
      </c>
      <c r="E3282" s="8">
        <v>-2.8964904999999999E-2</v>
      </c>
    </row>
    <row r="3283" spans="1:5" x14ac:dyDescent="0.3">
      <c r="A3283" s="8">
        <v>81</v>
      </c>
      <c r="B3283" s="8">
        <v>42</v>
      </c>
      <c r="C3283" s="8">
        <v>3039</v>
      </c>
      <c r="D3283" s="16">
        <v>-6.8411929999999998E-3</v>
      </c>
      <c r="E3283" s="8">
        <v>-3.4205964999999999E-3</v>
      </c>
    </row>
    <row r="3284" spans="1:5" x14ac:dyDescent="0.3">
      <c r="A3284" s="8">
        <v>81</v>
      </c>
      <c r="B3284" s="8">
        <v>43</v>
      </c>
      <c r="C3284" s="8">
        <v>3058</v>
      </c>
      <c r="D3284" s="16">
        <v>-7.9586350000000004E-3</v>
      </c>
      <c r="E3284" s="8">
        <v>-3.9793175000000002E-3</v>
      </c>
    </row>
    <row r="3285" spans="1:5" x14ac:dyDescent="0.3">
      <c r="A3285" s="8">
        <v>81</v>
      </c>
      <c r="B3285" s="8">
        <v>44</v>
      </c>
      <c r="C3285" s="8">
        <v>3040</v>
      </c>
      <c r="D3285" s="16">
        <v>-2.2511699999999999E-2</v>
      </c>
      <c r="E3285" s="8">
        <v>-1.125585E-2</v>
      </c>
    </row>
    <row r="3286" spans="1:5" x14ac:dyDescent="0.3">
      <c r="A3286" s="8">
        <v>81</v>
      </c>
      <c r="B3286" s="8">
        <v>45</v>
      </c>
      <c r="C3286" s="8">
        <v>3072</v>
      </c>
      <c r="D3286" s="16">
        <v>-7.1867700000000003E-3</v>
      </c>
      <c r="E3286" s="8">
        <v>-3.5933850000000002E-3</v>
      </c>
    </row>
    <row r="3287" spans="1:5" x14ac:dyDescent="0.3">
      <c r="A3287" s="8">
        <v>81</v>
      </c>
      <c r="B3287" s="8">
        <v>46</v>
      </c>
      <c r="C3287" s="8">
        <v>3059</v>
      </c>
      <c r="D3287" s="16">
        <v>-2.7432390000000001E-2</v>
      </c>
      <c r="E3287" s="8">
        <v>-1.3716195E-2</v>
      </c>
    </row>
    <row r="3288" spans="1:5" x14ac:dyDescent="0.3">
      <c r="A3288" s="8">
        <v>81</v>
      </c>
      <c r="B3288" s="8">
        <v>47</v>
      </c>
      <c r="C3288" s="8">
        <v>3045</v>
      </c>
      <c r="D3288" s="16">
        <v>-2.999131E-2</v>
      </c>
      <c r="E3288" s="8">
        <v>-1.4995655E-2</v>
      </c>
    </row>
    <row r="3289" spans="1:5" x14ac:dyDescent="0.3">
      <c r="A3289" s="8">
        <v>81</v>
      </c>
      <c r="B3289" s="8">
        <v>48</v>
      </c>
      <c r="C3289" s="8">
        <v>3066</v>
      </c>
      <c r="D3289" s="16">
        <v>-6.372679E-3</v>
      </c>
      <c r="E3289" s="8">
        <v>-3.1863395E-3</v>
      </c>
    </row>
    <row r="3290" spans="1:5" x14ac:dyDescent="0.3">
      <c r="A3290" s="8">
        <v>81</v>
      </c>
      <c r="B3290" s="8">
        <v>49</v>
      </c>
      <c r="C3290" s="8">
        <v>3036</v>
      </c>
      <c r="D3290" s="16">
        <v>1.641536E-2</v>
      </c>
      <c r="E3290" s="8">
        <v>8.2076800000000002E-3</v>
      </c>
    </row>
    <row r="3291" spans="1:5" x14ac:dyDescent="0.3">
      <c r="A3291" s="8">
        <v>81</v>
      </c>
      <c r="B3291" s="8">
        <v>50</v>
      </c>
      <c r="C3291" s="8">
        <v>3082</v>
      </c>
      <c r="D3291" s="16">
        <v>-4.2333219999999998E-2</v>
      </c>
      <c r="E3291" s="8">
        <v>-2.1166609999999999E-2</v>
      </c>
    </row>
    <row r="3292" spans="1:5" x14ac:dyDescent="0.3">
      <c r="A3292" s="8">
        <v>81</v>
      </c>
      <c r="B3292" s="8">
        <v>51</v>
      </c>
      <c r="C3292" s="8">
        <v>3061</v>
      </c>
      <c r="D3292" s="16">
        <v>4.0923080000000001E-2</v>
      </c>
      <c r="E3292" s="8">
        <v>2.046154E-2</v>
      </c>
    </row>
    <row r="3293" spans="1:5" x14ac:dyDescent="0.3">
      <c r="A3293" s="8">
        <v>81</v>
      </c>
      <c r="B3293" s="8">
        <v>52</v>
      </c>
      <c r="C3293" s="8">
        <v>3061</v>
      </c>
      <c r="D3293" s="16">
        <v>-3.0458099999999998E-2</v>
      </c>
      <c r="E3293" s="8">
        <v>-1.5229049999999999E-2</v>
      </c>
    </row>
    <row r="3294" spans="1:5" x14ac:dyDescent="0.3">
      <c r="A3294" s="8">
        <v>81</v>
      </c>
      <c r="B3294" s="8">
        <v>53</v>
      </c>
      <c r="C3294" s="8">
        <v>3063</v>
      </c>
      <c r="D3294" s="16">
        <v>-1.241928E-2</v>
      </c>
      <c r="E3294" s="8">
        <v>-6.2096399999999998E-3</v>
      </c>
    </row>
    <row r="3295" spans="1:5" x14ac:dyDescent="0.3">
      <c r="A3295" s="8">
        <v>81</v>
      </c>
      <c r="B3295" s="8">
        <v>54</v>
      </c>
      <c r="C3295" s="8">
        <v>3053</v>
      </c>
      <c r="D3295" s="16">
        <v>1.4120479999999999E-2</v>
      </c>
      <c r="E3295" s="8">
        <v>7.0602399999999997E-3</v>
      </c>
    </row>
    <row r="3296" spans="1:5" x14ac:dyDescent="0.3">
      <c r="A3296" s="8">
        <v>81</v>
      </c>
      <c r="B3296" s="8">
        <v>55</v>
      </c>
      <c r="C3296" s="8">
        <v>3072</v>
      </c>
      <c r="D3296" s="16">
        <v>-3.4638170000000003E-2</v>
      </c>
      <c r="E3296" s="8">
        <v>-1.7319085000000001E-2</v>
      </c>
    </row>
    <row r="3297" spans="1:5" x14ac:dyDescent="0.3">
      <c r="A3297" s="8">
        <v>81</v>
      </c>
      <c r="B3297" s="8">
        <v>56</v>
      </c>
      <c r="C3297" s="8">
        <v>3075</v>
      </c>
      <c r="D3297" s="16">
        <v>-4.002352E-2</v>
      </c>
      <c r="E3297" s="8">
        <v>-2.001176E-2</v>
      </c>
    </row>
    <row r="3298" spans="1:5" x14ac:dyDescent="0.3">
      <c r="A3298" s="8">
        <v>81</v>
      </c>
      <c r="B3298" s="8">
        <v>57</v>
      </c>
      <c r="C3298" s="8">
        <v>3087</v>
      </c>
      <c r="D3298" s="16">
        <v>-3.4597900000000001E-2</v>
      </c>
      <c r="E3298" s="8">
        <v>-1.729895E-2</v>
      </c>
    </row>
    <row r="3299" spans="1:5" x14ac:dyDescent="0.3">
      <c r="A3299" s="8">
        <v>81</v>
      </c>
      <c r="B3299" s="8">
        <v>58</v>
      </c>
      <c r="C3299" s="8">
        <v>3077</v>
      </c>
      <c r="D3299" s="16">
        <v>7.0521469999999999E-3</v>
      </c>
      <c r="E3299" s="8">
        <v>3.5260735E-3</v>
      </c>
    </row>
    <row r="3300" spans="1:5" x14ac:dyDescent="0.3">
      <c r="A3300" s="8">
        <v>81</v>
      </c>
      <c r="B3300" s="8">
        <v>59</v>
      </c>
      <c r="C3300" s="8">
        <v>3083</v>
      </c>
      <c r="D3300" s="16">
        <v>-5.3976969999999999E-3</v>
      </c>
      <c r="E3300" s="8">
        <v>-2.6988485E-3</v>
      </c>
    </row>
    <row r="3301" spans="1:5" x14ac:dyDescent="0.3">
      <c r="A3301" s="8">
        <v>81</v>
      </c>
      <c r="B3301" s="8">
        <v>60</v>
      </c>
      <c r="C3301" s="8">
        <v>3070</v>
      </c>
      <c r="D3301" s="16">
        <v>-6.0952630000000001E-3</v>
      </c>
      <c r="E3301" s="8">
        <v>-3.0476315E-3</v>
      </c>
    </row>
    <row r="3302" spans="1:5" x14ac:dyDescent="0.3">
      <c r="A3302" s="8">
        <v>81</v>
      </c>
      <c r="B3302" s="8">
        <v>61</v>
      </c>
      <c r="C3302" s="8">
        <v>3070</v>
      </c>
      <c r="D3302" s="16">
        <v>6.3565369999999998E-3</v>
      </c>
      <c r="E3302" s="8">
        <v>3.1782684999999999E-3</v>
      </c>
    </row>
    <row r="3303" spans="1:5" x14ac:dyDescent="0.3">
      <c r="A3303" s="8">
        <v>81</v>
      </c>
      <c r="B3303" s="8">
        <v>62</v>
      </c>
      <c r="C3303" s="8">
        <v>3069</v>
      </c>
      <c r="D3303" s="16">
        <v>1.686582E-2</v>
      </c>
      <c r="E3303" s="8">
        <v>8.4329100000000001E-3</v>
      </c>
    </row>
    <row r="3304" spans="1:5" x14ac:dyDescent="0.3">
      <c r="A3304" s="8">
        <v>81</v>
      </c>
      <c r="B3304" s="8">
        <v>63</v>
      </c>
      <c r="C3304" s="8">
        <v>3078</v>
      </c>
      <c r="D3304" s="16">
        <v>-5.428797E-3</v>
      </c>
      <c r="E3304" s="8">
        <v>-2.7143985E-3</v>
      </c>
    </row>
    <row r="3305" spans="1:5" x14ac:dyDescent="0.3">
      <c r="A3305" s="8">
        <v>81</v>
      </c>
      <c r="B3305" s="8">
        <v>64</v>
      </c>
      <c r="C3305" s="8">
        <v>3068</v>
      </c>
      <c r="D3305" s="16">
        <v>-9.4860850000000004E-4</v>
      </c>
      <c r="E3305" s="8">
        <v>-4.7430425000000002E-4</v>
      </c>
    </row>
    <row r="3306" spans="1:5" x14ac:dyDescent="0.3">
      <c r="A3306" s="8">
        <v>81</v>
      </c>
      <c r="B3306" s="8">
        <v>65</v>
      </c>
      <c r="C3306" s="8">
        <v>3068</v>
      </c>
      <c r="D3306" s="16">
        <v>2.162176E-2</v>
      </c>
      <c r="E3306" s="8">
        <v>1.081088E-2</v>
      </c>
    </row>
    <row r="3307" spans="1:5" x14ac:dyDescent="0.3">
      <c r="A3307" s="8">
        <v>81</v>
      </c>
      <c r="B3307" s="8">
        <v>66</v>
      </c>
      <c r="C3307" s="8">
        <v>3069</v>
      </c>
      <c r="D3307" s="16">
        <v>-3.4109130000000001E-2</v>
      </c>
      <c r="E3307" s="8">
        <v>-1.7054565000000001E-2</v>
      </c>
    </row>
    <row r="3308" spans="1:5" x14ac:dyDescent="0.3">
      <c r="A3308" s="8">
        <v>81</v>
      </c>
      <c r="B3308" s="8">
        <v>67</v>
      </c>
      <c r="C3308" s="8">
        <v>3062</v>
      </c>
      <c r="D3308" s="16">
        <v>-3.3405799999999999E-2</v>
      </c>
      <c r="E3308" s="8">
        <v>-1.67029E-2</v>
      </c>
    </row>
    <row r="3309" spans="1:5" x14ac:dyDescent="0.3">
      <c r="A3309" s="8">
        <v>81</v>
      </c>
      <c r="B3309" s="8">
        <v>68</v>
      </c>
      <c r="C3309" s="8">
        <v>3058</v>
      </c>
      <c r="D3309" s="16">
        <v>-2.1951930000000001E-2</v>
      </c>
      <c r="E3309" s="8">
        <v>-1.0975965000000001E-2</v>
      </c>
    </row>
    <row r="3310" spans="1:5" x14ac:dyDescent="0.3">
      <c r="A3310" s="8">
        <v>81</v>
      </c>
      <c r="B3310" s="8">
        <v>69</v>
      </c>
      <c r="C3310" s="8">
        <v>3067</v>
      </c>
      <c r="D3310" s="16">
        <v>7.363723E-3</v>
      </c>
      <c r="E3310" s="8">
        <v>3.6818615E-3</v>
      </c>
    </row>
    <row r="3311" spans="1:5" x14ac:dyDescent="0.3">
      <c r="A3311" s="8">
        <v>81</v>
      </c>
      <c r="B3311" s="8">
        <v>70</v>
      </c>
      <c r="C3311" s="8">
        <v>3072</v>
      </c>
      <c r="D3311" s="16">
        <v>3.9716429999999997E-4</v>
      </c>
      <c r="E3311" s="8">
        <v>1.9858214999999999E-4</v>
      </c>
    </row>
    <row r="3312" spans="1:5" x14ac:dyDescent="0.3">
      <c r="A3312" s="8">
        <v>81</v>
      </c>
      <c r="B3312" s="8">
        <v>71</v>
      </c>
      <c r="C3312" s="8">
        <v>3060</v>
      </c>
      <c r="D3312" s="16">
        <v>1.286984E-2</v>
      </c>
      <c r="E3312" s="8">
        <v>6.4349200000000002E-3</v>
      </c>
    </row>
    <row r="3313" spans="1:5" x14ac:dyDescent="0.3">
      <c r="A3313" s="8">
        <v>81</v>
      </c>
      <c r="B3313" s="8">
        <v>72</v>
      </c>
      <c r="C3313" s="8">
        <v>3061</v>
      </c>
      <c r="D3313" s="16">
        <v>-4.7863049999999997E-2</v>
      </c>
      <c r="E3313" s="8">
        <v>-2.3931524999999999E-2</v>
      </c>
    </row>
    <row r="3314" spans="1:5" x14ac:dyDescent="0.3">
      <c r="A3314" s="8">
        <v>81</v>
      </c>
      <c r="B3314" s="8">
        <v>73</v>
      </c>
      <c r="C3314" s="8">
        <v>3082</v>
      </c>
      <c r="D3314" s="16">
        <v>4.1153479999999999E-2</v>
      </c>
      <c r="E3314" s="8">
        <v>2.057674E-2</v>
      </c>
    </row>
    <row r="3315" spans="1:5" x14ac:dyDescent="0.3">
      <c r="A3315" s="8">
        <v>81</v>
      </c>
      <c r="B3315" s="8">
        <v>74</v>
      </c>
      <c r="C3315" s="8">
        <v>3059</v>
      </c>
      <c r="D3315" s="16">
        <v>-2.1981009999999999E-2</v>
      </c>
      <c r="E3315" s="8">
        <v>-1.0990504999999999E-2</v>
      </c>
    </row>
    <row r="3316" spans="1:5" x14ac:dyDescent="0.3">
      <c r="A3316" s="8">
        <v>81</v>
      </c>
      <c r="B3316" s="8">
        <v>75</v>
      </c>
      <c r="C3316" s="8">
        <v>3070</v>
      </c>
      <c r="D3316" s="16">
        <v>1.6581039999999998E-2</v>
      </c>
      <c r="E3316" s="8">
        <v>8.2905199999999991E-3</v>
      </c>
    </row>
    <row r="3317" spans="1:5" x14ac:dyDescent="0.3">
      <c r="A3317" s="8">
        <v>81</v>
      </c>
      <c r="B3317" s="8">
        <v>76</v>
      </c>
      <c r="C3317" s="8">
        <v>3068</v>
      </c>
      <c r="D3317" s="16">
        <v>-3.630253E-2</v>
      </c>
      <c r="E3317" s="8">
        <v>-1.8151265E-2</v>
      </c>
    </row>
    <row r="3318" spans="1:5" x14ac:dyDescent="0.3">
      <c r="A3318" s="8">
        <v>81</v>
      </c>
      <c r="B3318" s="8">
        <v>77</v>
      </c>
      <c r="C3318" s="8">
        <v>3060</v>
      </c>
      <c r="D3318" s="16">
        <v>7.213601E-3</v>
      </c>
      <c r="E3318" s="8">
        <v>3.6068005E-3</v>
      </c>
    </row>
    <row r="3319" spans="1:5" x14ac:dyDescent="0.3">
      <c r="A3319" s="8">
        <v>81</v>
      </c>
      <c r="B3319" s="8">
        <v>78</v>
      </c>
      <c r="C3319" s="8">
        <v>3069</v>
      </c>
      <c r="D3319" s="16">
        <v>-5.7547550000000003E-3</v>
      </c>
      <c r="E3319" s="8">
        <v>-2.8773775000000001E-3</v>
      </c>
    </row>
    <row r="3320" spans="1:5" x14ac:dyDescent="0.3">
      <c r="A3320" s="8">
        <v>81</v>
      </c>
      <c r="B3320" s="8">
        <v>79</v>
      </c>
      <c r="C3320" s="8">
        <v>3064</v>
      </c>
      <c r="D3320" s="16">
        <v>-2.948288E-2</v>
      </c>
      <c r="E3320" s="8">
        <v>-1.474144E-2</v>
      </c>
    </row>
    <row r="3321" spans="1:5" x14ac:dyDescent="0.3">
      <c r="A3321" s="8">
        <v>81</v>
      </c>
      <c r="B3321" s="8">
        <v>80</v>
      </c>
      <c r="C3321" s="8">
        <v>3059</v>
      </c>
      <c r="D3321" s="16">
        <v>-1.030994E-2</v>
      </c>
      <c r="E3321" s="8">
        <v>-5.15497E-3</v>
      </c>
    </row>
    <row r="3322" spans="1:5" x14ac:dyDescent="0.3">
      <c r="A3322" s="8">
        <v>81</v>
      </c>
      <c r="B3322" s="8">
        <v>81</v>
      </c>
      <c r="C3322" s="8">
        <v>3168</v>
      </c>
      <c r="D3322" s="16">
        <v>1.0890789999999999</v>
      </c>
      <c r="E3322" s="8"/>
    </row>
    <row r="3323" spans="1:5" x14ac:dyDescent="0.3">
      <c r="A3323" s="8">
        <v>82</v>
      </c>
      <c r="B3323" s="8">
        <v>1</v>
      </c>
      <c r="C3323" s="8">
        <v>3059</v>
      </c>
      <c r="D3323" s="16">
        <v>6.4727579999999995E-4</v>
      </c>
      <c r="E3323" s="8">
        <v>3.2363789999999997E-4</v>
      </c>
    </row>
    <row r="3324" spans="1:5" x14ac:dyDescent="0.3">
      <c r="A3324" s="8">
        <v>82</v>
      </c>
      <c r="B3324" s="8">
        <v>2</v>
      </c>
      <c r="C3324" s="8">
        <v>3031</v>
      </c>
      <c r="D3324" s="16">
        <v>5.9498889999999999E-2</v>
      </c>
      <c r="E3324" s="8">
        <v>2.9749444999999999E-2</v>
      </c>
    </row>
    <row r="3325" spans="1:5" x14ac:dyDescent="0.3">
      <c r="A3325" s="8">
        <v>82</v>
      </c>
      <c r="B3325" s="8">
        <v>3</v>
      </c>
      <c r="C3325" s="8">
        <v>3050</v>
      </c>
      <c r="D3325" s="16">
        <v>-3.7202600000000002E-2</v>
      </c>
      <c r="E3325" s="8">
        <v>-1.8601300000000001E-2</v>
      </c>
    </row>
    <row r="3326" spans="1:5" x14ac:dyDescent="0.3">
      <c r="A3326" s="8">
        <v>82</v>
      </c>
      <c r="B3326" s="8">
        <v>4</v>
      </c>
      <c r="C3326" s="8">
        <v>3033</v>
      </c>
      <c r="D3326" s="16">
        <v>9.5981869999999993E-3</v>
      </c>
      <c r="E3326" s="8">
        <v>4.7990934999999997E-3</v>
      </c>
    </row>
    <row r="3327" spans="1:5" x14ac:dyDescent="0.3">
      <c r="A3327" s="8">
        <v>82</v>
      </c>
      <c r="B3327" s="8">
        <v>5</v>
      </c>
      <c r="C3327" s="8">
        <v>3020</v>
      </c>
      <c r="D3327" s="16">
        <v>-1.4195950000000001E-2</v>
      </c>
      <c r="E3327" s="8">
        <v>-7.0979750000000003E-3</v>
      </c>
    </row>
    <row r="3328" spans="1:5" x14ac:dyDescent="0.3">
      <c r="A3328" s="8">
        <v>82</v>
      </c>
      <c r="B3328" s="8">
        <v>6</v>
      </c>
      <c r="C3328" s="8">
        <v>3039</v>
      </c>
      <c r="D3328" s="16">
        <v>-3.166733E-2</v>
      </c>
      <c r="E3328" s="8">
        <v>-1.5833665E-2</v>
      </c>
    </row>
    <row r="3329" spans="1:5" x14ac:dyDescent="0.3">
      <c r="A3329" s="8">
        <v>82</v>
      </c>
      <c r="B3329" s="8">
        <v>7</v>
      </c>
      <c r="C3329" s="8">
        <v>3031</v>
      </c>
      <c r="D3329" s="16">
        <v>-1.5745410000000001E-2</v>
      </c>
      <c r="E3329" s="8">
        <v>-7.8727050000000007E-3</v>
      </c>
    </row>
    <row r="3330" spans="1:5" x14ac:dyDescent="0.3">
      <c r="A3330" s="8">
        <v>82</v>
      </c>
      <c r="B3330" s="8">
        <v>8</v>
      </c>
      <c r="C3330" s="8">
        <v>3046</v>
      </c>
      <c r="D3330" s="16">
        <v>-7.9094460000000005E-3</v>
      </c>
      <c r="E3330" s="8">
        <v>-3.9547230000000003E-3</v>
      </c>
    </row>
    <row r="3331" spans="1:5" x14ac:dyDescent="0.3">
      <c r="A3331" s="8">
        <v>82</v>
      </c>
      <c r="B3331" s="8">
        <v>9</v>
      </c>
      <c r="C3331" s="8">
        <v>3039</v>
      </c>
      <c r="D3331" s="16">
        <v>-2.2890649999999998E-2</v>
      </c>
      <c r="E3331" s="8">
        <v>-1.1445324999999999E-2</v>
      </c>
    </row>
    <row r="3332" spans="1:5" x14ac:dyDescent="0.3">
      <c r="A3332" s="8">
        <v>82</v>
      </c>
      <c r="B3332" s="8">
        <v>10</v>
      </c>
      <c r="C3332" s="8">
        <v>3033</v>
      </c>
      <c r="D3332" s="16">
        <v>-6.1537300000000003E-2</v>
      </c>
      <c r="E3332" s="8">
        <v>-3.0768650000000002E-2</v>
      </c>
    </row>
    <row r="3333" spans="1:5" x14ac:dyDescent="0.3">
      <c r="A3333" s="8">
        <v>82</v>
      </c>
      <c r="B3333" s="8">
        <v>11</v>
      </c>
      <c r="C3333" s="8">
        <v>3032</v>
      </c>
      <c r="D3333" s="16">
        <v>8.7182690000000007E-3</v>
      </c>
      <c r="E3333" s="8">
        <v>4.3591345000000004E-3</v>
      </c>
    </row>
    <row r="3334" spans="1:5" x14ac:dyDescent="0.3">
      <c r="A3334" s="8">
        <v>82</v>
      </c>
      <c r="B3334" s="8">
        <v>12</v>
      </c>
      <c r="C3334" s="8">
        <v>3049</v>
      </c>
      <c r="D3334" s="16">
        <v>2.786346E-2</v>
      </c>
      <c r="E3334" s="8">
        <v>1.393173E-2</v>
      </c>
    </row>
    <row r="3335" spans="1:5" x14ac:dyDescent="0.3">
      <c r="A3335" s="8">
        <v>82</v>
      </c>
      <c r="B3335" s="8">
        <v>13</v>
      </c>
      <c r="C3335" s="8">
        <v>3029</v>
      </c>
      <c r="D3335" s="16">
        <v>-6.5800419999999998E-2</v>
      </c>
      <c r="E3335" s="8">
        <v>-3.2900209999999999E-2</v>
      </c>
    </row>
    <row r="3336" spans="1:5" x14ac:dyDescent="0.3">
      <c r="A3336" s="8">
        <v>82</v>
      </c>
      <c r="B3336" s="8">
        <v>14</v>
      </c>
      <c r="C3336" s="8">
        <v>3028</v>
      </c>
      <c r="D3336" s="16">
        <v>-1.3039810000000001E-2</v>
      </c>
      <c r="E3336" s="8">
        <v>-6.5199050000000003E-3</v>
      </c>
    </row>
    <row r="3337" spans="1:5" x14ac:dyDescent="0.3">
      <c r="A3337" s="8">
        <v>82</v>
      </c>
      <c r="B3337" s="8">
        <v>15</v>
      </c>
      <c r="C3337" s="8">
        <v>3036</v>
      </c>
      <c r="D3337" s="16">
        <v>-1.8849520000000002E-2</v>
      </c>
      <c r="E3337" s="8">
        <v>-9.4247600000000008E-3</v>
      </c>
    </row>
    <row r="3338" spans="1:5" x14ac:dyDescent="0.3">
      <c r="A3338" s="8">
        <v>82</v>
      </c>
      <c r="B3338" s="8">
        <v>16</v>
      </c>
      <c r="C3338" s="8">
        <v>3046</v>
      </c>
      <c r="D3338" s="16">
        <v>4.6462139999999999E-2</v>
      </c>
      <c r="E3338" s="8">
        <v>2.3231069999999999E-2</v>
      </c>
    </row>
    <row r="3339" spans="1:5" x14ac:dyDescent="0.3">
      <c r="A3339" s="8">
        <v>82</v>
      </c>
      <c r="B3339" s="8">
        <v>17</v>
      </c>
      <c r="C3339" s="8">
        <v>3039</v>
      </c>
      <c r="D3339" s="16">
        <v>3.2425229999999999E-2</v>
      </c>
      <c r="E3339" s="8">
        <v>1.6212615E-2</v>
      </c>
    </row>
    <row r="3340" spans="1:5" x14ac:dyDescent="0.3">
      <c r="A3340" s="8">
        <v>82</v>
      </c>
      <c r="B3340" s="8">
        <v>18</v>
      </c>
      <c r="C3340" s="8">
        <v>3058</v>
      </c>
      <c r="D3340" s="16">
        <v>-3.3900409999999999E-2</v>
      </c>
      <c r="E3340" s="8">
        <v>-1.6950204999999999E-2</v>
      </c>
    </row>
    <row r="3341" spans="1:5" x14ac:dyDescent="0.3">
      <c r="A3341" s="8">
        <v>82</v>
      </c>
      <c r="B3341" s="8">
        <v>19</v>
      </c>
      <c r="C3341" s="8">
        <v>3038</v>
      </c>
      <c r="D3341" s="16">
        <v>-1.741419E-2</v>
      </c>
      <c r="E3341" s="8">
        <v>-8.7070949999999998E-3</v>
      </c>
    </row>
    <row r="3342" spans="1:5" x14ac:dyDescent="0.3">
      <c r="A3342" s="8">
        <v>82</v>
      </c>
      <c r="B3342" s="8">
        <v>20</v>
      </c>
      <c r="C3342" s="8">
        <v>3048</v>
      </c>
      <c r="D3342" s="16">
        <v>-3.3198510000000001E-2</v>
      </c>
      <c r="E3342" s="8">
        <v>-1.6599255E-2</v>
      </c>
    </row>
    <row r="3343" spans="1:5" x14ac:dyDescent="0.3">
      <c r="A3343" s="8">
        <v>82</v>
      </c>
      <c r="B3343" s="8">
        <v>21</v>
      </c>
      <c r="C3343" s="8">
        <v>3041</v>
      </c>
      <c r="D3343" s="16">
        <v>3.321222E-3</v>
      </c>
      <c r="E3343" s="8">
        <v>1.660611E-3</v>
      </c>
    </row>
    <row r="3344" spans="1:5" x14ac:dyDescent="0.3">
      <c r="A3344" s="8">
        <v>82</v>
      </c>
      <c r="B3344" s="8">
        <v>22</v>
      </c>
      <c r="C3344" s="8">
        <v>3030</v>
      </c>
      <c r="D3344" s="16">
        <v>-1.5451329999999999E-2</v>
      </c>
      <c r="E3344" s="8">
        <v>-7.7256649999999996E-3</v>
      </c>
    </row>
    <row r="3345" spans="1:5" x14ac:dyDescent="0.3">
      <c r="A3345" s="8">
        <v>82</v>
      </c>
      <c r="B3345" s="8">
        <v>23</v>
      </c>
      <c r="C3345" s="8">
        <v>3030</v>
      </c>
      <c r="D3345" s="16">
        <v>3.1202540000000001E-2</v>
      </c>
      <c r="E3345" s="8">
        <v>1.560127E-2</v>
      </c>
    </row>
    <row r="3346" spans="1:5" x14ac:dyDescent="0.3">
      <c r="A3346" s="8">
        <v>82</v>
      </c>
      <c r="B3346" s="8">
        <v>24</v>
      </c>
      <c r="C3346" s="8">
        <v>3063</v>
      </c>
      <c r="D3346" s="16">
        <v>3.2800280000000001E-2</v>
      </c>
      <c r="E3346" s="8">
        <v>1.6400140000000001E-2</v>
      </c>
    </row>
    <row r="3347" spans="1:5" x14ac:dyDescent="0.3">
      <c r="A3347" s="8">
        <v>82</v>
      </c>
      <c r="B3347" s="8">
        <v>25</v>
      </c>
      <c r="C3347" s="8">
        <v>3042</v>
      </c>
      <c r="D3347" s="16">
        <v>-2.8913669999999999E-2</v>
      </c>
      <c r="E3347" s="8">
        <v>-1.4456834999999999E-2</v>
      </c>
    </row>
    <row r="3348" spans="1:5" x14ac:dyDescent="0.3">
      <c r="A3348" s="8">
        <v>82</v>
      </c>
      <c r="B3348" s="8">
        <v>26</v>
      </c>
      <c r="C3348" s="8">
        <v>3049</v>
      </c>
      <c r="D3348" s="16">
        <v>-3.2152720000000003E-2</v>
      </c>
      <c r="E3348" s="8">
        <v>-1.6076360000000001E-2</v>
      </c>
    </row>
    <row r="3349" spans="1:5" x14ac:dyDescent="0.3">
      <c r="A3349" s="8">
        <v>82</v>
      </c>
      <c r="B3349" s="8">
        <v>27</v>
      </c>
      <c r="C3349" s="8">
        <v>3060</v>
      </c>
      <c r="D3349" s="16">
        <v>5.8524329999999998E-3</v>
      </c>
      <c r="E3349" s="8">
        <v>2.9262164999999999E-3</v>
      </c>
    </row>
    <row r="3350" spans="1:5" x14ac:dyDescent="0.3">
      <c r="A3350" s="8">
        <v>82</v>
      </c>
      <c r="B3350" s="8">
        <v>28</v>
      </c>
      <c r="C3350" s="8">
        <v>3028</v>
      </c>
      <c r="D3350" s="16">
        <v>-2.1612889999999999E-2</v>
      </c>
      <c r="E3350" s="8">
        <v>-1.0806445E-2</v>
      </c>
    </row>
    <row r="3351" spans="1:5" x14ac:dyDescent="0.3">
      <c r="A3351" s="8">
        <v>82</v>
      </c>
      <c r="B3351" s="8">
        <v>29</v>
      </c>
      <c r="C3351" s="8">
        <v>3032</v>
      </c>
      <c r="D3351" s="16">
        <v>-4.2725840000000003E-3</v>
      </c>
      <c r="E3351" s="8">
        <v>-2.1362920000000001E-3</v>
      </c>
    </row>
    <row r="3352" spans="1:5" x14ac:dyDescent="0.3">
      <c r="A3352" s="8">
        <v>82</v>
      </c>
      <c r="B3352" s="8">
        <v>30</v>
      </c>
      <c r="C3352" s="8">
        <v>3035</v>
      </c>
      <c r="D3352" s="16">
        <v>-1.004086E-2</v>
      </c>
      <c r="E3352" s="8">
        <v>-5.0204300000000002E-3</v>
      </c>
    </row>
    <row r="3353" spans="1:5" x14ac:dyDescent="0.3">
      <c r="A3353" s="8">
        <v>82</v>
      </c>
      <c r="B3353" s="8">
        <v>31</v>
      </c>
      <c r="C3353" s="8">
        <v>2960</v>
      </c>
      <c r="D3353" s="16">
        <v>1.3206280000000001E-2</v>
      </c>
      <c r="E3353" s="8">
        <v>6.6031400000000004E-3</v>
      </c>
    </row>
    <row r="3354" spans="1:5" x14ac:dyDescent="0.3">
      <c r="A3354" s="8">
        <v>82</v>
      </c>
      <c r="B3354" s="8">
        <v>32</v>
      </c>
      <c r="C3354" s="8">
        <v>3027</v>
      </c>
      <c r="D3354" s="16">
        <v>6.40713E-4</v>
      </c>
      <c r="E3354" s="8">
        <v>3.203565E-4</v>
      </c>
    </row>
    <row r="3355" spans="1:5" x14ac:dyDescent="0.3">
      <c r="A3355" s="8">
        <v>82</v>
      </c>
      <c r="B3355" s="8">
        <v>33</v>
      </c>
      <c r="C3355" s="8">
        <v>3054</v>
      </c>
      <c r="D3355" s="16">
        <v>2.1362909999999999E-2</v>
      </c>
      <c r="E3355" s="8">
        <v>1.0681454999999999E-2</v>
      </c>
    </row>
    <row r="3356" spans="1:5" x14ac:dyDescent="0.3">
      <c r="A3356" s="8">
        <v>82</v>
      </c>
      <c r="B3356" s="8">
        <v>34</v>
      </c>
      <c r="C3356" s="8">
        <v>3044</v>
      </c>
      <c r="D3356" s="16">
        <v>-4.236463E-2</v>
      </c>
      <c r="E3356" s="8">
        <v>-2.1182315E-2</v>
      </c>
    </row>
    <row r="3357" spans="1:5" x14ac:dyDescent="0.3">
      <c r="A3357" s="8">
        <v>82</v>
      </c>
      <c r="B3357" s="8">
        <v>35</v>
      </c>
      <c r="C3357" s="8">
        <v>3038</v>
      </c>
      <c r="D3357" s="16">
        <v>-8.1721810000000006E-2</v>
      </c>
      <c r="E3357" s="8">
        <v>-4.0860905000000003E-2</v>
      </c>
    </row>
    <row r="3358" spans="1:5" x14ac:dyDescent="0.3">
      <c r="A3358" s="8">
        <v>82</v>
      </c>
      <c r="B3358" s="8">
        <v>36</v>
      </c>
      <c r="C3358" s="8">
        <v>3051</v>
      </c>
      <c r="D3358" s="16">
        <v>-8.1891949999999998E-3</v>
      </c>
      <c r="E3358" s="8">
        <v>-4.0945974999999999E-3</v>
      </c>
    </row>
    <row r="3359" spans="1:5" x14ac:dyDescent="0.3">
      <c r="A3359" s="8">
        <v>82</v>
      </c>
      <c r="B3359" s="8">
        <v>37</v>
      </c>
      <c r="C3359" s="8">
        <v>3011</v>
      </c>
      <c r="D3359" s="16">
        <v>-3.1852770000000002E-2</v>
      </c>
      <c r="E3359" s="8">
        <v>-1.5926385000000001E-2</v>
      </c>
    </row>
    <row r="3360" spans="1:5" x14ac:dyDescent="0.3">
      <c r="A3360" s="8">
        <v>82</v>
      </c>
      <c r="B3360" s="8">
        <v>38</v>
      </c>
      <c r="C3360" s="8">
        <v>3060</v>
      </c>
      <c r="D3360" s="16">
        <v>-3.7360160000000003E-2</v>
      </c>
      <c r="E3360" s="8">
        <v>-1.8680080000000002E-2</v>
      </c>
    </row>
    <row r="3361" spans="1:5" x14ac:dyDescent="0.3">
      <c r="A3361" s="8">
        <v>82</v>
      </c>
      <c r="B3361" s="8">
        <v>39</v>
      </c>
      <c r="C3361" s="8">
        <v>3050</v>
      </c>
      <c r="D3361" s="16">
        <v>-4.078528E-2</v>
      </c>
      <c r="E3361" s="8">
        <v>-2.039264E-2</v>
      </c>
    </row>
    <row r="3362" spans="1:5" x14ac:dyDescent="0.3">
      <c r="A3362" s="8">
        <v>82</v>
      </c>
      <c r="B3362" s="8">
        <v>40</v>
      </c>
      <c r="C3362" s="8">
        <v>3047</v>
      </c>
      <c r="D3362" s="16">
        <v>-2.550264E-2</v>
      </c>
      <c r="E3362" s="8">
        <v>-1.275132E-2</v>
      </c>
    </row>
    <row r="3363" spans="1:5" x14ac:dyDescent="0.3">
      <c r="A3363" s="8">
        <v>82</v>
      </c>
      <c r="B3363" s="8">
        <v>41</v>
      </c>
      <c r="C3363" s="8">
        <v>3024</v>
      </c>
      <c r="D3363" s="16">
        <v>3.021316E-3</v>
      </c>
      <c r="E3363" s="8">
        <v>1.510658E-3</v>
      </c>
    </row>
    <row r="3364" spans="1:5" x14ac:dyDescent="0.3">
      <c r="A3364" s="8">
        <v>82</v>
      </c>
      <c r="B3364" s="8">
        <v>42</v>
      </c>
      <c r="C3364" s="8">
        <v>3016</v>
      </c>
      <c r="D3364" s="16">
        <v>-2.088127E-2</v>
      </c>
      <c r="E3364" s="8">
        <v>-1.0440635E-2</v>
      </c>
    </row>
    <row r="3365" spans="1:5" x14ac:dyDescent="0.3">
      <c r="A3365" s="8">
        <v>82</v>
      </c>
      <c r="B3365" s="8">
        <v>43</v>
      </c>
      <c r="C3365" s="8">
        <v>3028</v>
      </c>
      <c r="D3365" s="16">
        <v>1.2028809999999999E-2</v>
      </c>
      <c r="E3365" s="8">
        <v>6.0144049999999996E-3</v>
      </c>
    </row>
    <row r="3366" spans="1:5" x14ac:dyDescent="0.3">
      <c r="A3366" s="8">
        <v>82</v>
      </c>
      <c r="B3366" s="8">
        <v>44</v>
      </c>
      <c r="C3366" s="8">
        <v>3014</v>
      </c>
      <c r="D3366" s="16">
        <v>-3.6434940000000002E-3</v>
      </c>
      <c r="E3366" s="8">
        <v>-1.8217470000000001E-3</v>
      </c>
    </row>
    <row r="3367" spans="1:5" x14ac:dyDescent="0.3">
      <c r="A3367" s="8">
        <v>82</v>
      </c>
      <c r="B3367" s="8">
        <v>45</v>
      </c>
      <c r="C3367" s="8">
        <v>3039</v>
      </c>
      <c r="D3367" s="16">
        <v>-2.2933350000000002E-2</v>
      </c>
      <c r="E3367" s="8">
        <v>-1.1466675000000001E-2</v>
      </c>
    </row>
    <row r="3368" spans="1:5" x14ac:dyDescent="0.3">
      <c r="A3368" s="8">
        <v>82</v>
      </c>
      <c r="B3368" s="8">
        <v>46</v>
      </c>
      <c r="C3368" s="8">
        <v>3034</v>
      </c>
      <c r="D3368" s="16">
        <v>-3.7315889999999997E-2</v>
      </c>
      <c r="E3368" s="8">
        <v>-1.8657944999999999E-2</v>
      </c>
    </row>
    <row r="3369" spans="1:5" x14ac:dyDescent="0.3">
      <c r="A3369" s="8">
        <v>82</v>
      </c>
      <c r="B3369" s="8">
        <v>47</v>
      </c>
      <c r="C3369" s="8">
        <v>3016</v>
      </c>
      <c r="D3369" s="16">
        <v>-3.541267E-2</v>
      </c>
      <c r="E3369" s="8">
        <v>-1.7706335E-2</v>
      </c>
    </row>
    <row r="3370" spans="1:5" x14ac:dyDescent="0.3">
      <c r="A3370" s="8">
        <v>82</v>
      </c>
      <c r="B3370" s="8">
        <v>48</v>
      </c>
      <c r="C3370" s="8">
        <v>3039</v>
      </c>
      <c r="D3370" s="16">
        <v>-8.5739040000000002E-3</v>
      </c>
      <c r="E3370" s="8">
        <v>-4.2869520000000001E-3</v>
      </c>
    </row>
    <row r="3371" spans="1:5" x14ac:dyDescent="0.3">
      <c r="A3371" s="8">
        <v>82</v>
      </c>
      <c r="B3371" s="8">
        <v>49</v>
      </c>
      <c r="C3371" s="8">
        <v>3012</v>
      </c>
      <c r="D3371" s="16">
        <v>2.3567039999999998E-3</v>
      </c>
      <c r="E3371" s="8">
        <v>1.1783519999999999E-3</v>
      </c>
    </row>
    <row r="3372" spans="1:5" x14ac:dyDescent="0.3">
      <c r="A3372" s="8">
        <v>82</v>
      </c>
      <c r="B3372" s="8">
        <v>50</v>
      </c>
      <c r="C3372" s="8">
        <v>3054</v>
      </c>
      <c r="D3372" s="16">
        <v>-5.0849850000000002E-3</v>
      </c>
      <c r="E3372" s="8">
        <v>-2.5424925000000001E-3</v>
      </c>
    </row>
    <row r="3373" spans="1:5" x14ac:dyDescent="0.3">
      <c r="A3373" s="8">
        <v>82</v>
      </c>
      <c r="B3373" s="8">
        <v>51</v>
      </c>
      <c r="C3373" s="8">
        <v>3038</v>
      </c>
      <c r="D3373" s="16">
        <v>-2.893008E-2</v>
      </c>
      <c r="E3373" s="8">
        <v>-1.446504E-2</v>
      </c>
    </row>
    <row r="3374" spans="1:5" x14ac:dyDescent="0.3">
      <c r="A3374" s="8">
        <v>82</v>
      </c>
      <c r="B3374" s="8">
        <v>52</v>
      </c>
      <c r="C3374" s="8">
        <v>3038</v>
      </c>
      <c r="D3374" s="16">
        <v>-1.394337E-2</v>
      </c>
      <c r="E3374" s="8">
        <v>-6.971685E-3</v>
      </c>
    </row>
    <row r="3375" spans="1:5" x14ac:dyDescent="0.3">
      <c r="A3375" s="8">
        <v>82</v>
      </c>
      <c r="B3375" s="8">
        <v>53</v>
      </c>
      <c r="C3375" s="8">
        <v>3034</v>
      </c>
      <c r="D3375" s="16">
        <v>-5.9155159999999998E-2</v>
      </c>
      <c r="E3375" s="8">
        <v>-2.9577579999999999E-2</v>
      </c>
    </row>
    <row r="3376" spans="1:5" x14ac:dyDescent="0.3">
      <c r="A3376" s="8">
        <v>82</v>
      </c>
      <c r="B3376" s="8">
        <v>54</v>
      </c>
      <c r="C3376" s="8">
        <v>3020</v>
      </c>
      <c r="D3376" s="16">
        <v>9.1318809999999997E-3</v>
      </c>
      <c r="E3376" s="8">
        <v>4.5659404999999998E-3</v>
      </c>
    </row>
    <row r="3377" spans="1:5" x14ac:dyDescent="0.3">
      <c r="A3377" s="8">
        <v>82</v>
      </c>
      <c r="B3377" s="8">
        <v>55</v>
      </c>
      <c r="C3377" s="8">
        <v>3046</v>
      </c>
      <c r="D3377" s="16">
        <v>1.672763E-2</v>
      </c>
      <c r="E3377" s="8">
        <v>8.3638150000000001E-3</v>
      </c>
    </row>
    <row r="3378" spans="1:5" x14ac:dyDescent="0.3">
      <c r="A3378" s="8">
        <v>82</v>
      </c>
      <c r="B3378" s="8">
        <v>56</v>
      </c>
      <c r="C3378" s="8">
        <v>3050</v>
      </c>
      <c r="D3378" s="16">
        <v>-4.8077599999999998E-2</v>
      </c>
      <c r="E3378" s="8">
        <v>-2.4038799999999999E-2</v>
      </c>
    </row>
    <row r="3379" spans="1:5" x14ac:dyDescent="0.3">
      <c r="A3379" s="8">
        <v>82</v>
      </c>
      <c r="B3379" s="8">
        <v>57</v>
      </c>
      <c r="C3379" s="8">
        <v>3061</v>
      </c>
      <c r="D3379" s="16">
        <v>4.0310459999999999E-3</v>
      </c>
      <c r="E3379" s="8">
        <v>2.015523E-3</v>
      </c>
    </row>
    <row r="3380" spans="1:5" x14ac:dyDescent="0.3">
      <c r="A3380" s="8">
        <v>82</v>
      </c>
      <c r="B3380" s="8">
        <v>58</v>
      </c>
      <c r="C3380" s="8">
        <v>3041</v>
      </c>
      <c r="D3380" s="16">
        <v>-1.175026E-2</v>
      </c>
      <c r="E3380" s="8">
        <v>-5.8751300000000001E-3</v>
      </c>
    </row>
    <row r="3381" spans="1:5" x14ac:dyDescent="0.3">
      <c r="A3381" s="8">
        <v>82</v>
      </c>
      <c r="B3381" s="8">
        <v>59</v>
      </c>
      <c r="C3381" s="8">
        <v>3047</v>
      </c>
      <c r="D3381" s="16">
        <v>-1.181484E-2</v>
      </c>
      <c r="E3381" s="8">
        <v>-5.90742E-3</v>
      </c>
    </row>
    <row r="3382" spans="1:5" x14ac:dyDescent="0.3">
      <c r="A3382" s="8">
        <v>82</v>
      </c>
      <c r="B3382" s="8">
        <v>60</v>
      </c>
      <c r="C3382" s="8">
        <v>3038</v>
      </c>
      <c r="D3382" s="16">
        <v>7.049352E-3</v>
      </c>
      <c r="E3382" s="8">
        <v>3.524676E-3</v>
      </c>
    </row>
    <row r="3383" spans="1:5" x14ac:dyDescent="0.3">
      <c r="A3383" s="8">
        <v>82</v>
      </c>
      <c r="B3383" s="8">
        <v>61</v>
      </c>
      <c r="C3383" s="8">
        <v>3041</v>
      </c>
      <c r="D3383" s="16">
        <v>-2.842685E-2</v>
      </c>
      <c r="E3383" s="8">
        <v>-1.4213425E-2</v>
      </c>
    </row>
    <row r="3384" spans="1:5" x14ac:dyDescent="0.3">
      <c r="A3384" s="8">
        <v>82</v>
      </c>
      <c r="B3384" s="8">
        <v>62</v>
      </c>
      <c r="C3384" s="8">
        <v>3045</v>
      </c>
      <c r="D3384" s="16">
        <v>-4.9410129999999997E-2</v>
      </c>
      <c r="E3384" s="8">
        <v>-2.4705064999999998E-2</v>
      </c>
    </row>
    <row r="3385" spans="1:5" x14ac:dyDescent="0.3">
      <c r="A3385" s="8">
        <v>82</v>
      </c>
      <c r="B3385" s="8">
        <v>63</v>
      </c>
      <c r="C3385" s="8">
        <v>3046</v>
      </c>
      <c r="D3385" s="16">
        <v>-6.5812889999999999E-2</v>
      </c>
      <c r="E3385" s="8">
        <v>-3.2906444999999999E-2</v>
      </c>
    </row>
    <row r="3386" spans="1:5" x14ac:dyDescent="0.3">
      <c r="A3386" s="8">
        <v>82</v>
      </c>
      <c r="B3386" s="8">
        <v>64</v>
      </c>
      <c r="C3386" s="8">
        <v>3038</v>
      </c>
      <c r="D3386" s="16">
        <v>-6.7001750000000001E-3</v>
      </c>
      <c r="E3386" s="8">
        <v>-3.3500875E-3</v>
      </c>
    </row>
    <row r="3387" spans="1:5" x14ac:dyDescent="0.3">
      <c r="A3387" s="8">
        <v>82</v>
      </c>
      <c r="B3387" s="8">
        <v>65</v>
      </c>
      <c r="C3387" s="8">
        <v>3038</v>
      </c>
      <c r="D3387" s="16">
        <v>-1.9713890000000001E-2</v>
      </c>
      <c r="E3387" s="8">
        <v>-9.8569450000000006E-3</v>
      </c>
    </row>
    <row r="3388" spans="1:5" x14ac:dyDescent="0.3">
      <c r="A3388" s="8">
        <v>82</v>
      </c>
      <c r="B3388" s="8">
        <v>66</v>
      </c>
      <c r="C3388" s="8">
        <v>3044</v>
      </c>
      <c r="D3388" s="16">
        <v>1.495377E-2</v>
      </c>
      <c r="E3388" s="8">
        <v>7.476885E-3</v>
      </c>
    </row>
    <row r="3389" spans="1:5" x14ac:dyDescent="0.3">
      <c r="A3389" s="8">
        <v>82</v>
      </c>
      <c r="B3389" s="8">
        <v>67</v>
      </c>
      <c r="C3389" s="8">
        <v>3033</v>
      </c>
      <c r="D3389" s="16">
        <v>-7.4165659999999994E-2</v>
      </c>
      <c r="E3389" s="8">
        <v>-3.7082829999999997E-2</v>
      </c>
    </row>
    <row r="3390" spans="1:5" x14ac:dyDescent="0.3">
      <c r="A3390" s="8">
        <v>82</v>
      </c>
      <c r="B3390" s="8">
        <v>68</v>
      </c>
      <c r="C3390" s="8">
        <v>3033</v>
      </c>
      <c r="D3390" s="16">
        <v>1.03237E-2</v>
      </c>
      <c r="E3390" s="8">
        <v>5.1618499999999999E-3</v>
      </c>
    </row>
    <row r="3391" spans="1:5" x14ac:dyDescent="0.3">
      <c r="A3391" s="8">
        <v>82</v>
      </c>
      <c r="B3391" s="8">
        <v>69</v>
      </c>
      <c r="C3391" s="8">
        <v>3038</v>
      </c>
      <c r="D3391" s="16">
        <v>2.5762789999999999E-3</v>
      </c>
      <c r="E3391" s="8">
        <v>1.2881394999999999E-3</v>
      </c>
    </row>
    <row r="3392" spans="1:5" x14ac:dyDescent="0.3">
      <c r="A3392" s="8">
        <v>82</v>
      </c>
      <c r="B3392" s="8">
        <v>70</v>
      </c>
      <c r="C3392" s="8">
        <v>3047</v>
      </c>
      <c r="D3392" s="16">
        <v>2.613824E-2</v>
      </c>
      <c r="E3392" s="8">
        <v>1.306912E-2</v>
      </c>
    </row>
    <row r="3393" spans="1:5" x14ac:dyDescent="0.3">
      <c r="A3393" s="8">
        <v>82</v>
      </c>
      <c r="B3393" s="8">
        <v>71</v>
      </c>
      <c r="C3393" s="8">
        <v>3035</v>
      </c>
      <c r="D3393" s="16">
        <v>-3.0618179999999998E-2</v>
      </c>
      <c r="E3393" s="8">
        <v>-1.5309089999999999E-2</v>
      </c>
    </row>
    <row r="3394" spans="1:5" x14ac:dyDescent="0.3">
      <c r="A3394" s="8">
        <v>82</v>
      </c>
      <c r="B3394" s="8">
        <v>72</v>
      </c>
      <c r="C3394" s="8">
        <v>3036</v>
      </c>
      <c r="D3394" s="16">
        <v>-3.3428230000000003E-2</v>
      </c>
      <c r="E3394" s="8">
        <v>-1.6714115000000002E-2</v>
      </c>
    </row>
    <row r="3395" spans="1:5" x14ac:dyDescent="0.3">
      <c r="A3395" s="8">
        <v>82</v>
      </c>
      <c r="B3395" s="8">
        <v>73</v>
      </c>
      <c r="C3395" s="8">
        <v>3055</v>
      </c>
      <c r="D3395" s="16">
        <v>9.0764969999999993E-3</v>
      </c>
      <c r="E3395" s="8">
        <v>4.5382484999999997E-3</v>
      </c>
    </row>
    <row r="3396" spans="1:5" x14ac:dyDescent="0.3">
      <c r="A3396" s="8">
        <v>82</v>
      </c>
      <c r="B3396" s="8">
        <v>74</v>
      </c>
      <c r="C3396" s="8">
        <v>3030</v>
      </c>
      <c r="D3396" s="16">
        <v>-4.0591830000000002E-2</v>
      </c>
      <c r="E3396" s="8">
        <v>-2.0295915000000001E-2</v>
      </c>
    </row>
    <row r="3397" spans="1:5" x14ac:dyDescent="0.3">
      <c r="A3397" s="8">
        <v>82</v>
      </c>
      <c r="B3397" s="8">
        <v>75</v>
      </c>
      <c r="C3397" s="8">
        <v>3044</v>
      </c>
      <c r="D3397" s="16">
        <v>2.286989E-2</v>
      </c>
      <c r="E3397" s="8">
        <v>1.1434945E-2</v>
      </c>
    </row>
    <row r="3398" spans="1:5" x14ac:dyDescent="0.3">
      <c r="A3398" s="8">
        <v>82</v>
      </c>
      <c r="B3398" s="8">
        <v>76</v>
      </c>
      <c r="C3398" s="8">
        <v>3040</v>
      </c>
      <c r="D3398" s="16">
        <v>-1.321665E-2</v>
      </c>
      <c r="E3398" s="8">
        <v>-6.608325E-3</v>
      </c>
    </row>
    <row r="3399" spans="1:5" x14ac:dyDescent="0.3">
      <c r="A3399" s="8">
        <v>82</v>
      </c>
      <c r="B3399" s="8">
        <v>77</v>
      </c>
      <c r="C3399" s="8">
        <v>3034</v>
      </c>
      <c r="D3399" s="16">
        <v>1.2957929999999999E-3</v>
      </c>
      <c r="E3399" s="8">
        <v>6.4789649999999997E-4</v>
      </c>
    </row>
    <row r="3400" spans="1:5" x14ac:dyDescent="0.3">
      <c r="A3400" s="8">
        <v>82</v>
      </c>
      <c r="B3400" s="8">
        <v>78</v>
      </c>
      <c r="C3400" s="8">
        <v>3040</v>
      </c>
      <c r="D3400" s="16">
        <v>-3.6683449999999999E-2</v>
      </c>
      <c r="E3400" s="8">
        <v>-1.8341725E-2</v>
      </c>
    </row>
    <row r="3401" spans="1:5" x14ac:dyDescent="0.3">
      <c r="A3401" s="8">
        <v>82</v>
      </c>
      <c r="B3401" s="8">
        <v>79</v>
      </c>
      <c r="C3401" s="8">
        <v>3034</v>
      </c>
      <c r="D3401" s="16">
        <v>-2.1956050000000001E-2</v>
      </c>
      <c r="E3401" s="8">
        <v>-1.0978025000000001E-2</v>
      </c>
    </row>
    <row r="3402" spans="1:5" x14ac:dyDescent="0.3">
      <c r="A3402" s="8">
        <v>82</v>
      </c>
      <c r="B3402" s="8">
        <v>80</v>
      </c>
      <c r="C3402" s="8">
        <v>3031</v>
      </c>
      <c r="D3402" s="16">
        <v>-1.7026139999999999E-2</v>
      </c>
      <c r="E3402" s="8">
        <v>-8.5130699999999993E-3</v>
      </c>
    </row>
    <row r="3403" spans="1:5" x14ac:dyDescent="0.3">
      <c r="A3403" s="8">
        <v>82</v>
      </c>
      <c r="B3403" s="8">
        <v>81</v>
      </c>
      <c r="C3403" s="8">
        <v>3059</v>
      </c>
      <c r="D3403" s="16">
        <v>4.1495490000000002E-5</v>
      </c>
      <c r="E3403" s="8">
        <v>2.0747745000000001E-5</v>
      </c>
    </row>
    <row r="3404" spans="1:5" x14ac:dyDescent="0.3">
      <c r="A3404" s="8">
        <v>82</v>
      </c>
      <c r="B3404" s="8">
        <v>82</v>
      </c>
      <c r="C3404" s="8">
        <v>3141</v>
      </c>
      <c r="D3404" s="16">
        <v>1.0677639999999999</v>
      </c>
      <c r="E3404" s="8"/>
    </row>
    <row r="3405" spans="1:5" x14ac:dyDescent="0.3">
      <c r="A3405" s="8">
        <v>83</v>
      </c>
      <c r="B3405" s="8">
        <v>1</v>
      </c>
      <c r="C3405" s="8">
        <v>3085</v>
      </c>
      <c r="D3405" s="16">
        <v>-1.4506700000000001E-2</v>
      </c>
      <c r="E3405" s="8">
        <v>-7.2533500000000004E-3</v>
      </c>
    </row>
    <row r="3406" spans="1:5" x14ac:dyDescent="0.3">
      <c r="A3406" s="8">
        <v>83</v>
      </c>
      <c r="B3406" s="8">
        <v>2</v>
      </c>
      <c r="C3406" s="8">
        <v>3051</v>
      </c>
      <c r="D3406" s="16">
        <v>-1.7515800000000002E-2</v>
      </c>
      <c r="E3406" s="8">
        <v>-8.7579000000000008E-3</v>
      </c>
    </row>
    <row r="3407" spans="1:5" x14ac:dyDescent="0.3">
      <c r="A3407" s="8">
        <v>83</v>
      </c>
      <c r="B3407" s="8">
        <v>3</v>
      </c>
      <c r="C3407" s="8">
        <v>3082</v>
      </c>
      <c r="D3407" s="16">
        <v>-4.4408580000000003E-2</v>
      </c>
      <c r="E3407" s="8">
        <v>-2.2204290000000002E-2</v>
      </c>
    </row>
    <row r="3408" spans="1:5" x14ac:dyDescent="0.3">
      <c r="A3408" s="8">
        <v>83</v>
      </c>
      <c r="B3408" s="8">
        <v>4</v>
      </c>
      <c r="C3408" s="8">
        <v>3058</v>
      </c>
      <c r="D3408" s="16">
        <v>-4.746732E-2</v>
      </c>
      <c r="E3408" s="8">
        <v>-2.373366E-2</v>
      </c>
    </row>
    <row r="3409" spans="1:5" x14ac:dyDescent="0.3">
      <c r="A3409" s="8">
        <v>83</v>
      </c>
      <c r="B3409" s="8">
        <v>5</v>
      </c>
      <c r="C3409" s="8">
        <v>3048</v>
      </c>
      <c r="D3409" s="16">
        <v>-4.6480279999999999E-2</v>
      </c>
      <c r="E3409" s="8">
        <v>-2.3240139999999999E-2</v>
      </c>
    </row>
    <row r="3410" spans="1:5" x14ac:dyDescent="0.3">
      <c r="A3410" s="8">
        <v>83</v>
      </c>
      <c r="B3410" s="8">
        <v>6</v>
      </c>
      <c r="C3410" s="8">
        <v>3065</v>
      </c>
      <c r="D3410" s="16">
        <v>-2.7952339999999999E-2</v>
      </c>
      <c r="E3410" s="8">
        <v>-1.397617E-2</v>
      </c>
    </row>
    <row r="3411" spans="1:5" x14ac:dyDescent="0.3">
      <c r="A3411" s="8">
        <v>83</v>
      </c>
      <c r="B3411" s="8">
        <v>7</v>
      </c>
      <c r="C3411" s="8">
        <v>3058</v>
      </c>
      <c r="D3411" s="16">
        <v>-7.404057E-2</v>
      </c>
      <c r="E3411" s="8">
        <v>-3.7020285E-2</v>
      </c>
    </row>
    <row r="3412" spans="1:5" x14ac:dyDescent="0.3">
      <c r="A3412" s="8">
        <v>83</v>
      </c>
      <c r="B3412" s="8">
        <v>8</v>
      </c>
      <c r="C3412" s="8">
        <v>3074</v>
      </c>
      <c r="D3412" s="16">
        <v>-1.1683809999999999E-2</v>
      </c>
      <c r="E3412" s="8">
        <v>-5.8419049999999997E-3</v>
      </c>
    </row>
    <row r="3413" spans="1:5" x14ac:dyDescent="0.3">
      <c r="A3413" s="8">
        <v>83</v>
      </c>
      <c r="B3413" s="8">
        <v>9</v>
      </c>
      <c r="C3413" s="8">
        <v>3070</v>
      </c>
      <c r="D3413" s="16">
        <v>-1.393222E-2</v>
      </c>
      <c r="E3413" s="8">
        <v>-6.9661100000000002E-3</v>
      </c>
    </row>
    <row r="3414" spans="1:5" x14ac:dyDescent="0.3">
      <c r="A3414" s="8">
        <v>83</v>
      </c>
      <c r="B3414" s="8">
        <v>10</v>
      </c>
      <c r="C3414" s="8">
        <v>3057</v>
      </c>
      <c r="D3414" s="16">
        <v>5.3706880000000002E-3</v>
      </c>
      <c r="E3414" s="8">
        <v>2.6853440000000001E-3</v>
      </c>
    </row>
    <row r="3415" spans="1:5" x14ac:dyDescent="0.3">
      <c r="A3415" s="8">
        <v>83</v>
      </c>
      <c r="B3415" s="8">
        <v>11</v>
      </c>
      <c r="C3415" s="8">
        <v>3060</v>
      </c>
      <c r="D3415" s="16">
        <v>-1.555584E-2</v>
      </c>
      <c r="E3415" s="8">
        <v>-7.7779199999999998E-3</v>
      </c>
    </row>
    <row r="3416" spans="1:5" x14ac:dyDescent="0.3">
      <c r="A3416" s="8">
        <v>83</v>
      </c>
      <c r="B3416" s="8">
        <v>12</v>
      </c>
      <c r="C3416" s="8">
        <v>3075</v>
      </c>
      <c r="D3416" s="16">
        <v>3.212992E-3</v>
      </c>
      <c r="E3416" s="8">
        <v>1.606496E-3</v>
      </c>
    </row>
    <row r="3417" spans="1:5" x14ac:dyDescent="0.3">
      <c r="A3417" s="8">
        <v>83</v>
      </c>
      <c r="B3417" s="8">
        <v>13</v>
      </c>
      <c r="C3417" s="8">
        <v>3061</v>
      </c>
      <c r="D3417" s="16">
        <v>3.4265379999999998E-2</v>
      </c>
      <c r="E3417" s="8">
        <v>1.7132689999999999E-2</v>
      </c>
    </row>
    <row r="3418" spans="1:5" x14ac:dyDescent="0.3">
      <c r="A3418" s="8">
        <v>83</v>
      </c>
      <c r="B3418" s="8">
        <v>14</v>
      </c>
      <c r="C3418" s="8">
        <v>3063</v>
      </c>
      <c r="D3418" s="16">
        <v>-2.7494999999999999E-2</v>
      </c>
      <c r="E3418" s="8">
        <v>-1.3747499999999999E-2</v>
      </c>
    </row>
    <row r="3419" spans="1:5" x14ac:dyDescent="0.3">
      <c r="A3419" s="8">
        <v>83</v>
      </c>
      <c r="B3419" s="8">
        <v>15</v>
      </c>
      <c r="C3419" s="8">
        <v>3064</v>
      </c>
      <c r="D3419" s="16">
        <v>-2.8816899999999999E-2</v>
      </c>
      <c r="E3419" s="8">
        <v>-1.440845E-2</v>
      </c>
    </row>
    <row r="3420" spans="1:5" x14ac:dyDescent="0.3">
      <c r="A3420" s="8">
        <v>83</v>
      </c>
      <c r="B3420" s="8">
        <v>16</v>
      </c>
      <c r="C3420" s="8">
        <v>3070</v>
      </c>
      <c r="D3420" s="16">
        <v>-1.1247210000000001E-2</v>
      </c>
      <c r="E3420" s="8">
        <v>-5.6236050000000003E-3</v>
      </c>
    </row>
    <row r="3421" spans="1:5" x14ac:dyDescent="0.3">
      <c r="A3421" s="8">
        <v>83</v>
      </c>
      <c r="B3421" s="8">
        <v>17</v>
      </c>
      <c r="C3421" s="8">
        <v>3068</v>
      </c>
      <c r="D3421" s="16">
        <v>9.6332540000000008E-3</v>
      </c>
      <c r="E3421" s="8">
        <v>4.8166270000000004E-3</v>
      </c>
    </row>
    <row r="3422" spans="1:5" x14ac:dyDescent="0.3">
      <c r="A3422" s="8">
        <v>83</v>
      </c>
      <c r="B3422" s="8">
        <v>18</v>
      </c>
      <c r="C3422" s="8">
        <v>3083</v>
      </c>
      <c r="D3422" s="16">
        <v>-2.066221E-2</v>
      </c>
      <c r="E3422" s="8">
        <v>-1.0331105E-2</v>
      </c>
    </row>
    <row r="3423" spans="1:5" x14ac:dyDescent="0.3">
      <c r="A3423" s="8">
        <v>83</v>
      </c>
      <c r="B3423" s="8">
        <v>19</v>
      </c>
      <c r="C3423" s="8">
        <v>3070</v>
      </c>
      <c r="D3423" s="16">
        <v>2.8273119999999999E-2</v>
      </c>
      <c r="E3423" s="8">
        <v>1.4136559999999999E-2</v>
      </c>
    </row>
    <row r="3424" spans="1:5" x14ac:dyDescent="0.3">
      <c r="A3424" s="8">
        <v>83</v>
      </c>
      <c r="B3424" s="8">
        <v>20</v>
      </c>
      <c r="C3424" s="8">
        <v>3074</v>
      </c>
      <c r="D3424" s="16">
        <v>-4.2879820000000001E-3</v>
      </c>
      <c r="E3424" s="8">
        <v>-2.143991E-3</v>
      </c>
    </row>
    <row r="3425" spans="1:5" x14ac:dyDescent="0.3">
      <c r="A3425" s="8">
        <v>83</v>
      </c>
      <c r="B3425" s="8">
        <v>21</v>
      </c>
      <c r="C3425" s="8">
        <v>3073</v>
      </c>
      <c r="D3425" s="16">
        <v>-2.2919499999999999E-2</v>
      </c>
      <c r="E3425" s="8">
        <v>-1.1459749999999999E-2</v>
      </c>
    </row>
    <row r="3426" spans="1:5" x14ac:dyDescent="0.3">
      <c r="A3426" s="8">
        <v>83</v>
      </c>
      <c r="B3426" s="8">
        <v>22</v>
      </c>
      <c r="C3426" s="8">
        <v>3064</v>
      </c>
      <c r="D3426" s="16">
        <v>-9.4457929999999992E-3</v>
      </c>
      <c r="E3426" s="8">
        <v>-4.7228964999999996E-3</v>
      </c>
    </row>
    <row r="3427" spans="1:5" x14ac:dyDescent="0.3">
      <c r="A3427" s="8">
        <v>83</v>
      </c>
      <c r="B3427" s="8">
        <v>23</v>
      </c>
      <c r="C3427" s="8">
        <v>3060</v>
      </c>
      <c r="D3427" s="16">
        <v>-3.9142259999999998E-2</v>
      </c>
      <c r="E3427" s="8">
        <v>-1.9571129999999999E-2</v>
      </c>
    </row>
    <row r="3428" spans="1:5" x14ac:dyDescent="0.3">
      <c r="A3428" s="8">
        <v>83</v>
      </c>
      <c r="B3428" s="8">
        <v>24</v>
      </c>
      <c r="C3428" s="8">
        <v>3085</v>
      </c>
      <c r="D3428" s="16">
        <v>-5.6854450000000001E-2</v>
      </c>
      <c r="E3428" s="8">
        <v>-2.8427225E-2</v>
      </c>
    </row>
    <row r="3429" spans="1:5" x14ac:dyDescent="0.3">
      <c r="A3429" s="8">
        <v>83</v>
      </c>
      <c r="B3429" s="8">
        <v>25</v>
      </c>
      <c r="C3429" s="8">
        <v>3071</v>
      </c>
      <c r="D3429" s="16">
        <v>-2.6013329999999999E-3</v>
      </c>
      <c r="E3429" s="8">
        <v>-1.3006665E-3</v>
      </c>
    </row>
    <row r="3430" spans="1:5" x14ac:dyDescent="0.3">
      <c r="A3430" s="8">
        <v>83</v>
      </c>
      <c r="B3430" s="8">
        <v>26</v>
      </c>
      <c r="C3430" s="8">
        <v>3081</v>
      </c>
      <c r="D3430" s="16">
        <v>-1.1062809999999999E-2</v>
      </c>
      <c r="E3430" s="8">
        <v>-5.5314049999999997E-3</v>
      </c>
    </row>
    <row r="3431" spans="1:5" x14ac:dyDescent="0.3">
      <c r="A3431" s="8">
        <v>83</v>
      </c>
      <c r="B3431" s="8">
        <v>27</v>
      </c>
      <c r="C3431" s="8">
        <v>3090</v>
      </c>
      <c r="D3431" s="16">
        <v>-9.9311680000000006E-3</v>
      </c>
      <c r="E3431" s="8">
        <v>-4.9655840000000003E-3</v>
      </c>
    </row>
    <row r="3432" spans="1:5" x14ac:dyDescent="0.3">
      <c r="A3432" s="8">
        <v>83</v>
      </c>
      <c r="B3432" s="8">
        <v>28</v>
      </c>
      <c r="C3432" s="8">
        <v>3055</v>
      </c>
      <c r="D3432" s="16">
        <v>-2.4565090000000001E-2</v>
      </c>
      <c r="E3432" s="8">
        <v>-1.2282545000000001E-2</v>
      </c>
    </row>
    <row r="3433" spans="1:5" x14ac:dyDescent="0.3">
      <c r="A3433" s="8">
        <v>83</v>
      </c>
      <c r="B3433" s="8">
        <v>29</v>
      </c>
      <c r="C3433" s="8">
        <v>3058</v>
      </c>
      <c r="D3433" s="16">
        <v>-1.8069000000000002E-2</v>
      </c>
      <c r="E3433" s="8">
        <v>-9.0345000000000009E-3</v>
      </c>
    </row>
    <row r="3434" spans="1:5" x14ac:dyDescent="0.3">
      <c r="A3434" s="8">
        <v>83</v>
      </c>
      <c r="B3434" s="8">
        <v>30</v>
      </c>
      <c r="C3434" s="8">
        <v>3068</v>
      </c>
      <c r="D3434" s="16">
        <v>-3.930604E-2</v>
      </c>
      <c r="E3434" s="8">
        <v>-1.965302E-2</v>
      </c>
    </row>
    <row r="3435" spans="1:5" x14ac:dyDescent="0.3">
      <c r="A3435" s="8">
        <v>83</v>
      </c>
      <c r="B3435" s="8">
        <v>31</v>
      </c>
      <c r="C3435" s="8">
        <v>2992</v>
      </c>
      <c r="D3435" s="16">
        <v>-9.9370459999999997E-3</v>
      </c>
      <c r="E3435" s="8">
        <v>-4.9685229999999999E-3</v>
      </c>
    </row>
    <row r="3436" spans="1:5" x14ac:dyDescent="0.3">
      <c r="A3436" s="8">
        <v>83</v>
      </c>
      <c r="B3436" s="8">
        <v>32</v>
      </c>
      <c r="C3436" s="8">
        <v>3057</v>
      </c>
      <c r="D3436" s="16">
        <v>-3.1297310000000002E-2</v>
      </c>
      <c r="E3436" s="8">
        <v>-1.5648655000000001E-2</v>
      </c>
    </row>
    <row r="3437" spans="1:5" x14ac:dyDescent="0.3">
      <c r="A3437" s="8">
        <v>83</v>
      </c>
      <c r="B3437" s="8">
        <v>33</v>
      </c>
      <c r="C3437" s="8">
        <v>3084</v>
      </c>
      <c r="D3437" s="16">
        <v>-1.1389710000000001E-2</v>
      </c>
      <c r="E3437" s="8">
        <v>-5.6948550000000004E-3</v>
      </c>
    </row>
    <row r="3438" spans="1:5" x14ac:dyDescent="0.3">
      <c r="A3438" s="8">
        <v>83</v>
      </c>
      <c r="B3438" s="8">
        <v>34</v>
      </c>
      <c r="C3438" s="8">
        <v>3080</v>
      </c>
      <c r="D3438" s="16">
        <v>2.9673330000000001E-2</v>
      </c>
      <c r="E3438" s="8">
        <v>1.4836665000000001E-2</v>
      </c>
    </row>
    <row r="3439" spans="1:5" x14ac:dyDescent="0.3">
      <c r="A3439" s="8">
        <v>83</v>
      </c>
      <c r="B3439" s="8">
        <v>35</v>
      </c>
      <c r="C3439" s="8">
        <v>3066</v>
      </c>
      <c r="D3439" s="16">
        <v>3.1230460000000002E-2</v>
      </c>
      <c r="E3439" s="8">
        <v>1.5615230000000001E-2</v>
      </c>
    </row>
    <row r="3440" spans="1:5" x14ac:dyDescent="0.3">
      <c r="A3440" s="8">
        <v>83</v>
      </c>
      <c r="B3440" s="8">
        <v>36</v>
      </c>
      <c r="C3440" s="8">
        <v>3076</v>
      </c>
      <c r="D3440" s="16">
        <v>-2.29713E-2</v>
      </c>
      <c r="E3440" s="8">
        <v>-1.148565E-2</v>
      </c>
    </row>
    <row r="3441" spans="1:5" x14ac:dyDescent="0.3">
      <c r="A3441" s="8">
        <v>83</v>
      </c>
      <c r="B3441" s="8">
        <v>37</v>
      </c>
      <c r="C3441" s="8">
        <v>3040</v>
      </c>
      <c r="D3441" s="16">
        <v>-2.9835049999999998E-2</v>
      </c>
      <c r="E3441" s="8">
        <v>-1.4917524999999999E-2</v>
      </c>
    </row>
    <row r="3442" spans="1:5" x14ac:dyDescent="0.3">
      <c r="A3442" s="8">
        <v>83</v>
      </c>
      <c r="B3442" s="8">
        <v>38</v>
      </c>
      <c r="C3442" s="8">
        <v>3085</v>
      </c>
      <c r="D3442" s="16">
        <v>-2.4722540000000001E-2</v>
      </c>
      <c r="E3442" s="8">
        <v>-1.2361270000000001E-2</v>
      </c>
    </row>
    <row r="3443" spans="1:5" x14ac:dyDescent="0.3">
      <c r="A3443" s="8">
        <v>83</v>
      </c>
      <c r="B3443" s="8">
        <v>39</v>
      </c>
      <c r="C3443" s="8">
        <v>3076</v>
      </c>
      <c r="D3443" s="16">
        <v>-2.8521879999999999E-2</v>
      </c>
      <c r="E3443" s="8">
        <v>-1.426094E-2</v>
      </c>
    </row>
    <row r="3444" spans="1:5" x14ac:dyDescent="0.3">
      <c r="A3444" s="8">
        <v>83</v>
      </c>
      <c r="B3444" s="8">
        <v>40</v>
      </c>
      <c r="C3444" s="8">
        <v>3077</v>
      </c>
      <c r="D3444" s="16">
        <v>-1.361485E-2</v>
      </c>
      <c r="E3444" s="8">
        <v>-6.8074249999999998E-3</v>
      </c>
    </row>
    <row r="3445" spans="1:5" x14ac:dyDescent="0.3">
      <c r="A3445" s="8">
        <v>83</v>
      </c>
      <c r="B3445" s="8">
        <v>41</v>
      </c>
      <c r="C3445" s="8">
        <v>3045</v>
      </c>
      <c r="D3445" s="16">
        <v>-4.431044E-2</v>
      </c>
      <c r="E3445" s="8">
        <v>-2.215522E-2</v>
      </c>
    </row>
    <row r="3446" spans="1:5" x14ac:dyDescent="0.3">
      <c r="A3446" s="8">
        <v>83</v>
      </c>
      <c r="B3446" s="8">
        <v>42</v>
      </c>
      <c r="C3446" s="8">
        <v>3040</v>
      </c>
      <c r="D3446" s="16">
        <v>-2.5282269999999999E-2</v>
      </c>
      <c r="E3446" s="8">
        <v>-1.2641135E-2</v>
      </c>
    </row>
    <row r="3447" spans="1:5" x14ac:dyDescent="0.3">
      <c r="A3447" s="8">
        <v>83</v>
      </c>
      <c r="B3447" s="8">
        <v>43</v>
      </c>
      <c r="C3447" s="8">
        <v>3055</v>
      </c>
      <c r="D3447" s="16">
        <v>-1.3705449999999999E-2</v>
      </c>
      <c r="E3447" s="8">
        <v>-6.8527249999999996E-3</v>
      </c>
    </row>
    <row r="3448" spans="1:5" x14ac:dyDescent="0.3">
      <c r="A3448" s="8">
        <v>83</v>
      </c>
      <c r="B3448" s="8">
        <v>44</v>
      </c>
      <c r="C3448" s="8">
        <v>3039</v>
      </c>
      <c r="D3448" s="16">
        <v>5.8987170000000004E-3</v>
      </c>
      <c r="E3448" s="8">
        <v>2.9493585000000002E-3</v>
      </c>
    </row>
    <row r="3449" spans="1:5" x14ac:dyDescent="0.3">
      <c r="A3449" s="8">
        <v>83</v>
      </c>
      <c r="B3449" s="8">
        <v>45</v>
      </c>
      <c r="C3449" s="8">
        <v>3070</v>
      </c>
      <c r="D3449" s="16">
        <v>1.0862790000000001E-2</v>
      </c>
      <c r="E3449" s="8">
        <v>5.4313950000000003E-3</v>
      </c>
    </row>
    <row r="3450" spans="1:5" x14ac:dyDescent="0.3">
      <c r="A3450" s="8">
        <v>83</v>
      </c>
      <c r="B3450" s="8">
        <v>46</v>
      </c>
      <c r="C3450" s="8">
        <v>3064</v>
      </c>
      <c r="D3450" s="16">
        <v>-5.780863E-2</v>
      </c>
      <c r="E3450" s="8">
        <v>-2.8904315E-2</v>
      </c>
    </row>
    <row r="3451" spans="1:5" x14ac:dyDescent="0.3">
      <c r="A3451" s="8">
        <v>83</v>
      </c>
      <c r="B3451" s="8">
        <v>47</v>
      </c>
      <c r="C3451" s="8">
        <v>3047</v>
      </c>
      <c r="D3451" s="16">
        <v>-3.425682E-2</v>
      </c>
      <c r="E3451" s="8">
        <v>-1.712841E-2</v>
      </c>
    </row>
    <row r="3452" spans="1:5" x14ac:dyDescent="0.3">
      <c r="A3452" s="8">
        <v>83</v>
      </c>
      <c r="B3452" s="8">
        <v>48</v>
      </c>
      <c r="C3452" s="8">
        <v>3073</v>
      </c>
      <c r="D3452" s="16">
        <v>5.7866939999999999E-2</v>
      </c>
      <c r="E3452" s="8">
        <v>2.8933469999999999E-2</v>
      </c>
    </row>
    <row r="3453" spans="1:5" x14ac:dyDescent="0.3">
      <c r="A3453" s="8">
        <v>83</v>
      </c>
      <c r="B3453" s="8">
        <v>49</v>
      </c>
      <c r="C3453" s="8">
        <v>3039</v>
      </c>
      <c r="D3453" s="16">
        <v>2.0202769999999998E-2</v>
      </c>
      <c r="E3453" s="8">
        <v>1.0101384999999999E-2</v>
      </c>
    </row>
    <row r="3454" spans="1:5" x14ac:dyDescent="0.3">
      <c r="A3454" s="8">
        <v>83</v>
      </c>
      <c r="B3454" s="8">
        <v>50</v>
      </c>
      <c r="C3454" s="8">
        <v>3083</v>
      </c>
      <c r="D3454" s="16">
        <v>4.7930349999999997E-2</v>
      </c>
      <c r="E3454" s="8">
        <v>2.3965174999999998E-2</v>
      </c>
    </row>
    <row r="3455" spans="1:5" x14ac:dyDescent="0.3">
      <c r="A3455" s="8">
        <v>83</v>
      </c>
      <c r="B3455" s="8">
        <v>51</v>
      </c>
      <c r="C3455" s="8">
        <v>3064</v>
      </c>
      <c r="D3455" s="16">
        <v>-8.7403180000000004E-3</v>
      </c>
      <c r="E3455" s="8">
        <v>-4.3701590000000002E-3</v>
      </c>
    </row>
    <row r="3456" spans="1:5" x14ac:dyDescent="0.3">
      <c r="A3456" s="8">
        <v>83</v>
      </c>
      <c r="B3456" s="8">
        <v>52</v>
      </c>
      <c r="C3456" s="8">
        <v>3068</v>
      </c>
      <c r="D3456" s="16">
        <v>-4.6349130000000002E-2</v>
      </c>
      <c r="E3456" s="8">
        <v>-2.3174565000000001E-2</v>
      </c>
    </row>
    <row r="3457" spans="1:5" x14ac:dyDescent="0.3">
      <c r="A3457" s="8">
        <v>83</v>
      </c>
      <c r="B3457" s="8">
        <v>53</v>
      </c>
      <c r="C3457" s="8">
        <v>3062</v>
      </c>
      <c r="D3457" s="16">
        <v>5.0191680000000001E-3</v>
      </c>
      <c r="E3457" s="8">
        <v>2.509584E-3</v>
      </c>
    </row>
    <row r="3458" spans="1:5" x14ac:dyDescent="0.3">
      <c r="A3458" s="8">
        <v>83</v>
      </c>
      <c r="B3458" s="8">
        <v>54</v>
      </c>
      <c r="C3458" s="8">
        <v>3053</v>
      </c>
      <c r="D3458" s="16">
        <v>-9.2156349999999998E-3</v>
      </c>
      <c r="E3458" s="8">
        <v>-4.6078174999999999E-3</v>
      </c>
    </row>
    <row r="3459" spans="1:5" x14ac:dyDescent="0.3">
      <c r="A3459" s="8">
        <v>83</v>
      </c>
      <c r="B3459" s="8">
        <v>55</v>
      </c>
      <c r="C3459" s="8">
        <v>3070</v>
      </c>
      <c r="D3459" s="16">
        <v>-1.0694459999999999E-3</v>
      </c>
      <c r="E3459" s="8">
        <v>-5.3472299999999997E-4</v>
      </c>
    </row>
    <row r="3460" spans="1:5" x14ac:dyDescent="0.3">
      <c r="A3460" s="8">
        <v>83</v>
      </c>
      <c r="B3460" s="8">
        <v>56</v>
      </c>
      <c r="C3460" s="8">
        <v>3074</v>
      </c>
      <c r="D3460" s="16">
        <v>1.6764680000000001E-2</v>
      </c>
      <c r="E3460" s="8">
        <v>8.3823400000000003E-3</v>
      </c>
    </row>
    <row r="3461" spans="1:5" x14ac:dyDescent="0.3">
      <c r="A3461" s="8">
        <v>83</v>
      </c>
      <c r="B3461" s="8">
        <v>57</v>
      </c>
      <c r="C3461" s="8">
        <v>3090</v>
      </c>
      <c r="D3461" s="16">
        <v>-6.2293729999999999E-2</v>
      </c>
      <c r="E3461" s="8">
        <v>-3.1146864999999999E-2</v>
      </c>
    </row>
    <row r="3462" spans="1:5" x14ac:dyDescent="0.3">
      <c r="A3462" s="8">
        <v>83</v>
      </c>
      <c r="B3462" s="8">
        <v>58</v>
      </c>
      <c r="C3462" s="8">
        <v>3073</v>
      </c>
      <c r="D3462" s="16">
        <v>-2.91662E-2</v>
      </c>
      <c r="E3462" s="8">
        <v>-1.45831E-2</v>
      </c>
    </row>
    <row r="3463" spans="1:5" x14ac:dyDescent="0.3">
      <c r="A3463" s="8">
        <v>83</v>
      </c>
      <c r="B3463" s="8">
        <v>59</v>
      </c>
      <c r="C3463" s="8">
        <v>3072</v>
      </c>
      <c r="D3463" s="16">
        <v>1.542258E-2</v>
      </c>
      <c r="E3463" s="8">
        <v>7.71129E-3</v>
      </c>
    </row>
    <row r="3464" spans="1:5" x14ac:dyDescent="0.3">
      <c r="A3464" s="8">
        <v>83</v>
      </c>
      <c r="B3464" s="8">
        <v>60</v>
      </c>
      <c r="C3464" s="8">
        <v>3066</v>
      </c>
      <c r="D3464" s="16">
        <v>3.5216150000000002E-2</v>
      </c>
      <c r="E3464" s="8">
        <v>1.7608075000000001E-2</v>
      </c>
    </row>
    <row r="3465" spans="1:5" x14ac:dyDescent="0.3">
      <c r="A3465" s="8">
        <v>83</v>
      </c>
      <c r="B3465" s="8">
        <v>61</v>
      </c>
      <c r="C3465" s="8">
        <v>3070</v>
      </c>
      <c r="D3465" s="16">
        <v>-2.736686E-2</v>
      </c>
      <c r="E3465" s="8">
        <v>-1.368343E-2</v>
      </c>
    </row>
    <row r="3466" spans="1:5" x14ac:dyDescent="0.3">
      <c r="A3466" s="8">
        <v>83</v>
      </c>
      <c r="B3466" s="8">
        <v>62</v>
      </c>
      <c r="C3466" s="8">
        <v>3074</v>
      </c>
      <c r="D3466" s="16">
        <v>1.23327E-2</v>
      </c>
      <c r="E3466" s="8">
        <v>6.1663500000000001E-3</v>
      </c>
    </row>
    <row r="3467" spans="1:5" x14ac:dyDescent="0.3">
      <c r="A3467" s="8">
        <v>83</v>
      </c>
      <c r="B3467" s="8">
        <v>63</v>
      </c>
      <c r="C3467" s="8">
        <v>3072</v>
      </c>
      <c r="D3467" s="16">
        <v>-3.7941009999999997E-2</v>
      </c>
      <c r="E3467" s="8">
        <v>-1.8970504999999999E-2</v>
      </c>
    </row>
    <row r="3468" spans="1:5" x14ac:dyDescent="0.3">
      <c r="A3468" s="8">
        <v>83</v>
      </c>
      <c r="B3468" s="8">
        <v>64</v>
      </c>
      <c r="C3468" s="8">
        <v>3071</v>
      </c>
      <c r="D3468" s="16">
        <v>-3.8142570000000001E-2</v>
      </c>
      <c r="E3468" s="8">
        <v>-1.9071285E-2</v>
      </c>
    </row>
    <row r="3469" spans="1:5" x14ac:dyDescent="0.3">
      <c r="A3469" s="8">
        <v>83</v>
      </c>
      <c r="B3469" s="8">
        <v>65</v>
      </c>
      <c r="C3469" s="8">
        <v>3071</v>
      </c>
      <c r="D3469" s="16">
        <v>-2.210525E-2</v>
      </c>
      <c r="E3469" s="8">
        <v>-1.1052625E-2</v>
      </c>
    </row>
    <row r="3470" spans="1:5" x14ac:dyDescent="0.3">
      <c r="A3470" s="8">
        <v>83</v>
      </c>
      <c r="B3470" s="8">
        <v>66</v>
      </c>
      <c r="C3470" s="8">
        <v>3073</v>
      </c>
      <c r="D3470" s="16">
        <v>-1.319092E-2</v>
      </c>
      <c r="E3470" s="8">
        <v>-6.59546E-3</v>
      </c>
    </row>
    <row r="3471" spans="1:5" x14ac:dyDescent="0.3">
      <c r="A3471" s="8">
        <v>83</v>
      </c>
      <c r="B3471" s="8">
        <v>67</v>
      </c>
      <c r="C3471" s="8">
        <v>3064</v>
      </c>
      <c r="D3471" s="16">
        <v>-1.84321E-2</v>
      </c>
      <c r="E3471" s="8">
        <v>-9.2160499999999999E-3</v>
      </c>
    </row>
    <row r="3472" spans="1:5" x14ac:dyDescent="0.3">
      <c r="A3472" s="8">
        <v>83</v>
      </c>
      <c r="B3472" s="8">
        <v>68</v>
      </c>
      <c r="C3472" s="8">
        <v>3058</v>
      </c>
      <c r="D3472" s="16">
        <v>3.0421509999999999E-2</v>
      </c>
      <c r="E3472" s="8">
        <v>1.5210754999999999E-2</v>
      </c>
    </row>
    <row r="3473" spans="1:5" x14ac:dyDescent="0.3">
      <c r="A3473" s="8">
        <v>83</v>
      </c>
      <c r="B3473" s="8">
        <v>69</v>
      </c>
      <c r="C3473" s="8">
        <v>3067</v>
      </c>
      <c r="D3473" s="16">
        <v>-2.8272390000000001E-2</v>
      </c>
      <c r="E3473" s="8">
        <v>-1.4136195000000001E-2</v>
      </c>
    </row>
    <row r="3474" spans="1:5" x14ac:dyDescent="0.3">
      <c r="A3474" s="8">
        <v>83</v>
      </c>
      <c r="B3474" s="8">
        <v>70</v>
      </c>
      <c r="C3474" s="8">
        <v>3074</v>
      </c>
      <c r="D3474" s="16">
        <v>-1.8591289999999999E-3</v>
      </c>
      <c r="E3474" s="8">
        <v>-9.2956449999999997E-4</v>
      </c>
    </row>
    <row r="3475" spans="1:5" x14ac:dyDescent="0.3">
      <c r="A3475" s="8">
        <v>83</v>
      </c>
      <c r="B3475" s="8">
        <v>71</v>
      </c>
      <c r="C3475" s="8">
        <v>3067</v>
      </c>
      <c r="D3475" s="16">
        <v>1.9387080000000001E-2</v>
      </c>
      <c r="E3475" s="8">
        <v>9.6935400000000005E-3</v>
      </c>
    </row>
    <row r="3476" spans="1:5" x14ac:dyDescent="0.3">
      <c r="A3476" s="8">
        <v>83</v>
      </c>
      <c r="B3476" s="8">
        <v>72</v>
      </c>
      <c r="C3476" s="8">
        <v>3062</v>
      </c>
      <c r="D3476" s="16">
        <v>-1.488953E-2</v>
      </c>
      <c r="E3476" s="8">
        <v>-7.4447649999999999E-3</v>
      </c>
    </row>
    <row r="3477" spans="1:5" x14ac:dyDescent="0.3">
      <c r="A3477" s="8">
        <v>83</v>
      </c>
      <c r="B3477" s="8">
        <v>73</v>
      </c>
      <c r="C3477" s="8">
        <v>3089</v>
      </c>
      <c r="D3477" s="16">
        <v>-1.118157E-2</v>
      </c>
      <c r="E3477" s="8">
        <v>-5.590785E-3</v>
      </c>
    </row>
    <row r="3478" spans="1:5" x14ac:dyDescent="0.3">
      <c r="A3478" s="8">
        <v>83</v>
      </c>
      <c r="B3478" s="8">
        <v>74</v>
      </c>
      <c r="C3478" s="8">
        <v>3059</v>
      </c>
      <c r="D3478" s="16">
        <v>-3.5741439999999999E-2</v>
      </c>
      <c r="E3478" s="8">
        <v>-1.787072E-2</v>
      </c>
    </row>
    <row r="3479" spans="1:5" x14ac:dyDescent="0.3">
      <c r="A3479" s="8">
        <v>83</v>
      </c>
      <c r="B3479" s="8">
        <v>75</v>
      </c>
      <c r="C3479" s="8">
        <v>3074</v>
      </c>
      <c r="D3479" s="16">
        <v>-2.8275680000000001E-2</v>
      </c>
      <c r="E3479" s="8">
        <v>-1.413784E-2</v>
      </c>
    </row>
    <row r="3480" spans="1:5" x14ac:dyDescent="0.3">
      <c r="A3480" s="8">
        <v>83</v>
      </c>
      <c r="B3480" s="8">
        <v>76</v>
      </c>
      <c r="C3480" s="8">
        <v>3068</v>
      </c>
      <c r="D3480" s="16">
        <v>-4.4658339999999998E-2</v>
      </c>
      <c r="E3480" s="8">
        <v>-2.2329169999999999E-2</v>
      </c>
    </row>
    <row r="3481" spans="1:5" x14ac:dyDescent="0.3">
      <c r="A3481" s="8">
        <v>83</v>
      </c>
      <c r="B3481" s="8">
        <v>77</v>
      </c>
      <c r="C3481" s="8">
        <v>3061</v>
      </c>
      <c r="D3481" s="16">
        <v>-1.9161689999999999E-2</v>
      </c>
      <c r="E3481" s="8">
        <v>-9.5808449999999993E-3</v>
      </c>
    </row>
    <row r="3482" spans="1:5" x14ac:dyDescent="0.3">
      <c r="A3482" s="8">
        <v>83</v>
      </c>
      <c r="B3482" s="8">
        <v>78</v>
      </c>
      <c r="C3482" s="8">
        <v>3075</v>
      </c>
      <c r="D3482" s="16">
        <v>1.778888E-2</v>
      </c>
      <c r="E3482" s="8">
        <v>8.89444E-3</v>
      </c>
    </row>
    <row r="3483" spans="1:5" x14ac:dyDescent="0.3">
      <c r="A3483" s="8">
        <v>83</v>
      </c>
      <c r="B3483" s="8">
        <v>79</v>
      </c>
      <c r="C3483" s="8">
        <v>3063</v>
      </c>
      <c r="D3483" s="16">
        <v>-3.4206369999999998E-3</v>
      </c>
      <c r="E3483" s="8">
        <v>-1.7103184999999999E-3</v>
      </c>
    </row>
    <row r="3484" spans="1:5" x14ac:dyDescent="0.3">
      <c r="A3484" s="8">
        <v>83</v>
      </c>
      <c r="B3484" s="8">
        <v>80</v>
      </c>
      <c r="C3484" s="8">
        <v>3064</v>
      </c>
      <c r="D3484" s="16">
        <v>1.469341E-2</v>
      </c>
      <c r="E3484" s="8">
        <v>7.3467050000000002E-3</v>
      </c>
    </row>
    <row r="3485" spans="1:5" x14ac:dyDescent="0.3">
      <c r="A3485" s="8">
        <v>83</v>
      </c>
      <c r="B3485" s="8">
        <v>81</v>
      </c>
      <c r="C3485" s="8">
        <v>3085</v>
      </c>
      <c r="D3485" s="16">
        <v>-2.0747330000000001E-2</v>
      </c>
      <c r="E3485" s="8">
        <v>-1.0373665000000001E-2</v>
      </c>
    </row>
    <row r="3486" spans="1:5" x14ac:dyDescent="0.3">
      <c r="A3486" s="8">
        <v>83</v>
      </c>
      <c r="B3486" s="8">
        <v>82</v>
      </c>
      <c r="C3486" s="8">
        <v>3056</v>
      </c>
      <c r="D3486" s="16">
        <v>-2.3673349999999999E-2</v>
      </c>
      <c r="E3486" s="8">
        <v>-1.1836675E-2</v>
      </c>
    </row>
    <row r="3487" spans="1:5" x14ac:dyDescent="0.3">
      <c r="A3487" s="8">
        <v>83</v>
      </c>
      <c r="B3487" s="8">
        <v>83</v>
      </c>
      <c r="C3487" s="8">
        <v>3169</v>
      </c>
      <c r="D3487" s="16">
        <v>1.099599</v>
      </c>
      <c r="E3487" s="8"/>
    </row>
    <row r="3488" spans="1:5" x14ac:dyDescent="0.3">
      <c r="A3488" s="8">
        <v>84</v>
      </c>
      <c r="B3488" s="8">
        <v>1</v>
      </c>
      <c r="C3488" s="8">
        <v>3056</v>
      </c>
      <c r="D3488" s="16">
        <v>-4.3949009999999997E-2</v>
      </c>
      <c r="E3488" s="8">
        <v>-2.1974504999999998E-2</v>
      </c>
    </row>
    <row r="3489" spans="1:5" x14ac:dyDescent="0.3">
      <c r="A3489" s="8">
        <v>84</v>
      </c>
      <c r="B3489" s="8">
        <v>2</v>
      </c>
      <c r="C3489" s="8">
        <v>3029</v>
      </c>
      <c r="D3489" s="16">
        <v>-4.7922140000000002E-2</v>
      </c>
      <c r="E3489" s="8">
        <v>-2.3961070000000001E-2</v>
      </c>
    </row>
    <row r="3490" spans="1:5" x14ac:dyDescent="0.3">
      <c r="A3490" s="8">
        <v>84</v>
      </c>
      <c r="B3490" s="8">
        <v>3</v>
      </c>
      <c r="C3490" s="8">
        <v>3053</v>
      </c>
      <c r="D3490" s="16">
        <v>-1.246217E-2</v>
      </c>
      <c r="E3490" s="8">
        <v>-6.2310849999999999E-3</v>
      </c>
    </row>
    <row r="3491" spans="1:5" x14ac:dyDescent="0.3">
      <c r="A3491" s="8">
        <v>84</v>
      </c>
      <c r="B3491" s="8">
        <v>4</v>
      </c>
      <c r="C3491" s="8">
        <v>3034</v>
      </c>
      <c r="D3491" s="16">
        <v>-2.0265149999999999E-2</v>
      </c>
      <c r="E3491" s="8">
        <v>-1.0132575E-2</v>
      </c>
    </row>
    <row r="3492" spans="1:5" x14ac:dyDescent="0.3">
      <c r="A3492" s="8">
        <v>84</v>
      </c>
      <c r="B3492" s="8">
        <v>5</v>
      </c>
      <c r="C3492" s="8">
        <v>3016</v>
      </c>
      <c r="D3492" s="16">
        <v>2.510041E-2</v>
      </c>
      <c r="E3492" s="8">
        <v>1.2550205E-2</v>
      </c>
    </row>
    <row r="3493" spans="1:5" x14ac:dyDescent="0.3">
      <c r="A3493" s="8">
        <v>84</v>
      </c>
      <c r="B3493" s="8">
        <v>6</v>
      </c>
      <c r="C3493" s="8">
        <v>3035</v>
      </c>
      <c r="D3493" s="16">
        <v>7.2733280000000002E-5</v>
      </c>
      <c r="E3493" s="8">
        <v>3.6366640000000001E-5</v>
      </c>
    </row>
    <row r="3494" spans="1:5" x14ac:dyDescent="0.3">
      <c r="A3494" s="8">
        <v>84</v>
      </c>
      <c r="B3494" s="8">
        <v>7</v>
      </c>
      <c r="C3494" s="8">
        <v>3035</v>
      </c>
      <c r="D3494" s="16">
        <v>-3.6518630000000003E-2</v>
      </c>
      <c r="E3494" s="8">
        <v>-1.8259315000000002E-2</v>
      </c>
    </row>
    <row r="3495" spans="1:5" x14ac:dyDescent="0.3">
      <c r="A3495" s="8">
        <v>84</v>
      </c>
      <c r="B3495" s="8">
        <v>8</v>
      </c>
      <c r="C3495" s="8">
        <v>3051</v>
      </c>
      <c r="D3495" s="16">
        <v>-4.0317249999999999E-2</v>
      </c>
      <c r="E3495" s="8">
        <v>-2.0158624999999999E-2</v>
      </c>
    </row>
    <row r="3496" spans="1:5" x14ac:dyDescent="0.3">
      <c r="A3496" s="8">
        <v>84</v>
      </c>
      <c r="B3496" s="8">
        <v>9</v>
      </c>
      <c r="C3496" s="8">
        <v>3040</v>
      </c>
      <c r="D3496" s="16">
        <v>1.747601E-2</v>
      </c>
      <c r="E3496" s="8">
        <v>8.7380050000000001E-3</v>
      </c>
    </row>
    <row r="3497" spans="1:5" x14ac:dyDescent="0.3">
      <c r="A3497" s="8">
        <v>84</v>
      </c>
      <c r="B3497" s="8">
        <v>10</v>
      </c>
      <c r="C3497" s="8">
        <v>3036</v>
      </c>
      <c r="D3497" s="16">
        <v>4.9188879999999997E-2</v>
      </c>
      <c r="E3497" s="8">
        <v>2.4594439999999999E-2</v>
      </c>
    </row>
    <row r="3498" spans="1:5" x14ac:dyDescent="0.3">
      <c r="A3498" s="8">
        <v>84</v>
      </c>
      <c r="B3498" s="8">
        <v>11</v>
      </c>
      <c r="C3498" s="8">
        <v>3034</v>
      </c>
      <c r="D3498" s="16">
        <v>-3.9517579999999997E-3</v>
      </c>
      <c r="E3498" s="8">
        <v>-1.9758789999999998E-3</v>
      </c>
    </row>
    <row r="3499" spans="1:5" x14ac:dyDescent="0.3">
      <c r="A3499" s="8">
        <v>84</v>
      </c>
      <c r="B3499" s="8">
        <v>12</v>
      </c>
      <c r="C3499" s="8">
        <v>3052</v>
      </c>
      <c r="D3499" s="16">
        <v>2.3613809999999999E-2</v>
      </c>
      <c r="E3499" s="8">
        <v>1.1806904999999999E-2</v>
      </c>
    </row>
    <row r="3500" spans="1:5" x14ac:dyDescent="0.3">
      <c r="A3500" s="8">
        <v>84</v>
      </c>
      <c r="B3500" s="8">
        <v>13</v>
      </c>
      <c r="C3500" s="8">
        <v>3034</v>
      </c>
      <c r="D3500" s="16">
        <v>-2.1530609999999999E-2</v>
      </c>
      <c r="E3500" s="8">
        <v>-1.0765304999999999E-2</v>
      </c>
    </row>
    <row r="3501" spans="1:5" x14ac:dyDescent="0.3">
      <c r="A3501" s="8">
        <v>84</v>
      </c>
      <c r="B3501" s="8">
        <v>14</v>
      </c>
      <c r="C3501" s="8">
        <v>3032</v>
      </c>
      <c r="D3501" s="16">
        <v>-5.4205530000000002E-2</v>
      </c>
      <c r="E3501" s="8">
        <v>-2.7102765000000001E-2</v>
      </c>
    </row>
    <row r="3502" spans="1:5" x14ac:dyDescent="0.3">
      <c r="A3502" s="8">
        <v>84</v>
      </c>
      <c r="B3502" s="8">
        <v>15</v>
      </c>
      <c r="C3502" s="8">
        <v>3042</v>
      </c>
      <c r="D3502" s="16">
        <v>-3.4199230000000001E-6</v>
      </c>
      <c r="E3502" s="8">
        <v>-1.7099615E-6</v>
      </c>
    </row>
    <row r="3503" spans="1:5" x14ac:dyDescent="0.3">
      <c r="A3503" s="8">
        <v>84</v>
      </c>
      <c r="B3503" s="8">
        <v>16</v>
      </c>
      <c r="C3503" s="8">
        <v>3049</v>
      </c>
      <c r="D3503" s="16">
        <v>-2.0942510000000001E-2</v>
      </c>
      <c r="E3503" s="8">
        <v>-1.0471255E-2</v>
      </c>
    </row>
    <row r="3504" spans="1:5" x14ac:dyDescent="0.3">
      <c r="A3504" s="8">
        <v>84</v>
      </c>
      <c r="B3504" s="8">
        <v>17</v>
      </c>
      <c r="C3504" s="8">
        <v>3043</v>
      </c>
      <c r="D3504" s="16">
        <v>-1.502364E-2</v>
      </c>
      <c r="E3504" s="8">
        <v>-7.5118199999999998E-3</v>
      </c>
    </row>
    <row r="3505" spans="1:5" x14ac:dyDescent="0.3">
      <c r="A3505" s="8">
        <v>84</v>
      </c>
      <c r="B3505" s="8">
        <v>18</v>
      </c>
      <c r="C3505" s="8">
        <v>3059</v>
      </c>
      <c r="D3505" s="16">
        <v>-5.1846250000000003E-2</v>
      </c>
      <c r="E3505" s="8">
        <v>-2.5923125000000002E-2</v>
      </c>
    </row>
    <row r="3506" spans="1:5" x14ac:dyDescent="0.3">
      <c r="A3506" s="8">
        <v>84</v>
      </c>
      <c r="B3506" s="8">
        <v>19</v>
      </c>
      <c r="C3506" s="8">
        <v>3042</v>
      </c>
      <c r="D3506" s="16">
        <v>-4.1373220000000002E-2</v>
      </c>
      <c r="E3506" s="8">
        <v>-2.0686610000000001E-2</v>
      </c>
    </row>
    <row r="3507" spans="1:5" x14ac:dyDescent="0.3">
      <c r="A3507" s="8">
        <v>84</v>
      </c>
      <c r="B3507" s="8">
        <v>20</v>
      </c>
      <c r="C3507" s="8">
        <v>3045</v>
      </c>
      <c r="D3507" s="16">
        <v>9.7964560000000003E-3</v>
      </c>
      <c r="E3507" s="8">
        <v>4.8982280000000001E-3</v>
      </c>
    </row>
    <row r="3508" spans="1:5" x14ac:dyDescent="0.3">
      <c r="A3508" s="8">
        <v>84</v>
      </c>
      <c r="B3508" s="8">
        <v>21</v>
      </c>
      <c r="C3508" s="8">
        <v>3045</v>
      </c>
      <c r="D3508" s="16">
        <v>-6.8391380000000002E-2</v>
      </c>
      <c r="E3508" s="8">
        <v>-3.4195690000000001E-2</v>
      </c>
    </row>
    <row r="3509" spans="1:5" x14ac:dyDescent="0.3">
      <c r="A3509" s="8">
        <v>84</v>
      </c>
      <c r="B3509" s="8">
        <v>22</v>
      </c>
      <c r="C3509" s="8">
        <v>3037</v>
      </c>
      <c r="D3509" s="16">
        <v>-3.6149029999999999E-2</v>
      </c>
      <c r="E3509" s="8">
        <v>-1.8074514999999999E-2</v>
      </c>
    </row>
    <row r="3510" spans="1:5" x14ac:dyDescent="0.3">
      <c r="A3510" s="8">
        <v>84</v>
      </c>
      <c r="B3510" s="8">
        <v>23</v>
      </c>
      <c r="C3510" s="8">
        <v>3033</v>
      </c>
      <c r="D3510" s="16">
        <v>-5.9024170000000001E-2</v>
      </c>
      <c r="E3510" s="8">
        <v>-2.9512085E-2</v>
      </c>
    </row>
    <row r="3511" spans="1:5" x14ac:dyDescent="0.3">
      <c r="A3511" s="8">
        <v>84</v>
      </c>
      <c r="B3511" s="8">
        <v>24</v>
      </c>
      <c r="C3511" s="8">
        <v>3057</v>
      </c>
      <c r="D3511" s="16">
        <v>-7.5261480000000006E-2</v>
      </c>
      <c r="E3511" s="8">
        <v>-3.7630740000000003E-2</v>
      </c>
    </row>
    <row r="3512" spans="1:5" x14ac:dyDescent="0.3">
      <c r="A3512" s="8">
        <v>84</v>
      </c>
      <c r="B3512" s="8">
        <v>25</v>
      </c>
      <c r="C3512" s="8">
        <v>3038</v>
      </c>
      <c r="D3512" s="16">
        <v>-4.3236980000000001E-2</v>
      </c>
      <c r="E3512" s="8">
        <v>-2.1618490000000001E-2</v>
      </c>
    </row>
    <row r="3513" spans="1:5" x14ac:dyDescent="0.3">
      <c r="A3513" s="8">
        <v>84</v>
      </c>
      <c r="B3513" s="8">
        <v>26</v>
      </c>
      <c r="C3513" s="8">
        <v>3053</v>
      </c>
      <c r="D3513" s="16">
        <v>1.6026640000000002E-2</v>
      </c>
      <c r="E3513" s="8">
        <v>8.0133200000000009E-3</v>
      </c>
    </row>
    <row r="3514" spans="1:5" x14ac:dyDescent="0.3">
      <c r="A3514" s="8">
        <v>84</v>
      </c>
      <c r="B3514" s="8">
        <v>27</v>
      </c>
      <c r="C3514" s="8">
        <v>3059</v>
      </c>
      <c r="D3514" s="16">
        <v>-7.4092699999999997E-2</v>
      </c>
      <c r="E3514" s="8">
        <v>-3.7046349999999999E-2</v>
      </c>
    </row>
    <row r="3515" spans="1:5" x14ac:dyDescent="0.3">
      <c r="A3515" s="8">
        <v>84</v>
      </c>
      <c r="B3515" s="8">
        <v>28</v>
      </c>
      <c r="C3515" s="8">
        <v>3033</v>
      </c>
      <c r="D3515" s="16">
        <v>7.1900250000000001E-3</v>
      </c>
      <c r="E3515" s="8">
        <v>3.5950125E-3</v>
      </c>
    </row>
    <row r="3516" spans="1:5" x14ac:dyDescent="0.3">
      <c r="A3516" s="8">
        <v>84</v>
      </c>
      <c r="B3516" s="8">
        <v>29</v>
      </c>
      <c r="C3516" s="8">
        <v>3032</v>
      </c>
      <c r="D3516" s="16">
        <v>9.1207370000000003E-3</v>
      </c>
      <c r="E3516" s="8">
        <v>4.5603685000000001E-3</v>
      </c>
    </row>
    <row r="3517" spans="1:5" x14ac:dyDescent="0.3">
      <c r="A3517" s="8">
        <v>84</v>
      </c>
      <c r="B3517" s="8">
        <v>30</v>
      </c>
      <c r="C3517" s="8">
        <v>3040</v>
      </c>
      <c r="D3517" s="16">
        <v>-4.0768329999999998E-2</v>
      </c>
      <c r="E3517" s="8">
        <v>-2.0384164999999999E-2</v>
      </c>
    </row>
    <row r="3518" spans="1:5" x14ac:dyDescent="0.3">
      <c r="A3518" s="8">
        <v>84</v>
      </c>
      <c r="B3518" s="8">
        <v>31</v>
      </c>
      <c r="C3518" s="8">
        <v>2965</v>
      </c>
      <c r="D3518" s="16">
        <v>-2.073815E-2</v>
      </c>
      <c r="E3518" s="8">
        <v>-1.0369075E-2</v>
      </c>
    </row>
    <row r="3519" spans="1:5" x14ac:dyDescent="0.3">
      <c r="A3519" s="8">
        <v>84</v>
      </c>
      <c r="B3519" s="8">
        <v>32</v>
      </c>
      <c r="C3519" s="8">
        <v>3031</v>
      </c>
      <c r="D3519" s="16">
        <v>5.0771030000000003E-3</v>
      </c>
      <c r="E3519" s="8">
        <v>2.5385515000000002E-3</v>
      </c>
    </row>
    <row r="3520" spans="1:5" x14ac:dyDescent="0.3">
      <c r="A3520" s="8">
        <v>84</v>
      </c>
      <c r="B3520" s="8">
        <v>33</v>
      </c>
      <c r="C3520" s="8">
        <v>3057</v>
      </c>
      <c r="D3520" s="16">
        <v>-4.1019519999999997E-2</v>
      </c>
      <c r="E3520" s="8">
        <v>-2.0509759999999998E-2</v>
      </c>
    </row>
    <row r="3521" spans="1:5" x14ac:dyDescent="0.3">
      <c r="A3521" s="8">
        <v>84</v>
      </c>
      <c r="B3521" s="8">
        <v>34</v>
      </c>
      <c r="C3521" s="8">
        <v>3048</v>
      </c>
      <c r="D3521" s="16">
        <v>2.5452840000000001E-2</v>
      </c>
      <c r="E3521" s="8">
        <v>1.272642E-2</v>
      </c>
    </row>
    <row r="3522" spans="1:5" x14ac:dyDescent="0.3">
      <c r="A3522" s="8">
        <v>84</v>
      </c>
      <c r="B3522" s="8">
        <v>35</v>
      </c>
      <c r="C3522" s="8">
        <v>3040</v>
      </c>
      <c r="D3522" s="16">
        <v>3.8282450000000003E-2</v>
      </c>
      <c r="E3522" s="8">
        <v>1.9141225000000001E-2</v>
      </c>
    </row>
    <row r="3523" spans="1:5" x14ac:dyDescent="0.3">
      <c r="A3523" s="8">
        <v>84</v>
      </c>
      <c r="B3523" s="8">
        <v>36</v>
      </c>
      <c r="C3523" s="8">
        <v>3049</v>
      </c>
      <c r="D3523" s="16">
        <v>-1.2845289999999999E-4</v>
      </c>
      <c r="E3523" s="8">
        <v>-6.4226449999999996E-5</v>
      </c>
    </row>
    <row r="3524" spans="1:5" x14ac:dyDescent="0.3">
      <c r="A3524" s="8">
        <v>84</v>
      </c>
      <c r="B3524" s="8">
        <v>37</v>
      </c>
      <c r="C3524" s="8">
        <v>3014</v>
      </c>
      <c r="D3524" s="16">
        <v>6.4540789999999995E-4</v>
      </c>
      <c r="E3524" s="8">
        <v>3.2270394999999998E-4</v>
      </c>
    </row>
    <row r="3525" spans="1:5" x14ac:dyDescent="0.3">
      <c r="A3525" s="8">
        <v>84</v>
      </c>
      <c r="B3525" s="8">
        <v>38</v>
      </c>
      <c r="C3525" s="8">
        <v>3060</v>
      </c>
      <c r="D3525" s="16">
        <v>2.906597E-2</v>
      </c>
      <c r="E3525" s="8">
        <v>1.4532985E-2</v>
      </c>
    </row>
    <row r="3526" spans="1:5" x14ac:dyDescent="0.3">
      <c r="A3526" s="8">
        <v>84</v>
      </c>
      <c r="B3526" s="8">
        <v>39</v>
      </c>
      <c r="C3526" s="8">
        <v>3049</v>
      </c>
      <c r="D3526" s="16">
        <v>-7.3404460000000005E-2</v>
      </c>
      <c r="E3526" s="8">
        <v>-3.6702230000000002E-2</v>
      </c>
    </row>
    <row r="3527" spans="1:5" x14ac:dyDescent="0.3">
      <c r="A3527" s="8">
        <v>84</v>
      </c>
      <c r="B3527" s="8">
        <v>40</v>
      </c>
      <c r="C3527" s="8">
        <v>3047</v>
      </c>
      <c r="D3527" s="16">
        <v>8.8404150000000008E-3</v>
      </c>
      <c r="E3527" s="8">
        <v>4.4202075000000004E-3</v>
      </c>
    </row>
    <row r="3528" spans="1:5" x14ac:dyDescent="0.3">
      <c r="A3528" s="8">
        <v>84</v>
      </c>
      <c r="B3528" s="8">
        <v>41</v>
      </c>
      <c r="C3528" s="8">
        <v>3021</v>
      </c>
      <c r="D3528" s="16">
        <v>3.4266240000000003E-2</v>
      </c>
      <c r="E3528" s="8">
        <v>1.7133120000000002E-2</v>
      </c>
    </row>
    <row r="3529" spans="1:5" x14ac:dyDescent="0.3">
      <c r="A3529" s="8">
        <v>84</v>
      </c>
      <c r="B3529" s="8">
        <v>42</v>
      </c>
      <c r="C3529" s="8">
        <v>3016</v>
      </c>
      <c r="D3529" s="16">
        <v>1.376778E-2</v>
      </c>
      <c r="E3529" s="8">
        <v>6.8838900000000001E-3</v>
      </c>
    </row>
    <row r="3530" spans="1:5" x14ac:dyDescent="0.3">
      <c r="A3530" s="8">
        <v>84</v>
      </c>
      <c r="B3530" s="8">
        <v>43</v>
      </c>
      <c r="C3530" s="8">
        <v>3035</v>
      </c>
      <c r="D3530" s="16">
        <v>-8.0564800000000006E-2</v>
      </c>
      <c r="E3530" s="8">
        <v>-4.0282400000000003E-2</v>
      </c>
    </row>
    <row r="3531" spans="1:5" x14ac:dyDescent="0.3">
      <c r="A3531" s="8">
        <v>84</v>
      </c>
      <c r="B3531" s="8">
        <v>44</v>
      </c>
      <c r="C3531" s="8">
        <v>3017</v>
      </c>
      <c r="D3531" s="16">
        <v>2.1295720000000001E-2</v>
      </c>
      <c r="E3531" s="8">
        <v>1.064786E-2</v>
      </c>
    </row>
    <row r="3532" spans="1:5" x14ac:dyDescent="0.3">
      <c r="A3532" s="8">
        <v>84</v>
      </c>
      <c r="B3532" s="8">
        <v>45</v>
      </c>
      <c r="C3532" s="8">
        <v>3045</v>
      </c>
      <c r="D3532" s="16">
        <v>1.9223770000000001E-2</v>
      </c>
      <c r="E3532" s="8">
        <v>9.6118850000000006E-3</v>
      </c>
    </row>
    <row r="3533" spans="1:5" x14ac:dyDescent="0.3">
      <c r="A3533" s="8">
        <v>84</v>
      </c>
      <c r="B3533" s="8">
        <v>46</v>
      </c>
      <c r="C3533" s="8">
        <v>3034</v>
      </c>
      <c r="D3533" s="16">
        <v>-3.4919949999999999E-3</v>
      </c>
      <c r="E3533" s="8">
        <v>-1.7459975E-3</v>
      </c>
    </row>
    <row r="3534" spans="1:5" x14ac:dyDescent="0.3">
      <c r="A3534" s="8">
        <v>84</v>
      </c>
      <c r="B3534" s="8">
        <v>47</v>
      </c>
      <c r="C3534" s="8">
        <v>3015</v>
      </c>
      <c r="D3534" s="16">
        <v>-2.8181080000000001E-2</v>
      </c>
      <c r="E3534" s="8">
        <v>-1.409054E-2</v>
      </c>
    </row>
    <row r="3535" spans="1:5" x14ac:dyDescent="0.3">
      <c r="A3535" s="8">
        <v>84</v>
      </c>
      <c r="B3535" s="8">
        <v>48</v>
      </c>
      <c r="C3535" s="8">
        <v>3039</v>
      </c>
      <c r="D3535" s="16">
        <v>-9.028427E-2</v>
      </c>
      <c r="E3535" s="8">
        <v>-4.5142135E-2</v>
      </c>
    </row>
    <row r="3536" spans="1:5" x14ac:dyDescent="0.3">
      <c r="A3536" s="8">
        <v>84</v>
      </c>
      <c r="B3536" s="8">
        <v>49</v>
      </c>
      <c r="C3536" s="8">
        <v>3012</v>
      </c>
      <c r="D3536" s="16">
        <v>-3.555995E-2</v>
      </c>
      <c r="E3536" s="8">
        <v>-1.7779975E-2</v>
      </c>
    </row>
    <row r="3537" spans="1:5" x14ac:dyDescent="0.3">
      <c r="A3537" s="8">
        <v>84</v>
      </c>
      <c r="B3537" s="8">
        <v>50</v>
      </c>
      <c r="C3537" s="8">
        <v>3057</v>
      </c>
      <c r="D3537" s="16">
        <v>2.63982E-2</v>
      </c>
      <c r="E3537" s="8">
        <v>1.31991E-2</v>
      </c>
    </row>
    <row r="3538" spans="1:5" x14ac:dyDescent="0.3">
      <c r="A3538" s="8">
        <v>84</v>
      </c>
      <c r="B3538" s="8">
        <v>51</v>
      </c>
      <c r="C3538" s="8">
        <v>3036</v>
      </c>
      <c r="D3538" s="16">
        <v>-3.2765589999999997E-2</v>
      </c>
      <c r="E3538" s="8">
        <v>-1.6382794999999999E-2</v>
      </c>
    </row>
    <row r="3539" spans="1:5" x14ac:dyDescent="0.3">
      <c r="A3539" s="8">
        <v>84</v>
      </c>
      <c r="B3539" s="8">
        <v>52</v>
      </c>
      <c r="C3539" s="8">
        <v>3042</v>
      </c>
      <c r="D3539" s="16">
        <v>-5.7179979999999998E-2</v>
      </c>
      <c r="E3539" s="8">
        <v>-2.8589989999999999E-2</v>
      </c>
    </row>
    <row r="3540" spans="1:5" x14ac:dyDescent="0.3">
      <c r="A3540" s="8">
        <v>84</v>
      </c>
      <c r="B3540" s="8">
        <v>53</v>
      </c>
      <c r="C3540" s="8">
        <v>3037</v>
      </c>
      <c r="D3540" s="16">
        <v>-1.8592640000000001E-2</v>
      </c>
      <c r="E3540" s="8">
        <v>-9.2963200000000003E-3</v>
      </c>
    </row>
    <row r="3541" spans="1:5" x14ac:dyDescent="0.3">
      <c r="A3541" s="8">
        <v>84</v>
      </c>
      <c r="B3541" s="8">
        <v>54</v>
      </c>
      <c r="C3541" s="8">
        <v>3029</v>
      </c>
      <c r="D3541" s="16">
        <v>-2.473181E-2</v>
      </c>
      <c r="E3541" s="8">
        <v>-1.2365905E-2</v>
      </c>
    </row>
    <row r="3542" spans="1:5" x14ac:dyDescent="0.3">
      <c r="A3542" s="8">
        <v>84</v>
      </c>
      <c r="B3542" s="8">
        <v>55</v>
      </c>
      <c r="C3542" s="8">
        <v>3041</v>
      </c>
      <c r="D3542" s="16">
        <v>7.9169769999999997E-4</v>
      </c>
      <c r="E3542" s="8">
        <v>3.9584884999999999E-4</v>
      </c>
    </row>
    <row r="3543" spans="1:5" x14ac:dyDescent="0.3">
      <c r="A3543" s="8">
        <v>84</v>
      </c>
      <c r="B3543" s="8">
        <v>56</v>
      </c>
      <c r="C3543" s="8">
        <v>3051</v>
      </c>
      <c r="D3543" s="16">
        <v>1.5082119999999999E-2</v>
      </c>
      <c r="E3543" s="8">
        <v>7.5410599999999996E-3</v>
      </c>
    </row>
    <row r="3544" spans="1:5" x14ac:dyDescent="0.3">
      <c r="A3544" s="8">
        <v>84</v>
      </c>
      <c r="B3544" s="8">
        <v>57</v>
      </c>
      <c r="C3544" s="8">
        <v>3063</v>
      </c>
      <c r="D3544" s="16">
        <v>-7.5967459999999999E-4</v>
      </c>
      <c r="E3544" s="8">
        <v>-3.798373E-4</v>
      </c>
    </row>
    <row r="3545" spans="1:5" x14ac:dyDescent="0.3">
      <c r="A3545" s="8">
        <v>84</v>
      </c>
      <c r="B3545" s="8">
        <v>58</v>
      </c>
      <c r="C3545" s="8">
        <v>3049</v>
      </c>
      <c r="D3545" s="16">
        <v>-1.9516510000000001E-2</v>
      </c>
      <c r="E3545" s="8">
        <v>-9.7582550000000004E-3</v>
      </c>
    </row>
    <row r="3546" spans="1:5" x14ac:dyDescent="0.3">
      <c r="A3546" s="8">
        <v>84</v>
      </c>
      <c r="B3546" s="8">
        <v>59</v>
      </c>
      <c r="C3546" s="8">
        <v>3053</v>
      </c>
      <c r="D3546" s="16">
        <v>6.358693E-2</v>
      </c>
      <c r="E3546" s="8">
        <v>3.1793465E-2</v>
      </c>
    </row>
    <row r="3547" spans="1:5" x14ac:dyDescent="0.3">
      <c r="A3547" s="8">
        <v>84</v>
      </c>
      <c r="B3547" s="8">
        <v>60</v>
      </c>
      <c r="C3547" s="8">
        <v>3040</v>
      </c>
      <c r="D3547" s="16">
        <v>-3.084015E-2</v>
      </c>
      <c r="E3547" s="8">
        <v>-1.5420075E-2</v>
      </c>
    </row>
    <row r="3548" spans="1:5" x14ac:dyDescent="0.3">
      <c r="A3548" s="8">
        <v>84</v>
      </c>
      <c r="B3548" s="8">
        <v>61</v>
      </c>
      <c r="C3548" s="8">
        <v>3045</v>
      </c>
      <c r="D3548" s="16">
        <v>-1.121571E-2</v>
      </c>
      <c r="E3548" s="8">
        <v>-5.6078550000000001E-3</v>
      </c>
    </row>
    <row r="3549" spans="1:5" x14ac:dyDescent="0.3">
      <c r="A3549" s="8">
        <v>84</v>
      </c>
      <c r="B3549" s="8">
        <v>62</v>
      </c>
      <c r="C3549" s="8">
        <v>3049</v>
      </c>
      <c r="D3549" s="16">
        <v>-2.429131E-2</v>
      </c>
      <c r="E3549" s="8">
        <v>-1.2145655E-2</v>
      </c>
    </row>
    <row r="3550" spans="1:5" x14ac:dyDescent="0.3">
      <c r="A3550" s="8">
        <v>84</v>
      </c>
      <c r="B3550" s="8">
        <v>63</v>
      </c>
      <c r="C3550" s="8">
        <v>3047</v>
      </c>
      <c r="D3550" s="16">
        <v>-7.9515089999999998E-4</v>
      </c>
      <c r="E3550" s="8">
        <v>-3.9757544999999999E-4</v>
      </c>
    </row>
    <row r="3551" spans="1:5" x14ac:dyDescent="0.3">
      <c r="A3551" s="8">
        <v>84</v>
      </c>
      <c r="B3551" s="8">
        <v>64</v>
      </c>
      <c r="C3551" s="8">
        <v>3045</v>
      </c>
      <c r="D3551" s="16">
        <v>-4.2421789999999996E-3</v>
      </c>
      <c r="E3551" s="8">
        <v>-2.1210894999999998E-3</v>
      </c>
    </row>
    <row r="3552" spans="1:5" x14ac:dyDescent="0.3">
      <c r="A3552" s="8">
        <v>84</v>
      </c>
      <c r="B3552" s="8">
        <v>65</v>
      </c>
      <c r="C3552" s="8">
        <v>3049</v>
      </c>
      <c r="D3552" s="16">
        <v>-2.44937E-2</v>
      </c>
      <c r="E3552" s="8">
        <v>-1.224685E-2</v>
      </c>
    </row>
    <row r="3553" spans="1:5" x14ac:dyDescent="0.3">
      <c r="A3553" s="8">
        <v>84</v>
      </c>
      <c r="B3553" s="8">
        <v>66</v>
      </c>
      <c r="C3553" s="8">
        <v>3048</v>
      </c>
      <c r="D3553" s="16">
        <v>2.1637699999999999E-2</v>
      </c>
      <c r="E3553" s="8">
        <v>1.081885E-2</v>
      </c>
    </row>
    <row r="3554" spans="1:5" x14ac:dyDescent="0.3">
      <c r="A3554" s="8">
        <v>84</v>
      </c>
      <c r="B3554" s="8">
        <v>67</v>
      </c>
      <c r="C3554" s="8">
        <v>3042</v>
      </c>
      <c r="D3554" s="16">
        <v>4.6609989999999997E-2</v>
      </c>
      <c r="E3554" s="8">
        <v>2.3304994999999998E-2</v>
      </c>
    </row>
    <row r="3555" spans="1:5" x14ac:dyDescent="0.3">
      <c r="A3555" s="8">
        <v>84</v>
      </c>
      <c r="B3555" s="8">
        <v>68</v>
      </c>
      <c r="C3555" s="8">
        <v>3036</v>
      </c>
      <c r="D3555" s="16">
        <v>2.0026639999999998E-2</v>
      </c>
      <c r="E3555" s="8">
        <v>1.0013319999999999E-2</v>
      </c>
    </row>
    <row r="3556" spans="1:5" x14ac:dyDescent="0.3">
      <c r="A3556" s="8">
        <v>84</v>
      </c>
      <c r="B3556" s="8">
        <v>69</v>
      </c>
      <c r="C3556" s="8">
        <v>3046</v>
      </c>
      <c r="D3556" s="16">
        <v>-6.2525239999999996E-2</v>
      </c>
      <c r="E3556" s="8">
        <v>-3.1262619999999998E-2</v>
      </c>
    </row>
    <row r="3557" spans="1:5" x14ac:dyDescent="0.3">
      <c r="A3557" s="8">
        <v>84</v>
      </c>
      <c r="B3557" s="8">
        <v>70</v>
      </c>
      <c r="C3557" s="8">
        <v>3047</v>
      </c>
      <c r="D3557" s="16">
        <v>-2.7391809999999999E-2</v>
      </c>
      <c r="E3557" s="8">
        <v>-1.3695905E-2</v>
      </c>
    </row>
    <row r="3558" spans="1:5" x14ac:dyDescent="0.3">
      <c r="A3558" s="8">
        <v>84</v>
      </c>
      <c r="B3558" s="8">
        <v>71</v>
      </c>
      <c r="C3558" s="8">
        <v>3039</v>
      </c>
      <c r="D3558" s="16">
        <v>-3.8057350000000002E-3</v>
      </c>
      <c r="E3558" s="8">
        <v>-1.9028675000000001E-3</v>
      </c>
    </row>
    <row r="3559" spans="1:5" x14ac:dyDescent="0.3">
      <c r="A3559" s="8">
        <v>84</v>
      </c>
      <c r="B3559" s="8">
        <v>72</v>
      </c>
      <c r="C3559" s="8">
        <v>3029</v>
      </c>
      <c r="D3559" s="16">
        <v>2.3225409999999998E-2</v>
      </c>
      <c r="E3559" s="8">
        <v>1.1612704999999999E-2</v>
      </c>
    </row>
    <row r="3560" spans="1:5" x14ac:dyDescent="0.3">
      <c r="A3560" s="8">
        <v>84</v>
      </c>
      <c r="B3560" s="8">
        <v>73</v>
      </c>
      <c r="C3560" s="8">
        <v>3058</v>
      </c>
      <c r="D3560" s="16">
        <v>-1.7182159999999998E-2</v>
      </c>
      <c r="E3560" s="8">
        <v>-8.5910799999999992E-3</v>
      </c>
    </row>
    <row r="3561" spans="1:5" x14ac:dyDescent="0.3">
      <c r="A3561" s="8">
        <v>84</v>
      </c>
      <c r="B3561" s="8">
        <v>74</v>
      </c>
      <c r="C3561" s="8">
        <v>3032</v>
      </c>
      <c r="D3561" s="16">
        <v>1.5480590000000001E-2</v>
      </c>
      <c r="E3561" s="8">
        <v>7.7402950000000003E-3</v>
      </c>
    </row>
    <row r="3562" spans="1:5" x14ac:dyDescent="0.3">
      <c r="A3562" s="8">
        <v>84</v>
      </c>
      <c r="B3562" s="8">
        <v>75</v>
      </c>
      <c r="C3562" s="8">
        <v>3042</v>
      </c>
      <c r="D3562" s="16">
        <v>-6.4532019999999995E-2</v>
      </c>
      <c r="E3562" s="8">
        <v>-3.2266009999999998E-2</v>
      </c>
    </row>
    <row r="3563" spans="1:5" x14ac:dyDescent="0.3">
      <c r="A3563" s="8">
        <v>84</v>
      </c>
      <c r="B3563" s="8">
        <v>76</v>
      </c>
      <c r="C3563" s="8">
        <v>3037</v>
      </c>
      <c r="D3563" s="16">
        <v>-2.9853370000000001E-2</v>
      </c>
      <c r="E3563" s="8">
        <v>-1.4926685E-2</v>
      </c>
    </row>
    <row r="3564" spans="1:5" x14ac:dyDescent="0.3">
      <c r="A3564" s="8">
        <v>84</v>
      </c>
      <c r="B3564" s="8">
        <v>77</v>
      </c>
      <c r="C3564" s="8">
        <v>3036</v>
      </c>
      <c r="D3564" s="16">
        <v>2.5885720000000001E-2</v>
      </c>
      <c r="E3564" s="8">
        <v>1.294286E-2</v>
      </c>
    </row>
    <row r="3565" spans="1:5" x14ac:dyDescent="0.3">
      <c r="A3565" s="8">
        <v>84</v>
      </c>
      <c r="B3565" s="8">
        <v>78</v>
      </c>
      <c r="C3565" s="8">
        <v>3043</v>
      </c>
      <c r="D3565" s="16">
        <v>-9.5886329999999992E-3</v>
      </c>
      <c r="E3565" s="8">
        <v>-4.7943164999999996E-3</v>
      </c>
    </row>
    <row r="3566" spans="1:5" x14ac:dyDescent="0.3">
      <c r="A3566" s="8">
        <v>84</v>
      </c>
      <c r="B3566" s="8">
        <v>79</v>
      </c>
      <c r="C3566" s="8">
        <v>3042</v>
      </c>
      <c r="D3566" s="16">
        <v>1.686899E-2</v>
      </c>
      <c r="E3566" s="8">
        <v>8.4344950000000002E-3</v>
      </c>
    </row>
    <row r="3567" spans="1:5" x14ac:dyDescent="0.3">
      <c r="A3567" s="8">
        <v>84</v>
      </c>
      <c r="B3567" s="8">
        <v>80</v>
      </c>
      <c r="C3567" s="8">
        <v>3037</v>
      </c>
      <c r="D3567" s="16">
        <v>-4.0956029999999997E-2</v>
      </c>
      <c r="E3567" s="8">
        <v>-2.0478014999999999E-2</v>
      </c>
    </row>
    <row r="3568" spans="1:5" x14ac:dyDescent="0.3">
      <c r="A3568" s="8">
        <v>84</v>
      </c>
      <c r="B3568" s="8">
        <v>81</v>
      </c>
      <c r="C3568" s="8">
        <v>3059</v>
      </c>
      <c r="D3568" s="16">
        <v>-3.4142199999999998E-2</v>
      </c>
      <c r="E3568" s="8">
        <v>-1.7071099999999999E-2</v>
      </c>
    </row>
    <row r="3569" spans="1:5" x14ac:dyDescent="0.3">
      <c r="A3569" s="8">
        <v>84</v>
      </c>
      <c r="B3569" s="8">
        <v>82</v>
      </c>
      <c r="C3569" s="8">
        <v>3031</v>
      </c>
      <c r="D3569" s="16">
        <v>-5.455583E-2</v>
      </c>
      <c r="E3569" s="8">
        <v>-2.7277915E-2</v>
      </c>
    </row>
    <row r="3570" spans="1:5" x14ac:dyDescent="0.3">
      <c r="A3570" s="8">
        <v>84</v>
      </c>
      <c r="B3570" s="8">
        <v>83</v>
      </c>
      <c r="C3570" s="8">
        <v>3061</v>
      </c>
      <c r="D3570" s="16">
        <v>-1.2721970000000001E-2</v>
      </c>
      <c r="E3570" s="8">
        <v>-6.3609850000000004E-3</v>
      </c>
    </row>
    <row r="3571" spans="1:5" x14ac:dyDescent="0.3">
      <c r="A3571" s="8">
        <v>84</v>
      </c>
      <c r="B3571" s="8">
        <v>84</v>
      </c>
      <c r="C3571" s="8">
        <v>3141</v>
      </c>
      <c r="D3571" s="16">
        <v>1.133416</v>
      </c>
      <c r="E3571" s="8"/>
    </row>
    <row r="3572" spans="1:5" x14ac:dyDescent="0.3">
      <c r="A3572" s="8">
        <v>85</v>
      </c>
      <c r="B3572" s="8">
        <v>1</v>
      </c>
      <c r="C3572" s="8">
        <v>3074</v>
      </c>
      <c r="D3572" s="16">
        <v>-2.5425360000000001E-2</v>
      </c>
      <c r="E3572" s="8">
        <v>-1.2712680000000001E-2</v>
      </c>
    </row>
    <row r="3573" spans="1:5" x14ac:dyDescent="0.3">
      <c r="A3573" s="8">
        <v>85</v>
      </c>
      <c r="B3573" s="8">
        <v>2</v>
      </c>
      <c r="C3573" s="8">
        <v>3037</v>
      </c>
      <c r="D3573" s="16">
        <v>1.6571590000000001E-2</v>
      </c>
      <c r="E3573" s="8">
        <v>8.2857950000000003E-3</v>
      </c>
    </row>
    <row r="3574" spans="1:5" x14ac:dyDescent="0.3">
      <c r="A3574" s="8">
        <v>85</v>
      </c>
      <c r="B3574" s="8">
        <v>3</v>
      </c>
      <c r="C3574" s="8">
        <v>3064</v>
      </c>
      <c r="D3574" s="16">
        <v>-4.6020100000000001E-2</v>
      </c>
      <c r="E3574" s="8">
        <v>-2.3010050000000001E-2</v>
      </c>
    </row>
    <row r="3575" spans="1:5" x14ac:dyDescent="0.3">
      <c r="A3575" s="8">
        <v>85</v>
      </c>
      <c r="B3575" s="8">
        <v>4</v>
      </c>
      <c r="C3575" s="8">
        <v>3043</v>
      </c>
      <c r="D3575" s="16">
        <v>-1.4321560000000001E-2</v>
      </c>
      <c r="E3575" s="8">
        <v>-7.1607800000000003E-3</v>
      </c>
    </row>
    <row r="3576" spans="1:5" x14ac:dyDescent="0.3">
      <c r="A3576" s="8">
        <v>85</v>
      </c>
      <c r="B3576" s="8">
        <v>5</v>
      </c>
      <c r="C3576" s="8">
        <v>3035</v>
      </c>
      <c r="D3576" s="16">
        <v>-3.8470560000000001E-2</v>
      </c>
      <c r="E3576" s="8">
        <v>-1.923528E-2</v>
      </c>
    </row>
    <row r="3577" spans="1:5" x14ac:dyDescent="0.3">
      <c r="A3577" s="8">
        <v>85</v>
      </c>
      <c r="B3577" s="8">
        <v>6</v>
      </c>
      <c r="C3577" s="8">
        <v>3050</v>
      </c>
      <c r="D3577" s="16">
        <v>-1.184637E-2</v>
      </c>
      <c r="E3577" s="8">
        <v>-5.9231850000000001E-3</v>
      </c>
    </row>
    <row r="3578" spans="1:5" x14ac:dyDescent="0.3">
      <c r="A3578" s="8">
        <v>85</v>
      </c>
      <c r="B3578" s="8">
        <v>7</v>
      </c>
      <c r="C3578" s="8">
        <v>3044</v>
      </c>
      <c r="D3578" s="16">
        <v>3.8315219999999997E-2</v>
      </c>
      <c r="E3578" s="8">
        <v>1.9157609999999999E-2</v>
      </c>
    </row>
    <row r="3579" spans="1:5" x14ac:dyDescent="0.3">
      <c r="A3579" s="8">
        <v>85</v>
      </c>
      <c r="B3579" s="8">
        <v>8</v>
      </c>
      <c r="C3579" s="8">
        <v>3062</v>
      </c>
      <c r="D3579" s="16">
        <v>1.6669679999999999E-2</v>
      </c>
      <c r="E3579" s="8">
        <v>8.3348399999999996E-3</v>
      </c>
    </row>
    <row r="3580" spans="1:5" x14ac:dyDescent="0.3">
      <c r="A3580" s="8">
        <v>85</v>
      </c>
      <c r="B3580" s="8">
        <v>9</v>
      </c>
      <c r="C3580" s="8">
        <v>3052</v>
      </c>
      <c r="D3580" s="16">
        <v>-2.472591E-2</v>
      </c>
      <c r="E3580" s="8">
        <v>-1.2362955E-2</v>
      </c>
    </row>
    <row r="3581" spans="1:5" x14ac:dyDescent="0.3">
      <c r="A3581" s="8">
        <v>85</v>
      </c>
      <c r="B3581" s="8">
        <v>10</v>
      </c>
      <c r="C3581" s="8">
        <v>3046</v>
      </c>
      <c r="D3581" s="16">
        <v>-1.8554749999999998E-2</v>
      </c>
      <c r="E3581" s="8">
        <v>-9.2773749999999992E-3</v>
      </c>
    </row>
    <row r="3582" spans="1:5" x14ac:dyDescent="0.3">
      <c r="A3582" s="8">
        <v>85</v>
      </c>
      <c r="B3582" s="8">
        <v>11</v>
      </c>
      <c r="C3582" s="8">
        <v>3045</v>
      </c>
      <c r="D3582" s="16">
        <v>-3.9017000000000003E-2</v>
      </c>
      <c r="E3582" s="8">
        <v>-1.9508500000000002E-2</v>
      </c>
    </row>
    <row r="3583" spans="1:5" x14ac:dyDescent="0.3">
      <c r="A3583" s="8">
        <v>85</v>
      </c>
      <c r="B3583" s="8">
        <v>12</v>
      </c>
      <c r="C3583" s="8">
        <v>3065</v>
      </c>
      <c r="D3583" s="16">
        <v>-4.2368700000000002E-3</v>
      </c>
      <c r="E3583" s="8">
        <v>-2.1184350000000001E-3</v>
      </c>
    </row>
    <row r="3584" spans="1:5" x14ac:dyDescent="0.3">
      <c r="A3584" s="8">
        <v>85</v>
      </c>
      <c r="B3584" s="8">
        <v>13</v>
      </c>
      <c r="C3584" s="8">
        <v>3044</v>
      </c>
      <c r="D3584" s="16">
        <v>-2.4503110000000002E-2</v>
      </c>
      <c r="E3584" s="8">
        <v>-1.2251555000000001E-2</v>
      </c>
    </row>
    <row r="3585" spans="1:5" x14ac:dyDescent="0.3">
      <c r="A3585" s="8">
        <v>85</v>
      </c>
      <c r="B3585" s="8">
        <v>14</v>
      </c>
      <c r="C3585" s="8">
        <v>3045</v>
      </c>
      <c r="D3585" s="16">
        <v>1.3503630000000001E-2</v>
      </c>
      <c r="E3585" s="8">
        <v>6.7518150000000004E-3</v>
      </c>
    </row>
    <row r="3586" spans="1:5" x14ac:dyDescent="0.3">
      <c r="A3586" s="8">
        <v>85</v>
      </c>
      <c r="B3586" s="8">
        <v>15</v>
      </c>
      <c r="C3586" s="8">
        <v>3053</v>
      </c>
      <c r="D3586" s="16">
        <v>-2.3501959999999999E-2</v>
      </c>
      <c r="E3586" s="8">
        <v>-1.1750979999999999E-2</v>
      </c>
    </row>
    <row r="3587" spans="1:5" x14ac:dyDescent="0.3">
      <c r="A3587" s="8">
        <v>85</v>
      </c>
      <c r="B3587" s="8">
        <v>16</v>
      </c>
      <c r="C3587" s="8">
        <v>3059</v>
      </c>
      <c r="D3587" s="16">
        <v>-1.6239420000000001E-2</v>
      </c>
      <c r="E3587" s="8">
        <v>-8.1197100000000005E-3</v>
      </c>
    </row>
    <row r="3588" spans="1:5" x14ac:dyDescent="0.3">
      <c r="A3588" s="8">
        <v>85</v>
      </c>
      <c r="B3588" s="8">
        <v>17</v>
      </c>
      <c r="C3588" s="8">
        <v>3054</v>
      </c>
      <c r="D3588" s="16">
        <v>-2.6046199999999999E-2</v>
      </c>
      <c r="E3588" s="8">
        <v>-1.3023099999999999E-2</v>
      </c>
    </row>
    <row r="3589" spans="1:5" x14ac:dyDescent="0.3">
      <c r="A3589" s="8">
        <v>85</v>
      </c>
      <c r="B3589" s="8">
        <v>18</v>
      </c>
      <c r="C3589" s="8">
        <v>3071</v>
      </c>
      <c r="D3589" s="16">
        <v>-3.5313999999999998E-2</v>
      </c>
      <c r="E3589" s="8">
        <v>-1.7656999999999999E-2</v>
      </c>
    </row>
    <row r="3590" spans="1:5" x14ac:dyDescent="0.3">
      <c r="A3590" s="8">
        <v>85</v>
      </c>
      <c r="B3590" s="8">
        <v>19</v>
      </c>
      <c r="C3590" s="8">
        <v>3052</v>
      </c>
      <c r="D3590" s="16">
        <v>1.8898910000000001E-2</v>
      </c>
      <c r="E3590" s="8">
        <v>9.4494550000000007E-3</v>
      </c>
    </row>
    <row r="3591" spans="1:5" x14ac:dyDescent="0.3">
      <c r="A3591" s="8">
        <v>85</v>
      </c>
      <c r="B3591" s="8">
        <v>20</v>
      </c>
      <c r="C3591" s="8">
        <v>3061</v>
      </c>
      <c r="D3591" s="16">
        <v>-5.8207559999999998E-2</v>
      </c>
      <c r="E3591" s="8">
        <v>-2.9103779999999999E-2</v>
      </c>
    </row>
    <row r="3592" spans="1:5" x14ac:dyDescent="0.3">
      <c r="A3592" s="8">
        <v>85</v>
      </c>
      <c r="B3592" s="8">
        <v>21</v>
      </c>
      <c r="C3592" s="8">
        <v>3059</v>
      </c>
      <c r="D3592" s="16">
        <v>1.342725E-2</v>
      </c>
      <c r="E3592" s="8">
        <v>6.713625E-3</v>
      </c>
    </row>
    <row r="3593" spans="1:5" x14ac:dyDescent="0.3">
      <c r="A3593" s="8">
        <v>85</v>
      </c>
      <c r="B3593" s="8">
        <v>22</v>
      </c>
      <c r="C3593" s="8">
        <v>3050</v>
      </c>
      <c r="D3593" s="16">
        <v>3.7160970000000002E-2</v>
      </c>
      <c r="E3593" s="8">
        <v>1.8580485000000001E-2</v>
      </c>
    </row>
    <row r="3594" spans="1:5" x14ac:dyDescent="0.3">
      <c r="A3594" s="8">
        <v>85</v>
      </c>
      <c r="B3594" s="8">
        <v>23</v>
      </c>
      <c r="C3594" s="8">
        <v>3046</v>
      </c>
      <c r="D3594" s="16">
        <v>-5.1524010000000002E-2</v>
      </c>
      <c r="E3594" s="8">
        <v>-2.5762005000000001E-2</v>
      </c>
    </row>
    <row r="3595" spans="1:5" x14ac:dyDescent="0.3">
      <c r="A3595" s="8">
        <v>85</v>
      </c>
      <c r="B3595" s="8">
        <v>24</v>
      </c>
      <c r="C3595" s="8">
        <v>3070</v>
      </c>
      <c r="D3595" s="16">
        <v>2.303452E-4</v>
      </c>
      <c r="E3595" s="8">
        <v>1.151726E-4</v>
      </c>
    </row>
    <row r="3596" spans="1:5" x14ac:dyDescent="0.3">
      <c r="A3596" s="8">
        <v>85</v>
      </c>
      <c r="B3596" s="8">
        <v>25</v>
      </c>
      <c r="C3596" s="8">
        <v>3052</v>
      </c>
      <c r="D3596" s="16">
        <v>-4.8793429999999999E-2</v>
      </c>
      <c r="E3596" s="8">
        <v>-2.4396714999999999E-2</v>
      </c>
    </row>
    <row r="3597" spans="1:5" x14ac:dyDescent="0.3">
      <c r="A3597" s="8">
        <v>85</v>
      </c>
      <c r="B3597" s="8">
        <v>26</v>
      </c>
      <c r="C3597" s="8">
        <v>3067</v>
      </c>
      <c r="D3597" s="16">
        <v>-4.3313980000000002E-2</v>
      </c>
      <c r="E3597" s="8">
        <v>-2.1656990000000001E-2</v>
      </c>
    </row>
    <row r="3598" spans="1:5" x14ac:dyDescent="0.3">
      <c r="A3598" s="8">
        <v>85</v>
      </c>
      <c r="B3598" s="8">
        <v>27</v>
      </c>
      <c r="C3598" s="8">
        <v>3071</v>
      </c>
      <c r="D3598" s="16">
        <v>3.7508499999999999E-4</v>
      </c>
      <c r="E3598" s="8">
        <v>1.875425E-4</v>
      </c>
    </row>
    <row r="3599" spans="1:5" x14ac:dyDescent="0.3">
      <c r="A3599" s="8">
        <v>85</v>
      </c>
      <c r="B3599" s="8">
        <v>28</v>
      </c>
      <c r="C3599" s="8">
        <v>3043</v>
      </c>
      <c r="D3599" s="16">
        <v>-2.515481E-2</v>
      </c>
      <c r="E3599" s="8">
        <v>-1.2577405E-2</v>
      </c>
    </row>
    <row r="3600" spans="1:5" x14ac:dyDescent="0.3">
      <c r="A3600" s="8">
        <v>85</v>
      </c>
      <c r="B3600" s="8">
        <v>29</v>
      </c>
      <c r="C3600" s="8">
        <v>3040</v>
      </c>
      <c r="D3600" s="16">
        <v>-1.95286E-2</v>
      </c>
      <c r="E3600" s="8">
        <v>-9.7643000000000001E-3</v>
      </c>
    </row>
    <row r="3601" spans="1:5" x14ac:dyDescent="0.3">
      <c r="A3601" s="8">
        <v>85</v>
      </c>
      <c r="B3601" s="8">
        <v>30</v>
      </c>
      <c r="C3601" s="8">
        <v>3057</v>
      </c>
      <c r="D3601" s="16">
        <v>-3.9755800000000001E-2</v>
      </c>
      <c r="E3601" s="8">
        <v>-1.98779E-2</v>
      </c>
    </row>
    <row r="3602" spans="1:5" x14ac:dyDescent="0.3">
      <c r="A3602" s="8">
        <v>85</v>
      </c>
      <c r="B3602" s="8">
        <v>31</v>
      </c>
      <c r="C3602" s="8">
        <v>2977</v>
      </c>
      <c r="D3602" s="16">
        <v>-1.37568E-2</v>
      </c>
      <c r="E3602" s="8">
        <v>-6.8783999999999998E-3</v>
      </c>
    </row>
    <row r="3603" spans="1:5" x14ac:dyDescent="0.3">
      <c r="A3603" s="8">
        <v>85</v>
      </c>
      <c r="B3603" s="8">
        <v>32</v>
      </c>
      <c r="C3603" s="8">
        <v>3047</v>
      </c>
      <c r="D3603" s="16">
        <v>-5.6034130000000001E-2</v>
      </c>
      <c r="E3603" s="8">
        <v>-2.8017065000000001E-2</v>
      </c>
    </row>
    <row r="3604" spans="1:5" x14ac:dyDescent="0.3">
      <c r="A3604" s="8">
        <v>85</v>
      </c>
      <c r="B3604" s="8">
        <v>33</v>
      </c>
      <c r="C3604" s="8">
        <v>3070</v>
      </c>
      <c r="D3604" s="16">
        <v>4.9758419999999998E-2</v>
      </c>
      <c r="E3604" s="8">
        <v>2.4879209999999999E-2</v>
      </c>
    </row>
    <row r="3605" spans="1:5" x14ac:dyDescent="0.3">
      <c r="A3605" s="8">
        <v>85</v>
      </c>
      <c r="B3605" s="8">
        <v>34</v>
      </c>
      <c r="C3605" s="8">
        <v>3061</v>
      </c>
      <c r="D3605" s="16">
        <v>-5.5021500000000001E-2</v>
      </c>
      <c r="E3605" s="8">
        <v>-2.751075E-2</v>
      </c>
    </row>
    <row r="3606" spans="1:5" x14ac:dyDescent="0.3">
      <c r="A3606" s="8">
        <v>85</v>
      </c>
      <c r="B3606" s="8">
        <v>35</v>
      </c>
      <c r="C3606" s="8">
        <v>3056</v>
      </c>
      <c r="D3606" s="16">
        <v>-4.51306E-2</v>
      </c>
      <c r="E3606" s="8">
        <v>-2.25653E-2</v>
      </c>
    </row>
    <row r="3607" spans="1:5" x14ac:dyDescent="0.3">
      <c r="A3607" s="8">
        <v>85</v>
      </c>
      <c r="B3607" s="8">
        <v>36</v>
      </c>
      <c r="C3607" s="8">
        <v>3063</v>
      </c>
      <c r="D3607" s="16">
        <v>-3.2901600000000003E-2</v>
      </c>
      <c r="E3607" s="8">
        <v>-1.6450800000000002E-2</v>
      </c>
    </row>
    <row r="3608" spans="1:5" x14ac:dyDescent="0.3">
      <c r="A3608" s="8">
        <v>85</v>
      </c>
      <c r="B3608" s="8">
        <v>37</v>
      </c>
      <c r="C3608" s="8">
        <v>3030</v>
      </c>
      <c r="D3608" s="16">
        <v>-8.5914649999999995E-3</v>
      </c>
      <c r="E3608" s="8">
        <v>-4.2957324999999998E-3</v>
      </c>
    </row>
    <row r="3609" spans="1:5" x14ac:dyDescent="0.3">
      <c r="A3609" s="8">
        <v>85</v>
      </c>
      <c r="B3609" s="8">
        <v>38</v>
      </c>
      <c r="C3609" s="8">
        <v>3077</v>
      </c>
      <c r="D3609" s="16">
        <v>-3.882149E-2</v>
      </c>
      <c r="E3609" s="8">
        <v>-1.9410745E-2</v>
      </c>
    </row>
    <row r="3610" spans="1:5" x14ac:dyDescent="0.3">
      <c r="A3610" s="8">
        <v>85</v>
      </c>
      <c r="B3610" s="8">
        <v>39</v>
      </c>
      <c r="C3610" s="8">
        <v>3066</v>
      </c>
      <c r="D3610" s="16">
        <v>-4.5250980000000003E-2</v>
      </c>
      <c r="E3610" s="8">
        <v>-2.2625490000000002E-2</v>
      </c>
    </row>
    <row r="3611" spans="1:5" x14ac:dyDescent="0.3">
      <c r="A3611" s="8">
        <v>85</v>
      </c>
      <c r="B3611" s="8">
        <v>40</v>
      </c>
      <c r="C3611" s="8">
        <v>3061</v>
      </c>
      <c r="D3611" s="16">
        <v>-2.8655690000000001E-2</v>
      </c>
      <c r="E3611" s="8">
        <v>-1.4327845000000001E-2</v>
      </c>
    </row>
    <row r="3612" spans="1:5" x14ac:dyDescent="0.3">
      <c r="A3612" s="8">
        <v>85</v>
      </c>
      <c r="B3612" s="8">
        <v>41</v>
      </c>
      <c r="C3612" s="8">
        <v>3034</v>
      </c>
      <c r="D3612" s="16">
        <v>-4.0752570000000002E-2</v>
      </c>
      <c r="E3612" s="8">
        <v>-2.0376285000000001E-2</v>
      </c>
    </row>
    <row r="3613" spans="1:5" x14ac:dyDescent="0.3">
      <c r="A3613" s="8">
        <v>85</v>
      </c>
      <c r="B3613" s="8">
        <v>42</v>
      </c>
      <c r="C3613" s="8">
        <v>3021</v>
      </c>
      <c r="D3613" s="16">
        <v>-9.7757030000000002E-3</v>
      </c>
      <c r="E3613" s="8">
        <v>-4.8878515000000001E-3</v>
      </c>
    </row>
    <row r="3614" spans="1:5" x14ac:dyDescent="0.3">
      <c r="A3614" s="8">
        <v>85</v>
      </c>
      <c r="B3614" s="8">
        <v>43</v>
      </c>
      <c r="C3614" s="8">
        <v>3046</v>
      </c>
      <c r="D3614" s="16">
        <v>7.0954110000000003E-3</v>
      </c>
      <c r="E3614" s="8">
        <v>3.5477055000000001E-3</v>
      </c>
    </row>
    <row r="3615" spans="1:5" x14ac:dyDescent="0.3">
      <c r="A3615" s="8">
        <v>85</v>
      </c>
      <c r="B3615" s="8">
        <v>44</v>
      </c>
      <c r="C3615" s="8">
        <v>3030</v>
      </c>
      <c r="D3615" s="16">
        <v>1.1785389999999999E-3</v>
      </c>
      <c r="E3615" s="8">
        <v>5.8926949999999997E-4</v>
      </c>
    </row>
    <row r="3616" spans="1:5" x14ac:dyDescent="0.3">
      <c r="A3616" s="8">
        <v>85</v>
      </c>
      <c r="B3616" s="8">
        <v>45</v>
      </c>
      <c r="C3616" s="8">
        <v>3057</v>
      </c>
      <c r="D3616" s="16">
        <v>-1.325197E-2</v>
      </c>
      <c r="E3616" s="8">
        <v>-6.625985E-3</v>
      </c>
    </row>
    <row r="3617" spans="1:5" x14ac:dyDescent="0.3">
      <c r="A3617" s="8">
        <v>85</v>
      </c>
      <c r="B3617" s="8">
        <v>46</v>
      </c>
      <c r="C3617" s="8">
        <v>3047</v>
      </c>
      <c r="D3617" s="16">
        <v>-9.7604939999999998E-3</v>
      </c>
      <c r="E3617" s="8">
        <v>-4.8802469999999999E-3</v>
      </c>
    </row>
    <row r="3618" spans="1:5" x14ac:dyDescent="0.3">
      <c r="A3618" s="8">
        <v>85</v>
      </c>
      <c r="B3618" s="8">
        <v>47</v>
      </c>
      <c r="C3618" s="8">
        <v>3026</v>
      </c>
      <c r="D3618" s="16">
        <v>1.122259E-3</v>
      </c>
      <c r="E3618" s="8">
        <v>5.6112950000000001E-4</v>
      </c>
    </row>
    <row r="3619" spans="1:5" x14ac:dyDescent="0.3">
      <c r="A3619" s="8">
        <v>85</v>
      </c>
      <c r="B3619" s="8">
        <v>48</v>
      </c>
      <c r="C3619" s="8">
        <v>3054</v>
      </c>
      <c r="D3619" s="16">
        <v>2.1997969999999999E-2</v>
      </c>
      <c r="E3619" s="8">
        <v>1.0998984999999999E-2</v>
      </c>
    </row>
    <row r="3620" spans="1:5" x14ac:dyDescent="0.3">
      <c r="A3620" s="8">
        <v>85</v>
      </c>
      <c r="B3620" s="8">
        <v>49</v>
      </c>
      <c r="C3620" s="8">
        <v>3027</v>
      </c>
      <c r="D3620" s="16">
        <v>-6.053526E-3</v>
      </c>
      <c r="E3620" s="8">
        <v>-3.026763E-3</v>
      </c>
    </row>
    <row r="3621" spans="1:5" x14ac:dyDescent="0.3">
      <c r="A3621" s="8">
        <v>85</v>
      </c>
      <c r="B3621" s="8">
        <v>50</v>
      </c>
      <c r="C3621" s="8">
        <v>3069</v>
      </c>
      <c r="D3621" s="16">
        <v>-5.3345470000000002E-3</v>
      </c>
      <c r="E3621" s="8">
        <v>-2.6672735000000001E-3</v>
      </c>
    </row>
    <row r="3622" spans="1:5" x14ac:dyDescent="0.3">
      <c r="A3622" s="8">
        <v>85</v>
      </c>
      <c r="B3622" s="8">
        <v>51</v>
      </c>
      <c r="C3622" s="8">
        <v>3048</v>
      </c>
      <c r="D3622" s="16">
        <v>3.2608610000000003E-2</v>
      </c>
      <c r="E3622" s="8">
        <v>1.6304305000000002E-2</v>
      </c>
    </row>
    <row r="3623" spans="1:5" x14ac:dyDescent="0.3">
      <c r="A3623" s="8">
        <v>85</v>
      </c>
      <c r="B3623" s="8">
        <v>52</v>
      </c>
      <c r="C3623" s="8">
        <v>3050</v>
      </c>
      <c r="D3623" s="16">
        <v>-7.629466E-2</v>
      </c>
      <c r="E3623" s="8">
        <v>-3.814733E-2</v>
      </c>
    </row>
    <row r="3624" spans="1:5" x14ac:dyDescent="0.3">
      <c r="A3624" s="8">
        <v>85</v>
      </c>
      <c r="B3624" s="8">
        <v>53</v>
      </c>
      <c r="C3624" s="8">
        <v>3049</v>
      </c>
      <c r="D3624" s="16">
        <v>-2.4348149999999999E-2</v>
      </c>
      <c r="E3624" s="8">
        <v>-1.2174074999999999E-2</v>
      </c>
    </row>
    <row r="3625" spans="1:5" x14ac:dyDescent="0.3">
      <c r="A3625" s="8">
        <v>85</v>
      </c>
      <c r="B3625" s="8">
        <v>54</v>
      </c>
      <c r="C3625" s="8">
        <v>3041</v>
      </c>
      <c r="D3625" s="16">
        <v>-7.8075099999999995E-2</v>
      </c>
      <c r="E3625" s="8">
        <v>-3.9037549999999997E-2</v>
      </c>
    </row>
    <row r="3626" spans="1:5" x14ac:dyDescent="0.3">
      <c r="A3626" s="8">
        <v>85</v>
      </c>
      <c r="B3626" s="8">
        <v>55</v>
      </c>
      <c r="C3626" s="8">
        <v>3057</v>
      </c>
      <c r="D3626" s="16">
        <v>8.3180700000000003E-3</v>
      </c>
      <c r="E3626" s="8">
        <v>4.1590350000000002E-3</v>
      </c>
    </row>
    <row r="3627" spans="1:5" x14ac:dyDescent="0.3">
      <c r="A3627" s="8">
        <v>85</v>
      </c>
      <c r="B3627" s="8">
        <v>56</v>
      </c>
      <c r="C3627" s="8">
        <v>3062</v>
      </c>
      <c r="D3627" s="16">
        <v>2.08401E-2</v>
      </c>
      <c r="E3627" s="8">
        <v>1.042005E-2</v>
      </c>
    </row>
    <row r="3628" spans="1:5" x14ac:dyDescent="0.3">
      <c r="A3628" s="8">
        <v>85</v>
      </c>
      <c r="B3628" s="8">
        <v>57</v>
      </c>
      <c r="C3628" s="8">
        <v>3079</v>
      </c>
      <c r="D3628" s="16">
        <v>-1.9602660000000001E-2</v>
      </c>
      <c r="E3628" s="8">
        <v>-9.8013300000000005E-3</v>
      </c>
    </row>
    <row r="3629" spans="1:5" x14ac:dyDescent="0.3">
      <c r="A3629" s="8">
        <v>85</v>
      </c>
      <c r="B3629" s="8">
        <v>58</v>
      </c>
      <c r="C3629" s="8">
        <v>3061</v>
      </c>
      <c r="D3629" s="16">
        <v>-3.3404139999999999E-2</v>
      </c>
      <c r="E3629" s="8">
        <v>-1.6702069999999999E-2</v>
      </c>
    </row>
    <row r="3630" spans="1:5" x14ac:dyDescent="0.3">
      <c r="A3630" s="8">
        <v>85</v>
      </c>
      <c r="B3630" s="8">
        <v>59</v>
      </c>
      <c r="C3630" s="8">
        <v>3061</v>
      </c>
      <c r="D3630" s="16">
        <v>-2.4542040000000001E-2</v>
      </c>
      <c r="E3630" s="8">
        <v>-1.2271020000000001E-2</v>
      </c>
    </row>
    <row r="3631" spans="1:5" x14ac:dyDescent="0.3">
      <c r="A3631" s="8">
        <v>85</v>
      </c>
      <c r="B3631" s="8">
        <v>60</v>
      </c>
      <c r="C3631" s="8">
        <v>3057</v>
      </c>
      <c r="D3631" s="16">
        <v>4.7487969999999999E-3</v>
      </c>
      <c r="E3631" s="8">
        <v>2.3743985E-3</v>
      </c>
    </row>
    <row r="3632" spans="1:5" x14ac:dyDescent="0.3">
      <c r="A3632" s="8">
        <v>85</v>
      </c>
      <c r="B3632" s="8">
        <v>61</v>
      </c>
      <c r="C3632" s="8">
        <v>3050</v>
      </c>
      <c r="D3632" s="16">
        <v>2.401814E-2</v>
      </c>
      <c r="E3632" s="8">
        <v>1.200907E-2</v>
      </c>
    </row>
    <row r="3633" spans="1:5" x14ac:dyDescent="0.3">
      <c r="A3633" s="8">
        <v>85</v>
      </c>
      <c r="B3633" s="8">
        <v>62</v>
      </c>
      <c r="C3633" s="8">
        <v>3060</v>
      </c>
      <c r="D3633" s="16">
        <v>-1.8025449999999998E-2</v>
      </c>
      <c r="E3633" s="8">
        <v>-9.0127249999999992E-3</v>
      </c>
    </row>
    <row r="3634" spans="1:5" x14ac:dyDescent="0.3">
      <c r="A3634" s="8">
        <v>85</v>
      </c>
      <c r="B3634" s="8">
        <v>63</v>
      </c>
      <c r="C3634" s="8">
        <v>3059</v>
      </c>
      <c r="D3634" s="16">
        <v>-1.358374E-2</v>
      </c>
      <c r="E3634" s="8">
        <v>-6.7918700000000002E-3</v>
      </c>
    </row>
    <row r="3635" spans="1:5" x14ac:dyDescent="0.3">
      <c r="A3635" s="8">
        <v>85</v>
      </c>
      <c r="B3635" s="8">
        <v>64</v>
      </c>
      <c r="C3635" s="8">
        <v>3054</v>
      </c>
      <c r="D3635" s="16">
        <v>-1.7427939999999999E-2</v>
      </c>
      <c r="E3635" s="8">
        <v>-8.7139699999999997E-3</v>
      </c>
    </row>
    <row r="3636" spans="1:5" x14ac:dyDescent="0.3">
      <c r="A3636" s="8">
        <v>85</v>
      </c>
      <c r="B3636" s="8">
        <v>65</v>
      </c>
      <c r="C3636" s="8">
        <v>3055</v>
      </c>
      <c r="D3636" s="16">
        <v>8.1764309999999996E-3</v>
      </c>
      <c r="E3636" s="8">
        <v>4.0882154999999998E-3</v>
      </c>
    </row>
    <row r="3637" spans="1:5" x14ac:dyDescent="0.3">
      <c r="A3637" s="8">
        <v>85</v>
      </c>
      <c r="B3637" s="8">
        <v>66</v>
      </c>
      <c r="C3637" s="8">
        <v>3057</v>
      </c>
      <c r="D3637" s="16">
        <v>-1.214705E-3</v>
      </c>
      <c r="E3637" s="8">
        <v>-6.0735249999999998E-4</v>
      </c>
    </row>
    <row r="3638" spans="1:5" x14ac:dyDescent="0.3">
      <c r="A3638" s="8">
        <v>85</v>
      </c>
      <c r="B3638" s="8">
        <v>67</v>
      </c>
      <c r="C3638" s="8">
        <v>3052</v>
      </c>
      <c r="D3638" s="16">
        <v>-1.313011E-2</v>
      </c>
      <c r="E3638" s="8">
        <v>-6.5650550000000002E-3</v>
      </c>
    </row>
    <row r="3639" spans="1:5" x14ac:dyDescent="0.3">
      <c r="A3639" s="8">
        <v>85</v>
      </c>
      <c r="B3639" s="8">
        <v>68</v>
      </c>
      <c r="C3639" s="8">
        <v>3049</v>
      </c>
      <c r="D3639" s="16">
        <v>1.824189E-2</v>
      </c>
      <c r="E3639" s="8">
        <v>9.1209450000000001E-3</v>
      </c>
    </row>
    <row r="3640" spans="1:5" x14ac:dyDescent="0.3">
      <c r="A3640" s="8">
        <v>85</v>
      </c>
      <c r="B3640" s="8">
        <v>69</v>
      </c>
      <c r="C3640" s="8">
        <v>3054</v>
      </c>
      <c r="D3640" s="16">
        <v>1.058928E-2</v>
      </c>
      <c r="E3640" s="8">
        <v>5.2946399999999998E-3</v>
      </c>
    </row>
    <row r="3641" spans="1:5" x14ac:dyDescent="0.3">
      <c r="A3641" s="8">
        <v>85</v>
      </c>
      <c r="B3641" s="8">
        <v>70</v>
      </c>
      <c r="C3641" s="8">
        <v>3055</v>
      </c>
      <c r="D3641" s="16">
        <v>-2.3424339999999998E-2</v>
      </c>
      <c r="E3641" s="8">
        <v>-1.1712169999999999E-2</v>
      </c>
    </row>
    <row r="3642" spans="1:5" x14ac:dyDescent="0.3">
      <c r="A3642" s="8">
        <v>85</v>
      </c>
      <c r="B3642" s="8">
        <v>71</v>
      </c>
      <c r="C3642" s="8">
        <v>3052</v>
      </c>
      <c r="D3642" s="16">
        <v>-1.2183369999999999E-3</v>
      </c>
      <c r="E3642" s="8">
        <v>-6.0916849999999995E-4</v>
      </c>
    </row>
    <row r="3643" spans="1:5" x14ac:dyDescent="0.3">
      <c r="A3643" s="8">
        <v>85</v>
      </c>
      <c r="B3643" s="8">
        <v>72</v>
      </c>
      <c r="C3643" s="8">
        <v>3046</v>
      </c>
      <c r="D3643" s="16">
        <v>-7.694027E-3</v>
      </c>
      <c r="E3643" s="8">
        <v>-3.8470135E-3</v>
      </c>
    </row>
    <row r="3644" spans="1:5" x14ac:dyDescent="0.3">
      <c r="A3644" s="8">
        <v>85</v>
      </c>
      <c r="B3644" s="8">
        <v>73</v>
      </c>
      <c r="C3644" s="8">
        <v>3067</v>
      </c>
      <c r="D3644" s="16">
        <v>-2.4991010000000001E-3</v>
      </c>
      <c r="E3644" s="8">
        <v>-1.2495505000000001E-3</v>
      </c>
    </row>
    <row r="3645" spans="1:5" x14ac:dyDescent="0.3">
      <c r="A3645" s="8">
        <v>85</v>
      </c>
      <c r="B3645" s="8">
        <v>74</v>
      </c>
      <c r="C3645" s="8">
        <v>3045</v>
      </c>
      <c r="D3645" s="16">
        <v>-1.9743239999999999E-2</v>
      </c>
      <c r="E3645" s="8">
        <v>-9.8716199999999994E-3</v>
      </c>
    </row>
    <row r="3646" spans="1:5" x14ac:dyDescent="0.3">
      <c r="A3646" s="8">
        <v>85</v>
      </c>
      <c r="B3646" s="8">
        <v>75</v>
      </c>
      <c r="C3646" s="8">
        <v>3055</v>
      </c>
      <c r="D3646" s="16">
        <v>-3.3013849999999997E-2</v>
      </c>
      <c r="E3646" s="8">
        <v>-1.6506924999999999E-2</v>
      </c>
    </row>
    <row r="3647" spans="1:5" x14ac:dyDescent="0.3">
      <c r="A3647" s="8">
        <v>85</v>
      </c>
      <c r="B3647" s="8">
        <v>76</v>
      </c>
      <c r="C3647" s="8">
        <v>3054</v>
      </c>
      <c r="D3647" s="16">
        <v>-3.5069980000000001E-2</v>
      </c>
      <c r="E3647" s="8">
        <v>-1.753499E-2</v>
      </c>
    </row>
    <row r="3648" spans="1:5" x14ac:dyDescent="0.3">
      <c r="A3648" s="8">
        <v>85</v>
      </c>
      <c r="B3648" s="8">
        <v>77</v>
      </c>
      <c r="C3648" s="8">
        <v>3051</v>
      </c>
      <c r="D3648" s="16">
        <v>-6.9650080000000002E-4</v>
      </c>
      <c r="E3648" s="8">
        <v>-3.4825040000000001E-4</v>
      </c>
    </row>
    <row r="3649" spans="1:5" x14ac:dyDescent="0.3">
      <c r="A3649" s="8">
        <v>85</v>
      </c>
      <c r="B3649" s="8">
        <v>78</v>
      </c>
      <c r="C3649" s="8">
        <v>3056</v>
      </c>
      <c r="D3649" s="16">
        <v>-2.2268639999999999E-2</v>
      </c>
      <c r="E3649" s="8">
        <v>-1.113432E-2</v>
      </c>
    </row>
    <row r="3650" spans="1:5" x14ac:dyDescent="0.3">
      <c r="A3650" s="8">
        <v>85</v>
      </c>
      <c r="B3650" s="8">
        <v>79</v>
      </c>
      <c r="C3650" s="8">
        <v>3052</v>
      </c>
      <c r="D3650" s="16">
        <v>-3.8078580000000001E-2</v>
      </c>
      <c r="E3650" s="8">
        <v>-1.903929E-2</v>
      </c>
    </row>
    <row r="3651" spans="1:5" x14ac:dyDescent="0.3">
      <c r="A3651" s="8">
        <v>85</v>
      </c>
      <c r="B3651" s="8">
        <v>80</v>
      </c>
      <c r="C3651" s="8">
        <v>3049</v>
      </c>
      <c r="D3651" s="16">
        <v>3.7815090000000003E-2</v>
      </c>
      <c r="E3651" s="8">
        <v>1.8907545000000001E-2</v>
      </c>
    </row>
    <row r="3652" spans="1:5" x14ac:dyDescent="0.3">
      <c r="A3652" s="8">
        <v>85</v>
      </c>
      <c r="B3652" s="8">
        <v>81</v>
      </c>
      <c r="C3652" s="8">
        <v>3071</v>
      </c>
      <c r="D3652" s="16">
        <v>3.8821099999999997E-2</v>
      </c>
      <c r="E3652" s="8">
        <v>1.9410549999999999E-2</v>
      </c>
    </row>
    <row r="3653" spans="1:5" x14ac:dyDescent="0.3">
      <c r="A3653" s="8">
        <v>85</v>
      </c>
      <c r="B3653" s="8">
        <v>82</v>
      </c>
      <c r="C3653" s="8">
        <v>3044</v>
      </c>
      <c r="D3653" s="16">
        <v>2.7932160000000001E-2</v>
      </c>
      <c r="E3653" s="8">
        <v>1.3966080000000001E-2</v>
      </c>
    </row>
    <row r="3654" spans="1:5" x14ac:dyDescent="0.3">
      <c r="A3654" s="8">
        <v>85</v>
      </c>
      <c r="B3654" s="8">
        <v>83</v>
      </c>
      <c r="C3654" s="8">
        <v>3071</v>
      </c>
      <c r="D3654" s="16">
        <v>-2.698207E-2</v>
      </c>
      <c r="E3654" s="8">
        <v>-1.3491035E-2</v>
      </c>
    </row>
    <row r="3655" spans="1:5" x14ac:dyDescent="0.3">
      <c r="A3655" s="8">
        <v>85</v>
      </c>
      <c r="B3655" s="8">
        <v>84</v>
      </c>
      <c r="C3655" s="8">
        <v>3050</v>
      </c>
      <c r="D3655" s="16">
        <v>-3.0956299999999999E-2</v>
      </c>
      <c r="E3655" s="8">
        <v>-1.547815E-2</v>
      </c>
    </row>
    <row r="3656" spans="1:5" x14ac:dyDescent="0.3">
      <c r="A3656" s="8">
        <v>85</v>
      </c>
      <c r="B3656" s="8">
        <v>85</v>
      </c>
      <c r="C3656" s="8">
        <v>3154</v>
      </c>
      <c r="D3656" s="16">
        <v>1.124539</v>
      </c>
      <c r="E3656" s="8"/>
    </row>
    <row r="3657" spans="1:5" x14ac:dyDescent="0.3">
      <c r="A3657" s="8">
        <v>86</v>
      </c>
      <c r="B3657" s="8">
        <v>1</v>
      </c>
      <c r="C3657" s="8">
        <v>3060</v>
      </c>
      <c r="D3657" s="16">
        <v>-4.3086369999999997E-3</v>
      </c>
      <c r="E3657" s="8">
        <v>-2.1543184999999999E-3</v>
      </c>
    </row>
    <row r="3658" spans="1:5" x14ac:dyDescent="0.3">
      <c r="A3658" s="8">
        <v>86</v>
      </c>
      <c r="B3658" s="8">
        <v>2</v>
      </c>
      <c r="C3658" s="8">
        <v>3024</v>
      </c>
      <c r="D3658" s="16">
        <v>3.1608019999999999E-3</v>
      </c>
      <c r="E3658" s="8">
        <v>1.5804009999999999E-3</v>
      </c>
    </row>
    <row r="3659" spans="1:5" x14ac:dyDescent="0.3">
      <c r="A3659" s="8">
        <v>86</v>
      </c>
      <c r="B3659" s="8">
        <v>3</v>
      </c>
      <c r="C3659" s="8">
        <v>3054</v>
      </c>
      <c r="D3659" s="16">
        <v>6.4101719999999996E-3</v>
      </c>
      <c r="E3659" s="8">
        <v>3.2050859999999998E-3</v>
      </c>
    </row>
    <row r="3660" spans="1:5" x14ac:dyDescent="0.3">
      <c r="A3660" s="8">
        <v>86</v>
      </c>
      <c r="B3660" s="8">
        <v>4</v>
      </c>
      <c r="C3660" s="8">
        <v>3032</v>
      </c>
      <c r="D3660" s="16">
        <v>1.283957E-2</v>
      </c>
      <c r="E3660" s="8">
        <v>6.4197849999999999E-3</v>
      </c>
    </row>
    <row r="3661" spans="1:5" x14ac:dyDescent="0.3">
      <c r="A3661" s="8">
        <v>86</v>
      </c>
      <c r="B3661" s="8">
        <v>5</v>
      </c>
      <c r="C3661" s="8">
        <v>3017</v>
      </c>
      <c r="D3661" s="16">
        <v>-3.3391150000000001E-2</v>
      </c>
      <c r="E3661" s="8">
        <v>-1.6695575000000001E-2</v>
      </c>
    </row>
    <row r="3662" spans="1:5" x14ac:dyDescent="0.3">
      <c r="A3662" s="8">
        <v>86</v>
      </c>
      <c r="B3662" s="8">
        <v>6</v>
      </c>
      <c r="C3662" s="8">
        <v>3040</v>
      </c>
      <c r="D3662" s="16">
        <v>-4.6825240000000004E-3</v>
      </c>
      <c r="E3662" s="8">
        <v>-2.3412620000000002E-3</v>
      </c>
    </row>
    <row r="3663" spans="1:5" x14ac:dyDescent="0.3">
      <c r="A3663" s="8">
        <v>86</v>
      </c>
      <c r="B3663" s="8">
        <v>7</v>
      </c>
      <c r="C3663" s="8">
        <v>3031</v>
      </c>
      <c r="D3663" s="16">
        <v>-5.9811090000000001E-3</v>
      </c>
      <c r="E3663" s="8">
        <v>-2.9905545E-3</v>
      </c>
    </row>
    <row r="3664" spans="1:5" x14ac:dyDescent="0.3">
      <c r="A3664" s="8">
        <v>86</v>
      </c>
      <c r="B3664" s="8">
        <v>8</v>
      </c>
      <c r="C3664" s="8">
        <v>3055</v>
      </c>
      <c r="D3664" s="16">
        <v>3.1520029999999997E-2</v>
      </c>
      <c r="E3664" s="8">
        <v>1.5760014999999999E-2</v>
      </c>
    </row>
    <row r="3665" spans="1:5" x14ac:dyDescent="0.3">
      <c r="A3665" s="8">
        <v>86</v>
      </c>
      <c r="B3665" s="8">
        <v>9</v>
      </c>
      <c r="C3665" s="8">
        <v>3041</v>
      </c>
      <c r="D3665" s="16">
        <v>-9.0978349999999999E-2</v>
      </c>
      <c r="E3665" s="8">
        <v>-4.5489175E-2</v>
      </c>
    </row>
    <row r="3666" spans="1:5" x14ac:dyDescent="0.3">
      <c r="A3666" s="8">
        <v>86</v>
      </c>
      <c r="B3666" s="8">
        <v>10</v>
      </c>
      <c r="C3666" s="8">
        <v>3033</v>
      </c>
      <c r="D3666" s="16">
        <v>-5.3590619999999999E-2</v>
      </c>
      <c r="E3666" s="8">
        <v>-2.6795309999999999E-2</v>
      </c>
    </row>
    <row r="3667" spans="1:5" x14ac:dyDescent="0.3">
      <c r="A3667" s="8">
        <v>86</v>
      </c>
      <c r="B3667" s="8">
        <v>11</v>
      </c>
      <c r="C3667" s="8">
        <v>3032</v>
      </c>
      <c r="D3667" s="16">
        <v>-6.3145689999999999E-3</v>
      </c>
      <c r="E3667" s="8">
        <v>-3.1572845E-3</v>
      </c>
    </row>
    <row r="3668" spans="1:5" x14ac:dyDescent="0.3">
      <c r="A3668" s="8">
        <v>86</v>
      </c>
      <c r="B3668" s="8">
        <v>12</v>
      </c>
      <c r="C3668" s="8">
        <v>3049</v>
      </c>
      <c r="D3668" s="16">
        <v>-3.0024760000000001E-2</v>
      </c>
      <c r="E3668" s="8">
        <v>-1.5012380000000001E-2</v>
      </c>
    </row>
    <row r="3669" spans="1:5" x14ac:dyDescent="0.3">
      <c r="A3669" s="8">
        <v>86</v>
      </c>
      <c r="B3669" s="8">
        <v>13</v>
      </c>
      <c r="C3669" s="8">
        <v>3033</v>
      </c>
      <c r="D3669" s="16">
        <v>-3.2142619999999997E-2</v>
      </c>
      <c r="E3669" s="8">
        <v>-1.6071309999999998E-2</v>
      </c>
    </row>
    <row r="3670" spans="1:5" x14ac:dyDescent="0.3">
      <c r="A3670" s="8">
        <v>86</v>
      </c>
      <c r="B3670" s="8">
        <v>14</v>
      </c>
      <c r="C3670" s="8">
        <v>3036</v>
      </c>
      <c r="D3670" s="16">
        <v>4.0014439999999998E-4</v>
      </c>
      <c r="E3670" s="8">
        <v>2.0007219999999999E-4</v>
      </c>
    </row>
    <row r="3671" spans="1:5" x14ac:dyDescent="0.3">
      <c r="A3671" s="8">
        <v>86</v>
      </c>
      <c r="B3671" s="8">
        <v>15</v>
      </c>
      <c r="C3671" s="8">
        <v>3039</v>
      </c>
      <c r="D3671" s="16">
        <v>-6.105671E-2</v>
      </c>
      <c r="E3671" s="8">
        <v>-3.0528355E-2</v>
      </c>
    </row>
    <row r="3672" spans="1:5" x14ac:dyDescent="0.3">
      <c r="A3672" s="8">
        <v>86</v>
      </c>
      <c r="B3672" s="8">
        <v>16</v>
      </c>
      <c r="C3672" s="8">
        <v>3051</v>
      </c>
      <c r="D3672" s="16">
        <v>-7.6602479999999997E-3</v>
      </c>
      <c r="E3672" s="8">
        <v>-3.8301239999999999E-3</v>
      </c>
    </row>
    <row r="3673" spans="1:5" x14ac:dyDescent="0.3">
      <c r="A3673" s="8">
        <v>86</v>
      </c>
      <c r="B3673" s="8">
        <v>17</v>
      </c>
      <c r="C3673" s="8">
        <v>3040</v>
      </c>
      <c r="D3673" s="16">
        <v>-1.322335E-2</v>
      </c>
      <c r="E3673" s="8">
        <v>-6.611675E-3</v>
      </c>
    </row>
    <row r="3674" spans="1:5" x14ac:dyDescent="0.3">
      <c r="A3674" s="8">
        <v>86</v>
      </c>
      <c r="B3674" s="8">
        <v>18</v>
      </c>
      <c r="C3674" s="8">
        <v>3059</v>
      </c>
      <c r="D3674" s="16">
        <v>-4.8465179999999997E-2</v>
      </c>
      <c r="E3674" s="8">
        <v>-2.4232589999999998E-2</v>
      </c>
    </row>
    <row r="3675" spans="1:5" x14ac:dyDescent="0.3">
      <c r="A3675" s="8">
        <v>86</v>
      </c>
      <c r="B3675" s="8">
        <v>19</v>
      </c>
      <c r="C3675" s="8">
        <v>3040</v>
      </c>
      <c r="D3675" s="16">
        <v>-2.1494180000000002E-2</v>
      </c>
      <c r="E3675" s="8">
        <v>-1.0747090000000001E-2</v>
      </c>
    </row>
    <row r="3676" spans="1:5" x14ac:dyDescent="0.3">
      <c r="A3676" s="8">
        <v>86</v>
      </c>
      <c r="B3676" s="8">
        <v>20</v>
      </c>
      <c r="C3676" s="8">
        <v>3047</v>
      </c>
      <c r="D3676" s="16">
        <v>-1.02062E-2</v>
      </c>
      <c r="E3676" s="8">
        <v>-5.1031000000000002E-3</v>
      </c>
    </row>
    <row r="3677" spans="1:5" x14ac:dyDescent="0.3">
      <c r="A3677" s="8">
        <v>86</v>
      </c>
      <c r="B3677" s="8">
        <v>21</v>
      </c>
      <c r="C3677" s="8">
        <v>3048</v>
      </c>
      <c r="D3677" s="16">
        <v>-2.8414229999999999E-2</v>
      </c>
      <c r="E3677" s="8">
        <v>-1.4207114999999999E-2</v>
      </c>
    </row>
    <row r="3678" spans="1:5" x14ac:dyDescent="0.3">
      <c r="A3678" s="8">
        <v>86</v>
      </c>
      <c r="B3678" s="8">
        <v>22</v>
      </c>
      <c r="C3678" s="8">
        <v>3034</v>
      </c>
      <c r="D3678" s="16">
        <v>-2.9295350000000001E-2</v>
      </c>
      <c r="E3678" s="8">
        <v>-1.4647675000000001E-2</v>
      </c>
    </row>
    <row r="3679" spans="1:5" x14ac:dyDescent="0.3">
      <c r="A3679" s="8">
        <v>86</v>
      </c>
      <c r="B3679" s="8">
        <v>23</v>
      </c>
      <c r="C3679" s="8">
        <v>3032</v>
      </c>
      <c r="D3679" s="16">
        <v>-4.6332680000000001E-2</v>
      </c>
      <c r="E3679" s="8">
        <v>-2.3166340000000001E-2</v>
      </c>
    </row>
    <row r="3680" spans="1:5" x14ac:dyDescent="0.3">
      <c r="A3680" s="8">
        <v>86</v>
      </c>
      <c r="B3680" s="8">
        <v>24</v>
      </c>
      <c r="C3680" s="8">
        <v>3057</v>
      </c>
      <c r="D3680" s="16">
        <v>1.045579E-2</v>
      </c>
      <c r="E3680" s="8">
        <v>5.2278949999999998E-3</v>
      </c>
    </row>
    <row r="3681" spans="1:5" x14ac:dyDescent="0.3">
      <c r="A3681" s="8">
        <v>86</v>
      </c>
      <c r="B3681" s="8">
        <v>25</v>
      </c>
      <c r="C3681" s="8">
        <v>3041</v>
      </c>
      <c r="D3681" s="16">
        <v>-6.9033549999999999E-2</v>
      </c>
      <c r="E3681" s="8">
        <v>-3.4516775E-2</v>
      </c>
    </row>
    <row r="3682" spans="1:5" x14ac:dyDescent="0.3">
      <c r="A3682" s="8">
        <v>86</v>
      </c>
      <c r="B3682" s="8">
        <v>26</v>
      </c>
      <c r="C3682" s="8">
        <v>3054</v>
      </c>
      <c r="D3682" s="16">
        <v>-3.6447710000000001E-2</v>
      </c>
      <c r="E3682" s="8">
        <v>-1.8223855000000001E-2</v>
      </c>
    </row>
    <row r="3683" spans="1:5" x14ac:dyDescent="0.3">
      <c r="A3683" s="8">
        <v>86</v>
      </c>
      <c r="B3683" s="8">
        <v>27</v>
      </c>
      <c r="C3683" s="8">
        <v>3057</v>
      </c>
      <c r="D3683" s="16">
        <v>-2.4314539999999999E-2</v>
      </c>
      <c r="E3683" s="8">
        <v>-1.215727E-2</v>
      </c>
    </row>
    <row r="3684" spans="1:5" x14ac:dyDescent="0.3">
      <c r="A3684" s="8">
        <v>86</v>
      </c>
      <c r="B3684" s="8">
        <v>28</v>
      </c>
      <c r="C3684" s="8">
        <v>3023</v>
      </c>
      <c r="D3684" s="16">
        <v>-9.7201530000000005E-3</v>
      </c>
      <c r="E3684" s="8">
        <v>-4.8600765000000002E-3</v>
      </c>
    </row>
    <row r="3685" spans="1:5" x14ac:dyDescent="0.3">
      <c r="A3685" s="8">
        <v>86</v>
      </c>
      <c r="B3685" s="8">
        <v>29</v>
      </c>
      <c r="C3685" s="8">
        <v>3039</v>
      </c>
      <c r="D3685" s="16">
        <v>2.151171E-2</v>
      </c>
      <c r="E3685" s="8">
        <v>1.0755855E-2</v>
      </c>
    </row>
    <row r="3686" spans="1:5" x14ac:dyDescent="0.3">
      <c r="A3686" s="8">
        <v>86</v>
      </c>
      <c r="B3686" s="8">
        <v>30</v>
      </c>
      <c r="C3686" s="8">
        <v>3040</v>
      </c>
      <c r="D3686" s="16">
        <v>-3.7738689999999998E-2</v>
      </c>
      <c r="E3686" s="8">
        <v>-1.8869344999999999E-2</v>
      </c>
    </row>
    <row r="3687" spans="1:5" x14ac:dyDescent="0.3">
      <c r="A3687" s="8">
        <v>86</v>
      </c>
      <c r="B3687" s="8">
        <v>31</v>
      </c>
      <c r="C3687" s="8">
        <v>2965</v>
      </c>
      <c r="D3687" s="16">
        <v>4.1517259999999997E-3</v>
      </c>
      <c r="E3687" s="8">
        <v>2.0758629999999998E-3</v>
      </c>
    </row>
    <row r="3688" spans="1:5" x14ac:dyDescent="0.3">
      <c r="A3688" s="8">
        <v>86</v>
      </c>
      <c r="B3688" s="8">
        <v>32</v>
      </c>
      <c r="C3688" s="8">
        <v>3028</v>
      </c>
      <c r="D3688" s="16">
        <v>8.0321409999999996E-3</v>
      </c>
      <c r="E3688" s="8">
        <v>4.0160704999999998E-3</v>
      </c>
    </row>
    <row r="3689" spans="1:5" x14ac:dyDescent="0.3">
      <c r="A3689" s="8">
        <v>86</v>
      </c>
      <c r="B3689" s="8">
        <v>33</v>
      </c>
      <c r="C3689" s="8">
        <v>3057</v>
      </c>
      <c r="D3689" s="16">
        <v>4.474823E-2</v>
      </c>
      <c r="E3689" s="8">
        <v>2.2374115E-2</v>
      </c>
    </row>
    <row r="3690" spans="1:5" x14ac:dyDescent="0.3">
      <c r="A3690" s="8">
        <v>86</v>
      </c>
      <c r="B3690" s="8">
        <v>34</v>
      </c>
      <c r="C3690" s="8">
        <v>3042</v>
      </c>
      <c r="D3690" s="16">
        <v>-1.037976E-2</v>
      </c>
      <c r="E3690" s="8">
        <v>-5.18988E-3</v>
      </c>
    </row>
    <row r="3691" spans="1:5" x14ac:dyDescent="0.3">
      <c r="A3691" s="8">
        <v>86</v>
      </c>
      <c r="B3691" s="8">
        <v>35</v>
      </c>
      <c r="C3691" s="8">
        <v>3040</v>
      </c>
      <c r="D3691" s="16">
        <v>-6.800233E-2</v>
      </c>
      <c r="E3691" s="8">
        <v>-3.4001165E-2</v>
      </c>
    </row>
    <row r="3692" spans="1:5" x14ac:dyDescent="0.3">
      <c r="A3692" s="8">
        <v>86</v>
      </c>
      <c r="B3692" s="8">
        <v>36</v>
      </c>
      <c r="C3692" s="8">
        <v>3052</v>
      </c>
      <c r="D3692" s="16">
        <v>3.9399289999999997E-2</v>
      </c>
      <c r="E3692" s="8">
        <v>1.9699644999999998E-2</v>
      </c>
    </row>
    <row r="3693" spans="1:5" x14ac:dyDescent="0.3">
      <c r="A3693" s="8">
        <v>86</v>
      </c>
      <c r="B3693" s="8">
        <v>37</v>
      </c>
      <c r="C3693" s="8">
        <v>3015</v>
      </c>
      <c r="D3693" s="16">
        <v>-2.1415409999999999E-2</v>
      </c>
      <c r="E3693" s="8">
        <v>-1.0707705E-2</v>
      </c>
    </row>
    <row r="3694" spans="1:5" x14ac:dyDescent="0.3">
      <c r="A3694" s="8">
        <v>86</v>
      </c>
      <c r="B3694" s="8">
        <v>38</v>
      </c>
      <c r="C3694" s="8">
        <v>3060</v>
      </c>
      <c r="D3694" s="16">
        <v>4.0295249999999999E-3</v>
      </c>
      <c r="E3694" s="8">
        <v>2.0147625E-3</v>
      </c>
    </row>
    <row r="3695" spans="1:5" x14ac:dyDescent="0.3">
      <c r="A3695" s="8">
        <v>86</v>
      </c>
      <c r="B3695" s="8">
        <v>39</v>
      </c>
      <c r="C3695" s="8">
        <v>3049</v>
      </c>
      <c r="D3695" s="16">
        <v>-5.3839610000000003E-2</v>
      </c>
      <c r="E3695" s="8">
        <v>-2.6919805000000002E-2</v>
      </c>
    </row>
    <row r="3696" spans="1:5" x14ac:dyDescent="0.3">
      <c r="A3696" s="8">
        <v>86</v>
      </c>
      <c r="B3696" s="8">
        <v>40</v>
      </c>
      <c r="C3696" s="8">
        <v>3045</v>
      </c>
      <c r="D3696" s="16">
        <v>8.63359E-3</v>
      </c>
      <c r="E3696" s="8">
        <v>4.316795E-3</v>
      </c>
    </row>
    <row r="3697" spans="1:5" x14ac:dyDescent="0.3">
      <c r="A3697" s="8">
        <v>86</v>
      </c>
      <c r="B3697" s="8">
        <v>41</v>
      </c>
      <c r="C3697" s="8">
        <v>3017</v>
      </c>
      <c r="D3697" s="16">
        <v>-5.7632620000000002E-2</v>
      </c>
      <c r="E3697" s="8">
        <v>-2.8816310000000001E-2</v>
      </c>
    </row>
    <row r="3698" spans="1:5" x14ac:dyDescent="0.3">
      <c r="A3698" s="8">
        <v>86</v>
      </c>
      <c r="B3698" s="8">
        <v>42</v>
      </c>
      <c r="C3698" s="8">
        <v>3012</v>
      </c>
      <c r="D3698" s="16">
        <v>-4.5832030000000003E-2</v>
      </c>
      <c r="E3698" s="8">
        <v>-2.2916015000000001E-2</v>
      </c>
    </row>
    <row r="3699" spans="1:5" x14ac:dyDescent="0.3">
      <c r="A3699" s="8">
        <v>86</v>
      </c>
      <c r="B3699" s="8">
        <v>43</v>
      </c>
      <c r="C3699" s="8">
        <v>3035</v>
      </c>
      <c r="D3699" s="16">
        <v>3.9790590000000001E-2</v>
      </c>
      <c r="E3699" s="8">
        <v>1.9895295E-2</v>
      </c>
    </row>
    <row r="3700" spans="1:5" x14ac:dyDescent="0.3">
      <c r="A3700" s="8">
        <v>86</v>
      </c>
      <c r="B3700" s="8">
        <v>44</v>
      </c>
      <c r="C3700" s="8">
        <v>3016</v>
      </c>
      <c r="D3700" s="16">
        <v>-7.4663179999999996E-3</v>
      </c>
      <c r="E3700" s="8">
        <v>-3.7331589999999998E-3</v>
      </c>
    </row>
    <row r="3701" spans="1:5" x14ac:dyDescent="0.3">
      <c r="A3701" s="8">
        <v>86</v>
      </c>
      <c r="B3701" s="8">
        <v>45</v>
      </c>
      <c r="C3701" s="8">
        <v>3045</v>
      </c>
      <c r="D3701" s="16">
        <v>-2.3966939999999999E-2</v>
      </c>
      <c r="E3701" s="8">
        <v>-1.198347E-2</v>
      </c>
    </row>
    <row r="3702" spans="1:5" x14ac:dyDescent="0.3">
      <c r="A3702" s="8">
        <v>86</v>
      </c>
      <c r="B3702" s="8">
        <v>46</v>
      </c>
      <c r="C3702" s="8">
        <v>3036</v>
      </c>
      <c r="D3702" s="16">
        <v>-1.322164E-2</v>
      </c>
      <c r="E3702" s="8">
        <v>-6.6108199999999999E-3</v>
      </c>
    </row>
    <row r="3703" spans="1:5" x14ac:dyDescent="0.3">
      <c r="A3703" s="8">
        <v>86</v>
      </c>
      <c r="B3703" s="8">
        <v>47</v>
      </c>
      <c r="C3703" s="8">
        <v>3017</v>
      </c>
      <c r="D3703" s="16">
        <v>-8.5680719999999997E-4</v>
      </c>
      <c r="E3703" s="8">
        <v>-4.2840359999999999E-4</v>
      </c>
    </row>
    <row r="3704" spans="1:5" x14ac:dyDescent="0.3">
      <c r="A3704" s="8">
        <v>86</v>
      </c>
      <c r="B3704" s="8">
        <v>48</v>
      </c>
      <c r="C3704" s="8">
        <v>3041</v>
      </c>
      <c r="D3704" s="16">
        <v>3.0541990000000001E-3</v>
      </c>
      <c r="E3704" s="8">
        <v>1.5270995E-3</v>
      </c>
    </row>
    <row r="3705" spans="1:5" x14ac:dyDescent="0.3">
      <c r="A3705" s="8">
        <v>86</v>
      </c>
      <c r="B3705" s="8">
        <v>49</v>
      </c>
      <c r="C3705" s="8">
        <v>3012</v>
      </c>
      <c r="D3705" s="16">
        <v>4.0112120000000001E-2</v>
      </c>
      <c r="E3705" s="8">
        <v>2.0056060000000001E-2</v>
      </c>
    </row>
    <row r="3706" spans="1:5" x14ac:dyDescent="0.3">
      <c r="A3706" s="8">
        <v>86</v>
      </c>
      <c r="B3706" s="8">
        <v>50</v>
      </c>
      <c r="C3706" s="8">
        <v>3053</v>
      </c>
      <c r="D3706" s="16">
        <v>4.9346960000000002E-2</v>
      </c>
      <c r="E3706" s="8">
        <v>2.4673480000000001E-2</v>
      </c>
    </row>
    <row r="3707" spans="1:5" x14ac:dyDescent="0.3">
      <c r="A3707" s="8">
        <v>86</v>
      </c>
      <c r="B3707" s="8">
        <v>51</v>
      </c>
      <c r="C3707" s="8">
        <v>3038</v>
      </c>
      <c r="D3707" s="16">
        <v>-5.8892109999999998E-2</v>
      </c>
      <c r="E3707" s="8">
        <v>-2.9446054999999999E-2</v>
      </c>
    </row>
    <row r="3708" spans="1:5" x14ac:dyDescent="0.3">
      <c r="A3708" s="8">
        <v>86</v>
      </c>
      <c r="B3708" s="8">
        <v>52</v>
      </c>
      <c r="C3708" s="8">
        <v>3039</v>
      </c>
      <c r="D3708" s="16">
        <v>2.0893169999999999E-2</v>
      </c>
      <c r="E3708" s="8">
        <v>1.0446585E-2</v>
      </c>
    </row>
    <row r="3709" spans="1:5" x14ac:dyDescent="0.3">
      <c r="A3709" s="8">
        <v>86</v>
      </c>
      <c r="B3709" s="8">
        <v>53</v>
      </c>
      <c r="C3709" s="8">
        <v>3039</v>
      </c>
      <c r="D3709" s="16">
        <v>-4.5793E-2</v>
      </c>
      <c r="E3709" s="8">
        <v>-2.28965E-2</v>
      </c>
    </row>
    <row r="3710" spans="1:5" x14ac:dyDescent="0.3">
      <c r="A3710" s="8">
        <v>86</v>
      </c>
      <c r="B3710" s="8">
        <v>54</v>
      </c>
      <c r="C3710" s="8">
        <v>3027</v>
      </c>
      <c r="D3710" s="16">
        <v>3.1631619999999999E-2</v>
      </c>
      <c r="E3710" s="8">
        <v>1.581581E-2</v>
      </c>
    </row>
    <row r="3711" spans="1:5" x14ac:dyDescent="0.3">
      <c r="A3711" s="8">
        <v>86</v>
      </c>
      <c r="B3711" s="8">
        <v>55</v>
      </c>
      <c r="C3711" s="8">
        <v>3041</v>
      </c>
      <c r="D3711" s="16">
        <v>8.4712750000000003E-3</v>
      </c>
      <c r="E3711" s="8">
        <v>4.2356375000000002E-3</v>
      </c>
    </row>
    <row r="3712" spans="1:5" x14ac:dyDescent="0.3">
      <c r="A3712" s="8">
        <v>86</v>
      </c>
      <c r="B3712" s="8">
        <v>56</v>
      </c>
      <c r="C3712" s="8">
        <v>3045</v>
      </c>
      <c r="D3712" s="16">
        <v>-4.897464E-2</v>
      </c>
      <c r="E3712" s="8">
        <v>-2.448732E-2</v>
      </c>
    </row>
    <row r="3713" spans="1:5" x14ac:dyDescent="0.3">
      <c r="A3713" s="8">
        <v>86</v>
      </c>
      <c r="B3713" s="8">
        <v>57</v>
      </c>
      <c r="C3713" s="8">
        <v>3065</v>
      </c>
      <c r="D3713" s="16">
        <v>-5.3493619999999999E-2</v>
      </c>
      <c r="E3713" s="8">
        <v>-2.6746809999999999E-2</v>
      </c>
    </row>
    <row r="3714" spans="1:5" x14ac:dyDescent="0.3">
      <c r="A3714" s="8">
        <v>86</v>
      </c>
      <c r="B3714" s="8">
        <v>58</v>
      </c>
      <c r="C3714" s="8">
        <v>3047</v>
      </c>
      <c r="D3714" s="16">
        <v>-1.032075E-2</v>
      </c>
      <c r="E3714" s="8">
        <v>-5.160375E-3</v>
      </c>
    </row>
    <row r="3715" spans="1:5" x14ac:dyDescent="0.3">
      <c r="A3715" s="8">
        <v>86</v>
      </c>
      <c r="B3715" s="8">
        <v>59</v>
      </c>
      <c r="C3715" s="8">
        <v>3048</v>
      </c>
      <c r="D3715" s="16">
        <v>-3.116186E-2</v>
      </c>
      <c r="E3715" s="8">
        <v>-1.558093E-2</v>
      </c>
    </row>
    <row r="3716" spans="1:5" x14ac:dyDescent="0.3">
      <c r="A3716" s="8">
        <v>86</v>
      </c>
      <c r="B3716" s="8">
        <v>60</v>
      </c>
      <c r="C3716" s="8">
        <v>3043</v>
      </c>
      <c r="D3716" s="16">
        <v>1.5722670000000001E-2</v>
      </c>
      <c r="E3716" s="8">
        <v>7.8613350000000005E-3</v>
      </c>
    </row>
    <row r="3717" spans="1:5" x14ac:dyDescent="0.3">
      <c r="A3717" s="8">
        <v>86</v>
      </c>
      <c r="B3717" s="8">
        <v>61</v>
      </c>
      <c r="C3717" s="8">
        <v>3044</v>
      </c>
      <c r="D3717" s="16">
        <v>1.4551690000000001E-3</v>
      </c>
      <c r="E3717" s="8">
        <v>7.2758450000000004E-4</v>
      </c>
    </row>
    <row r="3718" spans="1:5" x14ac:dyDescent="0.3">
      <c r="A3718" s="8">
        <v>86</v>
      </c>
      <c r="B3718" s="8">
        <v>62</v>
      </c>
      <c r="C3718" s="8">
        <v>3043</v>
      </c>
      <c r="D3718" s="16">
        <v>-6.9623790000000005E-2</v>
      </c>
      <c r="E3718" s="8">
        <v>-3.4811895000000002E-2</v>
      </c>
    </row>
    <row r="3719" spans="1:5" x14ac:dyDescent="0.3">
      <c r="A3719" s="8">
        <v>86</v>
      </c>
      <c r="B3719" s="8">
        <v>63</v>
      </c>
      <c r="C3719" s="8">
        <v>3044</v>
      </c>
      <c r="D3719" s="16">
        <v>-2.027408E-2</v>
      </c>
      <c r="E3719" s="8">
        <v>-1.013704E-2</v>
      </c>
    </row>
    <row r="3720" spans="1:5" x14ac:dyDescent="0.3">
      <c r="A3720" s="8">
        <v>86</v>
      </c>
      <c r="B3720" s="8">
        <v>64</v>
      </c>
      <c r="C3720" s="8">
        <v>3046</v>
      </c>
      <c r="D3720" s="16">
        <v>-8.3304499999999997E-3</v>
      </c>
      <c r="E3720" s="8">
        <v>-4.1652249999999998E-3</v>
      </c>
    </row>
    <row r="3721" spans="1:5" x14ac:dyDescent="0.3">
      <c r="A3721" s="8">
        <v>86</v>
      </c>
      <c r="B3721" s="8">
        <v>65</v>
      </c>
      <c r="C3721" s="8">
        <v>3044</v>
      </c>
      <c r="D3721" s="16">
        <v>4.3570480000000002E-2</v>
      </c>
      <c r="E3721" s="8">
        <v>2.1785240000000001E-2</v>
      </c>
    </row>
    <row r="3722" spans="1:5" x14ac:dyDescent="0.3">
      <c r="A3722" s="8">
        <v>86</v>
      </c>
      <c r="B3722" s="8">
        <v>66</v>
      </c>
      <c r="C3722" s="8">
        <v>3043</v>
      </c>
      <c r="D3722" s="16">
        <v>-2.7318760000000001E-2</v>
      </c>
      <c r="E3722" s="8">
        <v>-1.365938E-2</v>
      </c>
    </row>
    <row r="3723" spans="1:5" x14ac:dyDescent="0.3">
      <c r="A3723" s="8">
        <v>86</v>
      </c>
      <c r="B3723" s="8">
        <v>67</v>
      </c>
      <c r="C3723" s="8">
        <v>3038</v>
      </c>
      <c r="D3723" s="16">
        <v>-6.116481E-2</v>
      </c>
      <c r="E3723" s="8">
        <v>-3.0582405E-2</v>
      </c>
    </row>
    <row r="3724" spans="1:5" x14ac:dyDescent="0.3">
      <c r="A3724" s="8">
        <v>86</v>
      </c>
      <c r="B3724" s="8">
        <v>68</v>
      </c>
      <c r="C3724" s="8">
        <v>3034</v>
      </c>
      <c r="D3724" s="16">
        <v>-1.483401E-2</v>
      </c>
      <c r="E3724" s="8">
        <v>-7.417005E-3</v>
      </c>
    </row>
    <row r="3725" spans="1:5" x14ac:dyDescent="0.3">
      <c r="A3725" s="8">
        <v>86</v>
      </c>
      <c r="B3725" s="8">
        <v>69</v>
      </c>
      <c r="C3725" s="8">
        <v>3038</v>
      </c>
      <c r="D3725" s="16">
        <v>-4.336576E-3</v>
      </c>
      <c r="E3725" s="8">
        <v>-2.168288E-3</v>
      </c>
    </row>
    <row r="3726" spans="1:5" x14ac:dyDescent="0.3">
      <c r="A3726" s="8">
        <v>86</v>
      </c>
      <c r="B3726" s="8">
        <v>70</v>
      </c>
      <c r="C3726" s="8">
        <v>3050</v>
      </c>
      <c r="D3726" s="16">
        <v>2.015397E-2</v>
      </c>
      <c r="E3726" s="8">
        <v>1.0076985E-2</v>
      </c>
    </row>
    <row r="3727" spans="1:5" x14ac:dyDescent="0.3">
      <c r="A3727" s="8">
        <v>86</v>
      </c>
      <c r="B3727" s="8">
        <v>71</v>
      </c>
      <c r="C3727" s="8">
        <v>3041</v>
      </c>
      <c r="D3727" s="16">
        <v>1.200511E-3</v>
      </c>
      <c r="E3727" s="8">
        <v>6.0025550000000001E-4</v>
      </c>
    </row>
    <row r="3728" spans="1:5" x14ac:dyDescent="0.3">
      <c r="A3728" s="8">
        <v>86</v>
      </c>
      <c r="B3728" s="8">
        <v>72</v>
      </c>
      <c r="C3728" s="8">
        <v>3035</v>
      </c>
      <c r="D3728" s="16">
        <v>1.5480259999999999E-2</v>
      </c>
      <c r="E3728" s="8">
        <v>7.7401299999999996E-3</v>
      </c>
    </row>
    <row r="3729" spans="1:5" x14ac:dyDescent="0.3">
      <c r="A3729" s="8">
        <v>86</v>
      </c>
      <c r="B3729" s="8">
        <v>73</v>
      </c>
      <c r="C3729" s="8">
        <v>3052</v>
      </c>
      <c r="D3729" s="16">
        <v>-2.51539E-2</v>
      </c>
      <c r="E3729" s="8">
        <v>-1.257695E-2</v>
      </c>
    </row>
    <row r="3730" spans="1:5" x14ac:dyDescent="0.3">
      <c r="A3730" s="8">
        <v>86</v>
      </c>
      <c r="B3730" s="8">
        <v>74</v>
      </c>
      <c r="C3730" s="8">
        <v>3029</v>
      </c>
      <c r="D3730" s="16">
        <v>-2.116227E-2</v>
      </c>
      <c r="E3730" s="8">
        <v>-1.0581135E-2</v>
      </c>
    </row>
    <row r="3731" spans="1:5" x14ac:dyDescent="0.3">
      <c r="A3731" s="8">
        <v>86</v>
      </c>
      <c r="B3731" s="8">
        <v>75</v>
      </c>
      <c r="C3731" s="8">
        <v>3044</v>
      </c>
      <c r="D3731" s="16">
        <v>-4.3125810000000001E-2</v>
      </c>
      <c r="E3731" s="8">
        <v>-2.1562905E-2</v>
      </c>
    </row>
    <row r="3732" spans="1:5" x14ac:dyDescent="0.3">
      <c r="A3732" s="8">
        <v>86</v>
      </c>
      <c r="B3732" s="8">
        <v>76</v>
      </c>
      <c r="C3732" s="8">
        <v>3040</v>
      </c>
      <c r="D3732" s="16">
        <v>-3.8176349999999998E-2</v>
      </c>
      <c r="E3732" s="8">
        <v>-1.9088174999999999E-2</v>
      </c>
    </row>
    <row r="3733" spans="1:5" x14ac:dyDescent="0.3">
      <c r="A3733" s="8">
        <v>86</v>
      </c>
      <c r="B3733" s="8">
        <v>77</v>
      </c>
      <c r="C3733" s="8">
        <v>3033</v>
      </c>
      <c r="D3733" s="16">
        <v>-5.0681480000000001E-2</v>
      </c>
      <c r="E3733" s="8">
        <v>-2.534074E-2</v>
      </c>
    </row>
    <row r="3734" spans="1:5" x14ac:dyDescent="0.3">
      <c r="A3734" s="8">
        <v>86</v>
      </c>
      <c r="B3734" s="8">
        <v>78</v>
      </c>
      <c r="C3734" s="8">
        <v>3043</v>
      </c>
      <c r="D3734" s="16">
        <v>-2.807511E-2</v>
      </c>
      <c r="E3734" s="8">
        <v>-1.4037555E-2</v>
      </c>
    </row>
    <row r="3735" spans="1:5" x14ac:dyDescent="0.3">
      <c r="A3735" s="8">
        <v>86</v>
      </c>
      <c r="B3735" s="8">
        <v>79</v>
      </c>
      <c r="C3735" s="8">
        <v>3040</v>
      </c>
      <c r="D3735" s="16">
        <v>-4.1417570000000001E-2</v>
      </c>
      <c r="E3735" s="8">
        <v>-2.0708785E-2</v>
      </c>
    </row>
    <row r="3736" spans="1:5" x14ac:dyDescent="0.3">
      <c r="A3736" s="8">
        <v>86</v>
      </c>
      <c r="B3736" s="8">
        <v>80</v>
      </c>
      <c r="C3736" s="8">
        <v>3036</v>
      </c>
      <c r="D3736" s="16">
        <v>2.1173609999999999E-3</v>
      </c>
      <c r="E3736" s="8">
        <v>1.0586804999999999E-3</v>
      </c>
    </row>
    <row r="3737" spans="1:5" x14ac:dyDescent="0.3">
      <c r="A3737" s="8">
        <v>86</v>
      </c>
      <c r="B3737" s="8">
        <v>81</v>
      </c>
      <c r="C3737" s="8">
        <v>3058</v>
      </c>
      <c r="D3737" s="16">
        <v>-1.00687E-2</v>
      </c>
      <c r="E3737" s="8">
        <v>-5.0343499999999999E-3</v>
      </c>
    </row>
    <row r="3738" spans="1:5" x14ac:dyDescent="0.3">
      <c r="A3738" s="8">
        <v>86</v>
      </c>
      <c r="B3738" s="8">
        <v>82</v>
      </c>
      <c r="C3738" s="8">
        <v>3026</v>
      </c>
      <c r="D3738" s="16">
        <v>9.8647930000000002E-3</v>
      </c>
      <c r="E3738" s="8">
        <v>4.9323965000000001E-3</v>
      </c>
    </row>
    <row r="3739" spans="1:5" x14ac:dyDescent="0.3">
      <c r="A3739" s="8">
        <v>86</v>
      </c>
      <c r="B3739" s="8">
        <v>83</v>
      </c>
      <c r="C3739" s="8">
        <v>3059</v>
      </c>
      <c r="D3739" s="16">
        <v>-1.516635E-2</v>
      </c>
      <c r="E3739" s="8">
        <v>-7.5831750000000002E-3</v>
      </c>
    </row>
    <row r="3740" spans="1:5" x14ac:dyDescent="0.3">
      <c r="A3740" s="8">
        <v>86</v>
      </c>
      <c r="B3740" s="8">
        <v>84</v>
      </c>
      <c r="C3740" s="8">
        <v>3033</v>
      </c>
      <c r="D3740" s="16">
        <v>1.9078230000000002E-2</v>
      </c>
      <c r="E3740" s="8">
        <v>9.5391150000000008E-3</v>
      </c>
    </row>
    <row r="3741" spans="1:5" x14ac:dyDescent="0.3">
      <c r="A3741" s="8">
        <v>86</v>
      </c>
      <c r="B3741" s="8">
        <v>85</v>
      </c>
      <c r="C3741" s="8">
        <v>3044</v>
      </c>
      <c r="D3741" s="16">
        <v>-2.5203239999999998E-2</v>
      </c>
      <c r="E3741" s="8">
        <v>-1.2601619999999999E-2</v>
      </c>
    </row>
    <row r="3742" spans="1:5" x14ac:dyDescent="0.3">
      <c r="A3742" s="8">
        <v>86</v>
      </c>
      <c r="B3742" s="8">
        <v>86</v>
      </c>
      <c r="C3742" s="8">
        <v>3140</v>
      </c>
      <c r="D3742" s="16">
        <v>1.2032719999999999</v>
      </c>
      <c r="E3742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Inbreeding parents clams</vt:lpstr>
      <vt:lpstr>Coancestry parents clams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Caballero</dc:creator>
  <cp:lastModifiedBy>Armando Caballero</cp:lastModifiedBy>
  <dcterms:created xsi:type="dcterms:W3CDTF">2024-04-09T10:44:18Z</dcterms:created>
  <dcterms:modified xsi:type="dcterms:W3CDTF">2026-07-01T14:32:44Z</dcterms:modified>
</cp:coreProperties>
</file>